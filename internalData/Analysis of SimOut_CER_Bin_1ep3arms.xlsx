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telinc-my.sharepoint.com/personal/aniruddha_deshmukh_cytel_com/Documents/Projects/CIT/MAMS/AdaptiveGMCP/internalData/"/>
    </mc:Choice>
  </mc:AlternateContent>
  <xr:revisionPtr revIDLastSave="629" documentId="8_{B44DDBDC-9A2A-43A5-8C9A-1C9116890C35}" xr6:coauthVersionLast="47" xr6:coauthVersionMax="47" xr10:uidLastSave="{768D0C58-0FC3-436D-AE40-49B3D89AB85B}"/>
  <bookViews>
    <workbookView xWindow="-120" yWindow="-120" windowWidth="29040" windowHeight="15720" tabRatio="883" activeTab="6" xr2:uid="{26994C2A-DF17-4CFE-8DAA-E7E4301056D5}"/>
  </bookViews>
  <sheets>
    <sheet name="Inp_CER_Bin_1ep3arms" sheetId="3" r:id="rId1"/>
    <sheet name="Out_CER_Bin_1ep3arms_06Nov25-07" sheetId="1" r:id="rId2"/>
    <sheet name="Analysis" sheetId="2" r:id="rId3"/>
    <sheet name="Inp_CER_Cont_1ep3arms" sheetId="4" r:id="rId4"/>
    <sheet name="Out_CER_Bin_12Nov25-N=1k" sheetId="5" r:id="rId5"/>
    <sheet name="OutCERBin1ep3armsLargeN_28Nov25" sheetId="6" r:id="rId6"/>
    <sheet name="Comp.With.N" sheetId="7" r:id="rId7"/>
  </sheets>
  <definedNames>
    <definedName name="_xlnm._FilterDatabase" localSheetId="6" hidden="1">'Comp.With.N'!$A$2:$BE$90</definedName>
    <definedName name="_xlnm._FilterDatabase" localSheetId="1" hidden="1">'Out_CER_Bin_1ep3arms_06Nov25-07'!$A$3:$AY$51</definedName>
    <definedName name="_xlchart.v1.0" hidden="1">'Comp.With.N'!$G$2</definedName>
    <definedName name="_xlchart.v1.1" hidden="1">'Comp.With.N'!$G$3:$G$90</definedName>
    <definedName name="_xlchart.v1.2" hidden="1">'Comp.With.N'!$S$3:$S$90</definedName>
    <definedName name="_xlchart.v1.3" hidden="1">'Comp.With.N'!$M$2</definedName>
    <definedName name="_xlchart.v1.4" hidden="1">'Comp.With.N'!$M$3:$M$90</definedName>
    <definedName name="_xlchart.v1.5" hidden="1">'Comp.With.N'!$T$3:$T$90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3" i="7" l="1"/>
  <c r="CC4" i="7"/>
  <c r="CB5" i="7"/>
  <c r="CB6" i="7"/>
  <c r="CB7" i="7"/>
  <c r="CB8" i="7"/>
  <c r="CB9" i="7"/>
  <c r="CC13" i="7"/>
  <c r="CB14" i="7"/>
  <c r="CB15" i="7"/>
  <c r="CB16" i="7"/>
  <c r="CB17" i="7"/>
  <c r="CB18" i="7"/>
  <c r="CC21" i="7"/>
  <c r="CB22" i="7"/>
  <c r="CB23" i="7"/>
  <c r="CB24" i="7"/>
  <c r="CB25" i="7"/>
  <c r="CB26" i="7"/>
  <c r="CD26" i="7" s="1"/>
  <c r="CC26" i="7"/>
  <c r="BI5" i="7"/>
  <c r="BJ5" i="7"/>
  <c r="BK5" i="7"/>
  <c r="BL5" i="7"/>
  <c r="BM5" i="7"/>
  <c r="BN5" i="7"/>
  <c r="BO5" i="7"/>
  <c r="BR5" i="7"/>
  <c r="BS5" i="7"/>
  <c r="BT5" i="7"/>
  <c r="BU5" i="7"/>
  <c r="BV5" i="7"/>
  <c r="BW5" i="7"/>
  <c r="BX5" i="7"/>
  <c r="BI6" i="7"/>
  <c r="BJ6" i="7"/>
  <c r="BK6" i="7"/>
  <c r="BL6" i="7"/>
  <c r="BM6" i="7"/>
  <c r="BN6" i="7"/>
  <c r="BO6" i="7"/>
  <c r="BR6" i="7"/>
  <c r="BS6" i="7"/>
  <c r="BT6" i="7"/>
  <c r="BU6" i="7"/>
  <c r="BV6" i="7"/>
  <c r="BW6" i="7"/>
  <c r="BX6" i="7"/>
  <c r="BI7" i="7"/>
  <c r="BJ7" i="7"/>
  <c r="BK7" i="7"/>
  <c r="BL7" i="7"/>
  <c r="BM7" i="7"/>
  <c r="BN7" i="7"/>
  <c r="BO7" i="7"/>
  <c r="BR7" i="7"/>
  <c r="BS7" i="7"/>
  <c r="BT7" i="7"/>
  <c r="BU7" i="7"/>
  <c r="BV7" i="7"/>
  <c r="BW7" i="7"/>
  <c r="BX7" i="7"/>
  <c r="BI8" i="7"/>
  <c r="BJ8" i="7"/>
  <c r="BK8" i="7"/>
  <c r="BL8" i="7"/>
  <c r="BM8" i="7"/>
  <c r="BN8" i="7"/>
  <c r="BO8" i="7"/>
  <c r="BR8" i="7"/>
  <c r="BS8" i="7"/>
  <c r="BT8" i="7"/>
  <c r="BU8" i="7"/>
  <c r="BV8" i="7"/>
  <c r="BW8" i="7"/>
  <c r="BX8" i="7"/>
  <c r="BI9" i="7"/>
  <c r="BJ9" i="7"/>
  <c r="BK9" i="7"/>
  <c r="BL9" i="7"/>
  <c r="BM9" i="7"/>
  <c r="BN9" i="7"/>
  <c r="BO9" i="7"/>
  <c r="BR9" i="7"/>
  <c r="BS9" i="7"/>
  <c r="BT9" i="7"/>
  <c r="BU9" i="7"/>
  <c r="BV9" i="7"/>
  <c r="BW9" i="7"/>
  <c r="BX9" i="7"/>
  <c r="BI10" i="7"/>
  <c r="BJ10" i="7"/>
  <c r="BK10" i="7"/>
  <c r="BL10" i="7"/>
  <c r="BM10" i="7"/>
  <c r="BN10" i="7"/>
  <c r="BO10" i="7"/>
  <c r="BR10" i="7"/>
  <c r="BS10" i="7"/>
  <c r="BT10" i="7"/>
  <c r="BU10" i="7"/>
  <c r="BV10" i="7"/>
  <c r="BW10" i="7"/>
  <c r="BX10" i="7"/>
  <c r="BI11" i="7"/>
  <c r="BJ11" i="7"/>
  <c r="BK11" i="7"/>
  <c r="BL11" i="7"/>
  <c r="BM11" i="7"/>
  <c r="BN11" i="7"/>
  <c r="BO11" i="7"/>
  <c r="BI12" i="7"/>
  <c r="BJ12" i="7"/>
  <c r="BK12" i="7"/>
  <c r="BL12" i="7"/>
  <c r="BM12" i="7"/>
  <c r="BN12" i="7"/>
  <c r="BO12" i="7"/>
  <c r="BI16" i="7"/>
  <c r="BJ16" i="7"/>
  <c r="BK16" i="7"/>
  <c r="BL16" i="7"/>
  <c r="BM16" i="7"/>
  <c r="BN16" i="7"/>
  <c r="BO16" i="7"/>
  <c r="BR16" i="7"/>
  <c r="BS16" i="7"/>
  <c r="BT16" i="7"/>
  <c r="BU16" i="7"/>
  <c r="BV16" i="7"/>
  <c r="BW16" i="7"/>
  <c r="BX16" i="7"/>
  <c r="BI17" i="7"/>
  <c r="BJ17" i="7"/>
  <c r="BK17" i="7"/>
  <c r="BL17" i="7"/>
  <c r="BM17" i="7"/>
  <c r="BN17" i="7"/>
  <c r="BO17" i="7"/>
  <c r="BR17" i="7"/>
  <c r="BS17" i="7"/>
  <c r="BT17" i="7"/>
  <c r="BU17" i="7"/>
  <c r="BV17" i="7"/>
  <c r="BW17" i="7"/>
  <c r="BX17" i="7"/>
  <c r="BI18" i="7"/>
  <c r="BJ18" i="7"/>
  <c r="BK18" i="7"/>
  <c r="BL18" i="7"/>
  <c r="BM18" i="7"/>
  <c r="BN18" i="7"/>
  <c r="BO18" i="7"/>
  <c r="BR18" i="7"/>
  <c r="BS18" i="7"/>
  <c r="BT18" i="7"/>
  <c r="BU18" i="7"/>
  <c r="BV18" i="7"/>
  <c r="BW18" i="7"/>
  <c r="BX18" i="7"/>
  <c r="BI19" i="7"/>
  <c r="BJ19" i="7"/>
  <c r="BK19" i="7"/>
  <c r="BL19" i="7"/>
  <c r="BM19" i="7"/>
  <c r="BN19" i="7"/>
  <c r="BO19" i="7"/>
  <c r="BR19" i="7"/>
  <c r="BS19" i="7"/>
  <c r="BT19" i="7"/>
  <c r="BU19" i="7"/>
  <c r="BV19" i="7"/>
  <c r="BW19" i="7"/>
  <c r="BX19" i="7"/>
  <c r="BI20" i="7"/>
  <c r="BJ20" i="7"/>
  <c r="BK20" i="7"/>
  <c r="BL20" i="7"/>
  <c r="BM20" i="7"/>
  <c r="BN20" i="7"/>
  <c r="BO20" i="7"/>
  <c r="BR20" i="7"/>
  <c r="BS20" i="7"/>
  <c r="BT20" i="7"/>
  <c r="BU20" i="7"/>
  <c r="BV20" i="7"/>
  <c r="BW20" i="7"/>
  <c r="BX20" i="7"/>
  <c r="BI21" i="7"/>
  <c r="BJ21" i="7"/>
  <c r="BK21" i="7"/>
  <c r="BL21" i="7"/>
  <c r="BM21" i="7"/>
  <c r="BN21" i="7"/>
  <c r="BO21" i="7"/>
  <c r="BR21" i="7"/>
  <c r="BS21" i="7"/>
  <c r="BT21" i="7"/>
  <c r="BU21" i="7"/>
  <c r="BV21" i="7"/>
  <c r="BW21" i="7"/>
  <c r="BX21" i="7"/>
  <c r="BI22" i="7"/>
  <c r="BJ22" i="7"/>
  <c r="BK22" i="7"/>
  <c r="BL22" i="7"/>
  <c r="BM22" i="7"/>
  <c r="BN22" i="7"/>
  <c r="BO22" i="7"/>
  <c r="BI26" i="7"/>
  <c r="BJ26" i="7"/>
  <c r="BK26" i="7"/>
  <c r="BL26" i="7"/>
  <c r="BM26" i="7"/>
  <c r="BN26" i="7"/>
  <c r="BO26" i="7"/>
  <c r="BR26" i="7"/>
  <c r="BS26" i="7"/>
  <c r="BT26" i="7"/>
  <c r="BU26" i="7"/>
  <c r="BV26" i="7"/>
  <c r="BW26" i="7"/>
  <c r="BX26" i="7"/>
  <c r="BI27" i="7"/>
  <c r="BJ27" i="7"/>
  <c r="BK27" i="7"/>
  <c r="BL27" i="7"/>
  <c r="BM27" i="7"/>
  <c r="BN27" i="7"/>
  <c r="BO27" i="7"/>
  <c r="BR27" i="7"/>
  <c r="BS27" i="7"/>
  <c r="BT27" i="7"/>
  <c r="BU27" i="7"/>
  <c r="BV27" i="7"/>
  <c r="BW27" i="7"/>
  <c r="BX27" i="7"/>
  <c r="BI28" i="7"/>
  <c r="BJ28" i="7"/>
  <c r="BK28" i="7"/>
  <c r="BL28" i="7"/>
  <c r="BM28" i="7"/>
  <c r="BN28" i="7"/>
  <c r="BO28" i="7"/>
  <c r="BR28" i="7"/>
  <c r="BS28" i="7"/>
  <c r="BT28" i="7"/>
  <c r="BU28" i="7"/>
  <c r="BV28" i="7"/>
  <c r="BW28" i="7"/>
  <c r="BX28" i="7"/>
  <c r="BI29" i="7"/>
  <c r="BJ29" i="7"/>
  <c r="BK29" i="7"/>
  <c r="BL29" i="7"/>
  <c r="BM29" i="7"/>
  <c r="BN29" i="7"/>
  <c r="BO29" i="7"/>
  <c r="BR29" i="7"/>
  <c r="BS29" i="7"/>
  <c r="BT29" i="7"/>
  <c r="BU29" i="7"/>
  <c r="BV29" i="7"/>
  <c r="BW29" i="7"/>
  <c r="BX29" i="7"/>
  <c r="BI30" i="7"/>
  <c r="BJ30" i="7"/>
  <c r="BK30" i="7"/>
  <c r="BL30" i="7"/>
  <c r="BM30" i="7"/>
  <c r="BN30" i="7"/>
  <c r="BO30" i="7"/>
  <c r="BR30" i="7"/>
  <c r="BS30" i="7"/>
  <c r="BT30" i="7"/>
  <c r="BU30" i="7"/>
  <c r="BV30" i="7"/>
  <c r="BW30" i="7"/>
  <c r="BX30" i="7"/>
  <c r="BI31" i="7"/>
  <c r="BJ31" i="7"/>
  <c r="BK31" i="7"/>
  <c r="BL31" i="7"/>
  <c r="BM31" i="7"/>
  <c r="BN31" i="7"/>
  <c r="BO31" i="7"/>
  <c r="BR31" i="7"/>
  <c r="BS31" i="7"/>
  <c r="BT31" i="7"/>
  <c r="BU31" i="7"/>
  <c r="BV31" i="7"/>
  <c r="BW31" i="7"/>
  <c r="BX31" i="7"/>
  <c r="BI32" i="7"/>
  <c r="BJ32" i="7"/>
  <c r="BK32" i="7"/>
  <c r="BL32" i="7"/>
  <c r="BM32" i="7"/>
  <c r="BN32" i="7"/>
  <c r="BO32" i="7"/>
  <c r="BI33" i="7"/>
  <c r="BJ33" i="7"/>
  <c r="BK33" i="7"/>
  <c r="BL33" i="7"/>
  <c r="BM33" i="7"/>
  <c r="BN33" i="7"/>
  <c r="BO33" i="7"/>
  <c r="BI34" i="7"/>
  <c r="BJ34" i="7"/>
  <c r="BK34" i="7"/>
  <c r="BL34" i="7"/>
  <c r="BM34" i="7"/>
  <c r="BN34" i="7"/>
  <c r="BO34" i="7"/>
  <c r="BI35" i="7"/>
  <c r="BJ35" i="7"/>
  <c r="BK35" i="7"/>
  <c r="BL35" i="7"/>
  <c r="BM35" i="7"/>
  <c r="BN35" i="7"/>
  <c r="BO35" i="7"/>
  <c r="BI36" i="7"/>
  <c r="BJ36" i="7"/>
  <c r="BK36" i="7"/>
  <c r="BL36" i="7"/>
  <c r="BM36" i="7"/>
  <c r="BN36" i="7"/>
  <c r="BO36" i="7"/>
  <c r="BI37" i="7"/>
  <c r="BJ37" i="7"/>
  <c r="BK37" i="7"/>
  <c r="BL37" i="7"/>
  <c r="BM37" i="7"/>
  <c r="BN37" i="7"/>
  <c r="BO37" i="7"/>
  <c r="BI38" i="7"/>
  <c r="BJ38" i="7"/>
  <c r="BK38" i="7"/>
  <c r="BL38" i="7"/>
  <c r="BM38" i="7"/>
  <c r="BN38" i="7"/>
  <c r="BO38" i="7"/>
  <c r="BI42" i="7"/>
  <c r="BJ42" i="7"/>
  <c r="BK42" i="7"/>
  <c r="BL42" i="7"/>
  <c r="BM42" i="7"/>
  <c r="BN42" i="7"/>
  <c r="BO42" i="7"/>
  <c r="BR42" i="7"/>
  <c r="BS42" i="7"/>
  <c r="BT42" i="7"/>
  <c r="BU42" i="7"/>
  <c r="BV42" i="7"/>
  <c r="BW42" i="7"/>
  <c r="BX42" i="7"/>
  <c r="BI43" i="7"/>
  <c r="BJ43" i="7"/>
  <c r="BK43" i="7"/>
  <c r="BL43" i="7"/>
  <c r="BM43" i="7"/>
  <c r="BN43" i="7"/>
  <c r="BO43" i="7"/>
  <c r="BR43" i="7"/>
  <c r="BS43" i="7"/>
  <c r="BT43" i="7"/>
  <c r="BU43" i="7"/>
  <c r="BV43" i="7"/>
  <c r="BW43" i="7"/>
  <c r="BX43" i="7"/>
  <c r="BI44" i="7"/>
  <c r="BJ44" i="7"/>
  <c r="BK44" i="7"/>
  <c r="BL44" i="7"/>
  <c r="BM44" i="7"/>
  <c r="BN44" i="7"/>
  <c r="BO44" i="7"/>
  <c r="BR44" i="7"/>
  <c r="BS44" i="7"/>
  <c r="BT44" i="7"/>
  <c r="BU44" i="7"/>
  <c r="BV44" i="7"/>
  <c r="BW44" i="7"/>
  <c r="BX44" i="7"/>
  <c r="BI45" i="7"/>
  <c r="BJ45" i="7"/>
  <c r="BK45" i="7"/>
  <c r="BL45" i="7"/>
  <c r="BM45" i="7"/>
  <c r="BN45" i="7"/>
  <c r="BO45" i="7"/>
  <c r="BR45" i="7"/>
  <c r="BS45" i="7"/>
  <c r="BT45" i="7"/>
  <c r="BU45" i="7"/>
  <c r="BV45" i="7"/>
  <c r="BW45" i="7"/>
  <c r="BX45" i="7"/>
  <c r="BI46" i="7"/>
  <c r="BJ46" i="7"/>
  <c r="BK46" i="7"/>
  <c r="BL46" i="7"/>
  <c r="BM46" i="7"/>
  <c r="BN46" i="7"/>
  <c r="BO46" i="7"/>
  <c r="BR46" i="7"/>
  <c r="BS46" i="7"/>
  <c r="BT46" i="7"/>
  <c r="BU46" i="7"/>
  <c r="BV46" i="7"/>
  <c r="BW46" i="7"/>
  <c r="BX46" i="7"/>
  <c r="BI47" i="7"/>
  <c r="BJ47" i="7"/>
  <c r="BK47" i="7"/>
  <c r="BL47" i="7"/>
  <c r="BM47" i="7"/>
  <c r="BN47" i="7"/>
  <c r="BO47" i="7"/>
  <c r="BI48" i="7"/>
  <c r="BJ48" i="7"/>
  <c r="BK48" i="7"/>
  <c r="BL48" i="7"/>
  <c r="BM48" i="7"/>
  <c r="BN48" i="7"/>
  <c r="BO48" i="7"/>
  <c r="BI49" i="7"/>
  <c r="BJ49" i="7"/>
  <c r="BK49" i="7"/>
  <c r="BL49" i="7"/>
  <c r="BM49" i="7"/>
  <c r="BN49" i="7"/>
  <c r="BO49" i="7"/>
  <c r="BI50" i="7"/>
  <c r="BJ50" i="7"/>
  <c r="BK50" i="7"/>
  <c r="BL50" i="7"/>
  <c r="BM50" i="7"/>
  <c r="BN50" i="7"/>
  <c r="BO50" i="7"/>
  <c r="BI51" i="7"/>
  <c r="BJ51" i="7"/>
  <c r="BK51" i="7"/>
  <c r="BL51" i="7"/>
  <c r="BM51" i="7"/>
  <c r="BN51" i="7"/>
  <c r="BO51" i="7"/>
  <c r="BI55" i="7"/>
  <c r="BJ55" i="7"/>
  <c r="BK55" i="7"/>
  <c r="BL55" i="7"/>
  <c r="BM55" i="7"/>
  <c r="BN55" i="7"/>
  <c r="BO55" i="7"/>
  <c r="BR55" i="7"/>
  <c r="BS55" i="7"/>
  <c r="BT55" i="7"/>
  <c r="BU55" i="7"/>
  <c r="BV55" i="7"/>
  <c r="BW55" i="7"/>
  <c r="BX55" i="7"/>
  <c r="BI56" i="7"/>
  <c r="BJ56" i="7"/>
  <c r="BK56" i="7"/>
  <c r="BL56" i="7"/>
  <c r="BM56" i="7"/>
  <c r="BN56" i="7"/>
  <c r="BO56" i="7"/>
  <c r="BR56" i="7"/>
  <c r="BS56" i="7"/>
  <c r="BT56" i="7"/>
  <c r="BU56" i="7"/>
  <c r="BV56" i="7"/>
  <c r="BW56" i="7"/>
  <c r="BX56" i="7"/>
  <c r="BI57" i="7"/>
  <c r="BJ57" i="7"/>
  <c r="BK57" i="7"/>
  <c r="BL57" i="7"/>
  <c r="BM57" i="7"/>
  <c r="BN57" i="7"/>
  <c r="BO57" i="7"/>
  <c r="BR57" i="7"/>
  <c r="BS57" i="7"/>
  <c r="BT57" i="7"/>
  <c r="BU57" i="7"/>
  <c r="BV57" i="7"/>
  <c r="BW57" i="7"/>
  <c r="BX57" i="7"/>
  <c r="BI58" i="7"/>
  <c r="BJ58" i="7"/>
  <c r="BK58" i="7"/>
  <c r="BL58" i="7"/>
  <c r="BM58" i="7"/>
  <c r="BN58" i="7"/>
  <c r="BO58" i="7"/>
  <c r="BR58" i="7"/>
  <c r="BS58" i="7"/>
  <c r="BT58" i="7"/>
  <c r="BU58" i="7"/>
  <c r="BV58" i="7"/>
  <c r="BW58" i="7"/>
  <c r="BX58" i="7"/>
  <c r="BI59" i="7"/>
  <c r="BJ59" i="7"/>
  <c r="BK59" i="7"/>
  <c r="BL59" i="7"/>
  <c r="BM59" i="7"/>
  <c r="BN59" i="7"/>
  <c r="BO59" i="7"/>
  <c r="BR59" i="7"/>
  <c r="BS59" i="7"/>
  <c r="BT59" i="7"/>
  <c r="BU59" i="7"/>
  <c r="BV59" i="7"/>
  <c r="BW59" i="7"/>
  <c r="BX59" i="7"/>
  <c r="BI60" i="7"/>
  <c r="BJ60" i="7"/>
  <c r="BK60" i="7"/>
  <c r="BL60" i="7"/>
  <c r="BM60" i="7"/>
  <c r="BN60" i="7"/>
  <c r="BO60" i="7"/>
  <c r="BI61" i="7"/>
  <c r="BJ61" i="7"/>
  <c r="BK61" i="7"/>
  <c r="BL61" i="7"/>
  <c r="BM61" i="7"/>
  <c r="BN61" i="7"/>
  <c r="BO61" i="7"/>
  <c r="BI62" i="7"/>
  <c r="BJ62" i="7"/>
  <c r="BK62" i="7"/>
  <c r="BL62" i="7"/>
  <c r="BM62" i="7"/>
  <c r="BN62" i="7"/>
  <c r="BO62" i="7"/>
  <c r="BI66" i="7"/>
  <c r="BJ66" i="7"/>
  <c r="BK66" i="7"/>
  <c r="BL66" i="7"/>
  <c r="BM66" i="7"/>
  <c r="BN66" i="7"/>
  <c r="BO66" i="7"/>
  <c r="BR66" i="7"/>
  <c r="BS66" i="7"/>
  <c r="BT66" i="7"/>
  <c r="BU66" i="7"/>
  <c r="BV66" i="7"/>
  <c r="BW66" i="7"/>
  <c r="BX66" i="7"/>
  <c r="BI67" i="7"/>
  <c r="BJ67" i="7"/>
  <c r="BK67" i="7"/>
  <c r="BL67" i="7"/>
  <c r="BM67" i="7"/>
  <c r="BN67" i="7"/>
  <c r="BO67" i="7"/>
  <c r="BR67" i="7"/>
  <c r="BS67" i="7"/>
  <c r="BT67" i="7"/>
  <c r="BU67" i="7"/>
  <c r="BV67" i="7"/>
  <c r="BW67" i="7"/>
  <c r="BX67" i="7"/>
  <c r="BI68" i="7"/>
  <c r="BJ68" i="7"/>
  <c r="BK68" i="7"/>
  <c r="BL68" i="7"/>
  <c r="BM68" i="7"/>
  <c r="BN68" i="7"/>
  <c r="BO68" i="7"/>
  <c r="BR68" i="7"/>
  <c r="BS68" i="7"/>
  <c r="BT68" i="7"/>
  <c r="BU68" i="7"/>
  <c r="BV68" i="7"/>
  <c r="BW68" i="7"/>
  <c r="BX68" i="7"/>
  <c r="BI69" i="7"/>
  <c r="BJ69" i="7"/>
  <c r="BK69" i="7"/>
  <c r="BL69" i="7"/>
  <c r="BM69" i="7"/>
  <c r="BN69" i="7"/>
  <c r="BO69" i="7"/>
  <c r="BR69" i="7"/>
  <c r="BS69" i="7"/>
  <c r="BT69" i="7"/>
  <c r="BU69" i="7"/>
  <c r="BV69" i="7"/>
  <c r="BW69" i="7"/>
  <c r="BX69" i="7"/>
  <c r="BI70" i="7"/>
  <c r="BJ70" i="7"/>
  <c r="BK70" i="7"/>
  <c r="BL70" i="7"/>
  <c r="BM70" i="7"/>
  <c r="BN70" i="7"/>
  <c r="BO70" i="7"/>
  <c r="BR70" i="7"/>
  <c r="BS70" i="7"/>
  <c r="BT70" i="7"/>
  <c r="BU70" i="7"/>
  <c r="BV70" i="7"/>
  <c r="BW70" i="7"/>
  <c r="BX70" i="7"/>
  <c r="BI71" i="7"/>
  <c r="BJ71" i="7"/>
  <c r="BK71" i="7"/>
  <c r="BL71" i="7"/>
  <c r="BM71" i="7"/>
  <c r="BN71" i="7"/>
  <c r="BO71" i="7"/>
  <c r="BR71" i="7"/>
  <c r="BS71" i="7"/>
  <c r="BT71" i="7"/>
  <c r="BU71" i="7"/>
  <c r="BV71" i="7"/>
  <c r="BW71" i="7"/>
  <c r="BX71" i="7"/>
  <c r="BI72" i="7"/>
  <c r="BJ72" i="7"/>
  <c r="BK72" i="7"/>
  <c r="BL72" i="7"/>
  <c r="BM72" i="7"/>
  <c r="BN72" i="7"/>
  <c r="BO72" i="7"/>
  <c r="BI73" i="7"/>
  <c r="BJ73" i="7"/>
  <c r="BK73" i="7"/>
  <c r="BL73" i="7"/>
  <c r="BM73" i="7"/>
  <c r="BN73" i="7"/>
  <c r="BO73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CC5" i="7" l="1"/>
  <c r="CD5" i="7"/>
  <c r="CE5" i="7"/>
  <c r="CF5" i="7"/>
  <c r="CE6" i="7"/>
  <c r="CD6" i="7"/>
  <c r="CC6" i="7"/>
  <c r="CF6" i="7"/>
  <c r="CF7" i="7"/>
  <c r="CC7" i="7"/>
  <c r="CD7" i="7"/>
  <c r="CE7" i="7"/>
  <c r="CD8" i="7"/>
  <c r="CC8" i="7"/>
  <c r="CE8" i="7"/>
  <c r="CF8" i="7"/>
  <c r="CC9" i="7"/>
  <c r="CF9" i="7"/>
  <c r="CD9" i="7"/>
  <c r="CE9" i="7"/>
  <c r="CC14" i="7"/>
  <c r="CD14" i="7"/>
  <c r="CC15" i="7"/>
  <c r="CD15" i="7"/>
  <c r="CC16" i="7"/>
  <c r="CD16" i="7"/>
  <c r="CC17" i="7"/>
  <c r="CD17" i="7"/>
  <c r="CC18" i="7"/>
  <c r="CD18" i="7"/>
  <c r="CD22" i="7"/>
  <c r="CC22" i="7"/>
  <c r="CD23" i="7"/>
  <c r="CC23" i="7"/>
  <c r="CD24" i="7"/>
  <c r="CC24" i="7"/>
  <c r="CD25" i="7"/>
  <c r="CC25" i="7"/>
</calcChain>
</file>

<file path=xl/sharedStrings.xml><?xml version="1.0" encoding="utf-8"?>
<sst xmlns="http://schemas.openxmlformats.org/spreadsheetml/2006/main" count="8222" uniqueCount="526">
  <si>
    <t>ModelID</t>
  </si>
  <si>
    <t>Scenario</t>
  </si>
  <si>
    <t>seed</t>
  </si>
  <si>
    <t>Global.Power</t>
  </si>
  <si>
    <t>Conjunctive.Power</t>
  </si>
  <si>
    <t>Disjunctive.Power</t>
  </si>
  <si>
    <t>FWER</t>
  </si>
  <si>
    <t>CI_95perc_Global.Power</t>
  </si>
  <si>
    <t>CI_95perc_Conjunctive.Power</t>
  </si>
  <si>
    <t>CI_95perc_Disjunctive.Power</t>
  </si>
  <si>
    <t>CI_95perc_FWER</t>
  </si>
  <si>
    <t>StagewiseRejection_Count</t>
  </si>
  <si>
    <t>StagewiseRejection_Percentage</t>
  </si>
  <si>
    <t>HoursTaken</t>
  </si>
  <si>
    <t>Input</t>
  </si>
  <si>
    <t>Method</t>
  </si>
  <si>
    <t>SampleSize</t>
  </si>
  <si>
    <t>alpha</t>
  </si>
  <si>
    <t>TestStatCont</t>
  </si>
  <si>
    <t>CommonStdDev</t>
  </si>
  <si>
    <t>TestStatBin</t>
  </si>
  <si>
    <t>FWERControl</t>
  </si>
  <si>
    <t>nArms</t>
  </si>
  <si>
    <t>nEps</t>
  </si>
  <si>
    <t>lEpType</t>
  </si>
  <si>
    <t>Arms.Mean</t>
  </si>
  <si>
    <t>Arms.std.dev</t>
  </si>
  <si>
    <t>Arms.Prop</t>
  </si>
  <si>
    <t>Arms.alloc.ratio</t>
  </si>
  <si>
    <t>EP.Corr</t>
  </si>
  <si>
    <t>WI</t>
  </si>
  <si>
    <t>G</t>
  </si>
  <si>
    <t>test.type</t>
  </si>
  <si>
    <t>info_frac</t>
  </si>
  <si>
    <t>typeOfDesign</t>
  </si>
  <si>
    <t>MultipleWinners</t>
  </si>
  <si>
    <t>Selection</t>
  </si>
  <si>
    <t>SelectionLook</t>
  </si>
  <si>
    <t>SelectEndPoint</t>
  </si>
  <si>
    <t>SelectionScale</t>
  </si>
  <si>
    <t>SelectionCriterion</t>
  </si>
  <si>
    <t>SelectionParmeter</t>
  </si>
  <si>
    <t>KeepAssosiatedEps</t>
  </si>
  <si>
    <t>ImplicitSSR</t>
  </si>
  <si>
    <t>nSimulation</t>
  </si>
  <si>
    <t>nSimulation_Stage2</t>
  </si>
  <si>
    <t>SummaryStat</t>
  </si>
  <si>
    <t>plotGraphs</t>
  </si>
  <si>
    <t>Parallel</t>
  </si>
  <si>
    <t>UseCC</t>
  </si>
  <si>
    <t>No sel, Param, SS=600, all props=0.4, lk1=0.75, no CC</t>
  </si>
  <si>
    <t>(0.02686,0.03179)</t>
  </si>
  <si>
    <t>(0,0)</t>
  </si>
  <si>
    <t>0.0138,0.0158</t>
  </si>
  <si>
    <t>&gt;&gt;&gt;</t>
  </si>
  <si>
    <t>CER</t>
  </si>
  <si>
    <t>NA</t>
  </si>
  <si>
    <t>UnPooled</t>
  </si>
  <si>
    <t>CombinationTest</t>
  </si>
  <si>
    <t>list('EP1' = 'Binary')</t>
  </si>
  <si>
    <t>list('EP1' = c(0.4, 0.4, 0.4))</t>
  </si>
  <si>
    <t>c(1,1,1)</t>
  </si>
  <si>
    <t>matrix(1)</t>
  </si>
  <si>
    <t>c(rep(1/2,2))</t>
  </si>
  <si>
    <t>rbind(H1=c(0,1), H2=c(1,0))</t>
  </si>
  <si>
    <t>Parametric</t>
  </si>
  <si>
    <t>c(0.75,1)</t>
  </si>
  <si>
    <t>asOF</t>
  </si>
  <si>
    <t>None</t>
  </si>
  <si>
    <t>Sel Best=1, Param, SS=600, all props=0.4, SSR=None, lk1=0.75, no CC</t>
  </si>
  <si>
    <t>(0.0214,0.02555)</t>
  </si>
  <si>
    <t>0.009,0.0158</t>
  </si>
  <si>
    <t>delta</t>
  </si>
  <si>
    <t>best</t>
  </si>
  <si>
    <t>Fut=0.5, Param, SS=600, all props=0.4, SSR=None, lk1=0.75, no CC</t>
  </si>
  <si>
    <t>(0.0242,0.02868)</t>
  </si>
  <si>
    <t>0.0109,0.0148</t>
  </si>
  <si>
    <t>pvalue</t>
  </si>
  <si>
    <t>threshold</t>
  </si>
  <si>
    <t>Fut=0.75, no CC, Param, SS=600, all props=0.4, SSR=Sel, lk1=0.75, no CC</t>
  </si>
  <si>
    <t>(0.02571,0.03041)</t>
  </si>
  <si>
    <t>0.0121,0.0148</t>
  </si>
  <si>
    <t>Fut=0.5, Param, SS=600, all props=0.4, SSR=Sel, lk1=0.75, no CC</t>
  </si>
  <si>
    <t>(0.02404,0.02843)</t>
  </si>
  <si>
    <t>0.0101,0.017</t>
  </si>
  <si>
    <t>Fut=0.25, Param, SS=600, all props=0.4, SSR=Sel, lk1=0.75, no CC</t>
  </si>
  <si>
    <t>(0.02523,0.02985)</t>
  </si>
  <si>
    <t>0.0114,0.015</t>
  </si>
  <si>
    <t>Sel Best=1, Param, SS=600, all props=0.4, SSR=Sel, lk1=0.75, no CC</t>
  </si>
  <si>
    <t>(0.02433,0.02887)</t>
  </si>
  <si>
    <t>0.0112,0.0153</t>
  </si>
  <si>
    <t>Sel Best=2, Param, SS=600, all props=0.4, SSR=Sel, lk1=0.75, no CC</t>
  </si>
  <si>
    <t>(0.02616,0.03087)</t>
  </si>
  <si>
    <t>0.0119,0.0165</t>
  </si>
  <si>
    <t>No sel, Param, SS=400, all props=0.4, lk1=0.5, no CC</t>
  </si>
  <si>
    <t>(0.02623,0.029)</t>
  </si>
  <si>
    <t>0.0017,0.0251</t>
  </si>
  <si>
    <t>c(0.5,1)</t>
  </si>
  <si>
    <t>Sel Best=1, Param, SS=400, all props=0.4, SSR=None, lk1=0.5, no CC</t>
  </si>
  <si>
    <t>(0.02538,0.02813)</t>
  </si>
  <si>
    <t>0.0018,0.0231</t>
  </si>
  <si>
    <t>Fut=0.5, Param, SS=400, all props=0.4, SSR=None, lk1=0.5, no CC</t>
  </si>
  <si>
    <t>(0.02648,0.02942)</t>
  </si>
  <si>
    <t>0.0026,0.0253</t>
  </si>
  <si>
    <t>Fut=0.5, no CC, Param, SS=400, all props=0.4, SSR=Sel, lk1=0.5, no CC</t>
  </si>
  <si>
    <t>(0.02658,0.02953)</t>
  </si>
  <si>
    <t>0.0026,0.0256</t>
  </si>
  <si>
    <t>Fut=0.5, Param, SS=400, all props=0.4, SSR=Sel, lk1=0.5, no CC</t>
  </si>
  <si>
    <t>(0.02622,0.02913)</t>
  </si>
  <si>
    <t>0.0025,0.0256</t>
  </si>
  <si>
    <t>Fut=0.25, Param, SS=400, all props=0.4, SSR=Sel, lk1=0.5, no CC</t>
  </si>
  <si>
    <t>(0.02438,0.02725)</t>
  </si>
  <si>
    <t>0.0023,0.0223</t>
  </si>
  <si>
    <t>Sel Best=1, Param, SS=400, all props=0.4, SSR=Sel, lk1=0.5, no CC</t>
  </si>
  <si>
    <t>(0.02553,0.02828)</t>
  </si>
  <si>
    <t>0.0017,0.0249</t>
  </si>
  <si>
    <t>Sel Best=2, Param, SS=400, all props=0.4, SSR=Sel, lk1=0.5, no CC</t>
  </si>
  <si>
    <t>(0.02597,0.02869)</t>
  </si>
  <si>
    <t>0.0015,0.0255</t>
  </si>
  <si>
    <t>No sel, Param, SS=400, all props=0.4, lk1=0.5, no CC, FWCtr=None</t>
  </si>
  <si>
    <t>(0.02512,0.02781)</t>
  </si>
  <si>
    <t>0.0017,0.0242</t>
  </si>
  <si>
    <t>Sel Best=1, Param, SS=400, all props=0.4, SSR=None, lk1=0.5, no CC, FWCtr=None</t>
  </si>
  <si>
    <t>(0.02445,0.02712)</t>
  </si>
  <si>
    <t>0.0018,0.0217</t>
  </si>
  <si>
    <t>Fut=0.5, Param, SS=400, all props=0.4, SSR=None, lk1=0.5, no CC, FWCtr=None</t>
  </si>
  <si>
    <t>(0.02566,0.02854)</t>
  </si>
  <si>
    <t>0.0026,0.0241</t>
  </si>
  <si>
    <t>Fut=0.5, no CC, FWCtr=None, Param, SS=400, all props=0.4, SSR=Sel, lk1=0.5, no CC, FWCtr=None</t>
  </si>
  <si>
    <t>(0.02577,0.02866)</t>
  </si>
  <si>
    <t>0.0026,0.0244</t>
  </si>
  <si>
    <t>Fut=0.5, Param, SS=400, all props=0.4, SSR=Sel, lk1=0.5, no CC, FWCtr=None</t>
  </si>
  <si>
    <t>(0.02552,0.02836)</t>
  </si>
  <si>
    <t>0.0025,0.0246</t>
  </si>
  <si>
    <t>Fut=0.25, Param, SS=400, all props=0.4, SSR=Sel, lk1=0.5, no CC, FWCtr=None</t>
  </si>
  <si>
    <t>(0.0239,0.02672)</t>
  </si>
  <si>
    <t>0.0023,0.0218</t>
  </si>
  <si>
    <t>Sel Best=1, Param, SS=400, all props=0.4, SSR=Sel, lk1=0.5, no CC, FWCtr=None</t>
  </si>
  <si>
    <t>(0.02474,0.02742)</t>
  </si>
  <si>
    <t>0.0017,0.024</t>
  </si>
  <si>
    <t>Sel Best=2, Param, SS=400, all props=0.4, SSR=Sel, lk1=0.5, no CC, FWCtr=None</t>
  </si>
  <si>
    <t>(0.02508,0.02773)</t>
  </si>
  <si>
    <t>0.0015,0.0244</t>
  </si>
  <si>
    <t>No sel, Param, SS=600, all props=0.4, lk1=0.75, CC</t>
  </si>
  <si>
    <t>(0.02478,0.02953)</t>
  </si>
  <si>
    <t>0.0127,0.0146</t>
  </si>
  <si>
    <t>Sel Best=1, Param, SS=600, all props=0.4, SSR=None, lk1=0.75, CC</t>
  </si>
  <si>
    <t>(0.01995,0.02401)</t>
  </si>
  <si>
    <t>0.0088,0.0142</t>
  </si>
  <si>
    <t>Fut=0.5, Param, SS=600, all props=0.4, SSR=None, lk1=0.75, CC</t>
  </si>
  <si>
    <t>(0.02236,0.02674)</t>
  </si>
  <si>
    <t>0.0106,0.013</t>
  </si>
  <si>
    <t>Fut=0.75, CC, Param, SS=600, all props=0.4, SSR=Sel, lk1=0.75, CC</t>
  </si>
  <si>
    <t>(0.02391,0.02851)</t>
  </si>
  <si>
    <t>0.0117,0.0131</t>
  </si>
  <si>
    <t>Fut=0.5, Param, SS=600, all props=0.4, SSR=Sel, lk1=0.75, CC</t>
  </si>
  <si>
    <t>(0.02217,0.02644)</t>
  </si>
  <si>
    <t>0.0097,0.0152</t>
  </si>
  <si>
    <t>Fut=0.25, Param, SS=600, all props=0.4, SSR=Sel, lk1=0.75, CC</t>
  </si>
  <si>
    <t>(0.02353,0.02803)</t>
  </si>
  <si>
    <t>0.0109,0.0138</t>
  </si>
  <si>
    <t>Sel Best=1, Param, SS=600, all props=0.4, SSR=Sel, lk1=0.75, CC</t>
  </si>
  <si>
    <t>(0.02323,0.02769)</t>
  </si>
  <si>
    <t>0.0108,0.0142</t>
  </si>
  <si>
    <t>Sel Best=2, Param, SS=600, all props=0.4, SSR=Sel, lk1=0.75, CC</t>
  </si>
  <si>
    <t>(0.02417,0.02874)</t>
  </si>
  <si>
    <t>0.0113,0.0152</t>
  </si>
  <si>
    <t>No sel, Param, SS=400, all props=0.4, lk1=0.5, CC</t>
  </si>
  <si>
    <t>(0.02404,0.02664)</t>
  </si>
  <si>
    <t>0.0014,0.0232</t>
  </si>
  <si>
    <t>Sel Best=1, Param, SS=400, all props=0.4, SSR=None, lk1=0.5, CC</t>
  </si>
  <si>
    <t>(0.02332,0.0259)</t>
  </si>
  <si>
    <t>0.0015,0.0206</t>
  </si>
  <si>
    <t>Fut=0.5, Param, SS=400, all props=0.4, SSR=None, lk1=0.5, CC</t>
  </si>
  <si>
    <t>(0.02421,0.02695)</t>
  </si>
  <si>
    <t>0.0021,0.0239</t>
  </si>
  <si>
    <t>Fut=0.5, CC, Param, SS=400, all props=0.4, SSR=Sel, lk1=0.5, CC</t>
  </si>
  <si>
    <t>(0.02432,0.02706)</t>
  </si>
  <si>
    <t>0.0021,0.0241</t>
  </si>
  <si>
    <t>Fut=0.5, Param, SS=400, all props=0.4, SSR=Sel, lk1=0.5, CC</t>
  </si>
  <si>
    <t>(0.02406,0.02675)</t>
  </si>
  <si>
    <t>0.0019,0.0244</t>
  </si>
  <si>
    <t>Fut=0.25, Param, SS=400, all props=0.4, SSR=Sel, lk1=0.5, CC</t>
  </si>
  <si>
    <t>(0.02254,0.02522)</t>
  </si>
  <si>
    <t>0.0018,0.0214</t>
  </si>
  <si>
    <t>Sel Best=1, Param, SS=400, all props=0.4, SSR=Sel, lk1=0.5, CC</t>
  </si>
  <si>
    <t>(0.02374,0.02634)</t>
  </si>
  <si>
    <t>0.0014,0.024</t>
  </si>
  <si>
    <t>Sel Best=2, Param, SS=400, all props=0.4, SSR=Sel, lk1=0.5, CC</t>
  </si>
  <si>
    <t>(0.02379,0.02633)</t>
  </si>
  <si>
    <t>0.0012,0.0237</t>
  </si>
  <si>
    <t>No sel, Param, SS=400, all props=0.4, lk1=0.5, CC, FWCtr=None</t>
  </si>
  <si>
    <t>(0.02408,0.02666)</t>
  </si>
  <si>
    <t>0.0014,0.0234</t>
  </si>
  <si>
    <t>Sel Best=1, Param, SS=400, all props=0.4, SSR=None, lk1=0.5, CC, FWCtr=None</t>
  </si>
  <si>
    <t>(0.0234,0.02596)</t>
  </si>
  <si>
    <t>0.0015,0.0213</t>
  </si>
  <si>
    <t>Fut=0.5, Param, SS=400, all props=0.4, SSR=None, lk1=0.5, CC, FWCtr=None</t>
  </si>
  <si>
    <t>(0.02445,0.02719)</t>
  </si>
  <si>
    <t>0.0021,0.0236</t>
  </si>
  <si>
    <t>Fut=0.5, CC, FWCtr=None, Param, SS=400, all props=0.4, SSR=Sel, lk1=0.5, CC, FWCtr=None</t>
  </si>
  <si>
    <t>(0.02455,0.02729)</t>
  </si>
  <si>
    <t>Fut=0.5, Param, SS=400, all props=0.4, SSR=Sel, lk1=0.5, CC, FWCtr=None</t>
  </si>
  <si>
    <t>(0.0243,0.02698)</t>
  </si>
  <si>
    <t>0.0019,0.024</t>
  </si>
  <si>
    <t>Fut=0.25, Param, SS=400, all props=0.4, SSR=Sel, lk1=0.5, CC, FWCtr=None</t>
  </si>
  <si>
    <t>(0.02281,0.02548)</t>
  </si>
  <si>
    <t>0.0018,0.0211</t>
  </si>
  <si>
    <t>Sel Best=1, Param, SS=400, all props=0.4, SSR=Sel, lk1=0.5, CC, FWCtr=None</t>
  </si>
  <si>
    <t>(0.02372,0.02628)</t>
  </si>
  <si>
    <t>0.0014,0.0237</t>
  </si>
  <si>
    <t>Sel Best=2, Param, SS=400, all props=0.4, SSR=Sel, lk1=0.5, CC, FWCtr=None</t>
  </si>
  <si>
    <t>(0.02392,0.02645)</t>
  </si>
  <si>
    <t>0.0012,0.0236</t>
  </si>
  <si>
    <t>Seed2</t>
  </si>
  <si>
    <t>Added cols &gt;&gt;</t>
  </si>
  <si>
    <t>Passed</t>
  </si>
  <si>
    <t>x</t>
  </si>
  <si>
    <t>Count of ModelID</t>
  </si>
  <si>
    <t>Grand Total</t>
  </si>
  <si>
    <t>% Row total</t>
  </si>
  <si>
    <t>% of col total</t>
  </si>
  <si>
    <t>FALSE</t>
  </si>
  <si>
    <t>TRUE</t>
  </si>
  <si>
    <t>Counts</t>
  </si>
  <si>
    <t>Variable</t>
  </si>
  <si>
    <t>Category</t>
  </si>
  <si>
    <t>% FWER &lt;= 0.025</t>
  </si>
  <si>
    <t>% FWER &gt; 0.025</t>
  </si>
  <si>
    <t>Count</t>
  </si>
  <si>
    <t>True</t>
  </si>
  <si>
    <t>False</t>
  </si>
  <si>
    <t>Seed</t>
  </si>
  <si>
    <t>No selection, Partly-Parametric</t>
  </si>
  <si>
    <t>list('EP1' = c(0.1, 0.1, 0.1))</t>
  </si>
  <si>
    <t>Partly-Parametric</t>
  </si>
  <si>
    <t>Select Best=1, Partly-Parametric</t>
  </si>
  <si>
    <t>No selection, Parametric</t>
  </si>
  <si>
    <t>Select Best=1, Parametric</t>
  </si>
  <si>
    <t>Select</t>
  </si>
  <si>
    <t>t-equal</t>
  </si>
  <si>
    <t>list('EP1' = 'Continuous')</t>
  </si>
  <si>
    <t>list('EP1' = c(0, 0, 0))</t>
  </si>
  <si>
    <t>list('EP1' = c(1, 1, 1))</t>
  </si>
  <si>
    <t>z</t>
  </si>
  <si>
    <t>(0.0232,0.02746)</t>
  </si>
  <si>
    <t>0.0092,0.0175</t>
  </si>
  <si>
    <t>(0.02489,0.02934)</t>
  </si>
  <si>
    <t>0.0101,0.018</t>
  </si>
  <si>
    <t>(0.02373,0.02799)</t>
  </si>
  <si>
    <t>0.0089,0.016</t>
  </si>
  <si>
    <t>(0.02555,0.03003)</t>
  </si>
  <si>
    <t>0.0096,0.0192</t>
  </si>
  <si>
    <t>(0.02323,0.02741)</t>
  </si>
  <si>
    <t>0.0085,0.0165</t>
  </si>
  <si>
    <t>(0.02453,0.02887)</t>
  </si>
  <si>
    <t>0.0093,0.0168</t>
  </si>
  <si>
    <t>(0.02417,0.02849)</t>
  </si>
  <si>
    <t>0.0092,0.017</t>
  </si>
  <si>
    <t>(0.02476,0.02753)</t>
  </si>
  <si>
    <t>0.0022,0.0271</t>
  </si>
  <si>
    <t>(0.02424,0.02688)</t>
  </si>
  <si>
    <t>0.0015,0.0248</t>
  </si>
  <si>
    <t>(0.02399,0.02655)</t>
  </si>
  <si>
    <t>0.0012,0.0259</t>
  </si>
  <si>
    <t>(0.02399,0.02832)</t>
  </si>
  <si>
    <t>0.0095,0.0185</t>
  </si>
  <si>
    <t>(0.02586,0.03041)</t>
  </si>
  <si>
    <t>0.0108,0.0182</t>
  </si>
  <si>
    <t>(0.02414,0.02846)</t>
  </si>
  <si>
    <t>0.0093,0.0162</t>
  </si>
  <si>
    <t>(0.02643,0.03099)</t>
  </si>
  <si>
    <t>0.0101,0.0197</t>
  </si>
  <si>
    <t>(0.02372,0.02798)</t>
  </si>
  <si>
    <t>0.009,0.0165</t>
  </si>
  <si>
    <t>(0.02558,0.03008)</t>
  </si>
  <si>
    <t>0.0103,0.0166</t>
  </si>
  <si>
    <t>(0.02471,0.02913)</t>
  </si>
  <si>
    <t>0.0099,0.017</t>
  </si>
  <si>
    <t>(0.02573,0.02855)</t>
  </si>
  <si>
    <t>0.0022,0.0286</t>
  </si>
  <si>
    <t>(0.02522,0.02795)</t>
  </si>
  <si>
    <t>0.0017,0.0259</t>
  </si>
  <si>
    <t>(0.02476,0.02742)</t>
  </si>
  <si>
    <t>0.0015,0.027</t>
  </si>
  <si>
    <t>Matching.Pair</t>
  </si>
  <si>
    <t>No sel, Param, SS=10k, all props=0.4, lk1=0.5, no CC</t>
  </si>
  <si>
    <t>(0.02428,0.02614)</t>
  </si>
  <si>
    <t>0.00165,0.02335</t>
  </si>
  <si>
    <t>Fut=0.75, no CC, Param, SS=10k, all props=0.4, SSR=Sel, lk1=0.5, no CC</t>
  </si>
  <si>
    <t>(0.02436,0.02615)</t>
  </si>
  <si>
    <t>Fut=0.25, Param, SS=10k, all props=0.4, SSR=Sel, lk1=0.5, no CC</t>
  </si>
  <si>
    <t>(0.02332,0.02512)</t>
  </si>
  <si>
    <t>0.00115,0.02265</t>
  </si>
  <si>
    <t>Sel Best=2, Param, SS=10k, all props=0.4, SSR=Sel, lk1=0.5, no CC</t>
  </si>
  <si>
    <t>(0.02438,0.02616)</t>
  </si>
  <si>
    <t>0.00115,0.02315</t>
  </si>
  <si>
    <t>Fut=0.5, Param, SS=10k, all props=0.4, SSR=None, lk1=0.5, no CC</t>
  </si>
  <si>
    <t>(0.02435,0.02615)</t>
  </si>
  <si>
    <t>0.0012,0.02285</t>
  </si>
  <si>
    <t>No sel, Param, SS=10k, all props=0.4, lk1=0.5, CC</t>
  </si>
  <si>
    <t>(0.02418,0.02604)</t>
  </si>
  <si>
    <t>0.00165,0.0233</t>
  </si>
  <si>
    <t>Fut=0.75, CC, Param, SS=10k, all props=0.4, SSR=Sel, lk1=0.5, CC</t>
  </si>
  <si>
    <t>(0.02427,0.02605)</t>
  </si>
  <si>
    <t>Fut=0.25, Param, SS=10k, all props=0.4, SSR=Sel, lk1=0.5, CC</t>
  </si>
  <si>
    <t>(0.02324,0.02503)</t>
  </si>
  <si>
    <t>0.00115,0.02245</t>
  </si>
  <si>
    <t>Sel Best=2, Param, SS=10k, all props=0.4, SSR=Sel, lk1=0.5, CC</t>
  </si>
  <si>
    <t>(0.02428,0.02606)</t>
  </si>
  <si>
    <t>0.00115,0.023</t>
  </si>
  <si>
    <t>Fut=0.5, Param, SS=10k, all props=0.4, SSR=None, lk1=0.5, CC</t>
  </si>
  <si>
    <t>(0.02426,0.02605)</t>
  </si>
  <si>
    <t>0.0012,0.02265</t>
  </si>
  <si>
    <t>No sel, Param, SS=1k, all props=0.4, lk1=0.5, no CC</t>
  </si>
  <si>
    <t>(0.02455,0.02644)</t>
  </si>
  <si>
    <t>0.0019,0.02395</t>
  </si>
  <si>
    <t>y</t>
  </si>
  <si>
    <t>Fut=0.75, no CC, Param, SS=1k, all props=0.4, SSR=Sel, lk1=0.5, no CC</t>
  </si>
  <si>
    <t>(0.02503,0.02692)</t>
  </si>
  <si>
    <t>0.00165,0.02455</t>
  </si>
  <si>
    <t>Fut=0.25, Param, SS=1k, all props=0.4, SSR=Sel, lk1=0.5, no CC</t>
  </si>
  <si>
    <t>(0.02375,0.02564)</t>
  </si>
  <si>
    <t>0.00155,0.023</t>
  </si>
  <si>
    <t>Sel Best=2, Param, SS=1k, all props=0.4, SSR=Sel, lk1=0.5, no CC</t>
  </si>
  <si>
    <t>(0.02524,0.02715)</t>
  </si>
  <si>
    <t>0.00165,0.02465</t>
  </si>
  <si>
    <t>Fut=0.5, Param, SS=1k, all props=0.4, SSR=None, lk1=0.5, no CC</t>
  </si>
  <si>
    <t>(0.02512,0.02702)</t>
  </si>
  <si>
    <t>0.00165,0.02445</t>
  </si>
  <si>
    <t>No sel, Param, SS=1k, all props=0.4, lk1=0.5, CC</t>
  </si>
  <si>
    <t>(0.0236,0.02543)</t>
  </si>
  <si>
    <t>0.0017,0.0233</t>
  </si>
  <si>
    <t>Fut=0.75, CC, Param, SS=1k, all props=0.4, SSR=Sel, lk1=0.5, CC</t>
  </si>
  <si>
    <t>(0.02403,0.02585)</t>
  </si>
  <si>
    <t>0.0014,0.0238</t>
  </si>
  <si>
    <t>Fut=0.25, Param, SS=1k, all props=0.4, SSR=Sel, lk1=0.5, CC</t>
  </si>
  <si>
    <t>(0.02288,0.02471)</t>
  </si>
  <si>
    <t>0.00135,0.0223</t>
  </si>
  <si>
    <t>Sel Best=2, Param, SS=1k, all props=0.4, SSR=Sel, lk1=0.5, CC</t>
  </si>
  <si>
    <t>(0.02425,0.02609)</t>
  </si>
  <si>
    <t>0.00145,0.02385</t>
  </si>
  <si>
    <t>Fut=0.5, Param, SS=1k, all props=0.4, SSR=None, lk1=0.5, CC</t>
  </si>
  <si>
    <t>(0.02413,0.02597)</t>
  </si>
  <si>
    <t>0.00145,0.0237</t>
  </si>
  <si>
    <t>No sel, Param, SS=3k, all props=0.4, lk1=0.5, no CC</t>
  </si>
  <si>
    <t>(0.02353,0.02535)</t>
  </si>
  <si>
    <t>0.00165,0.02165</t>
  </si>
  <si>
    <t>Fut=0.75, no CC, Param, SS=3k, all props=0.4, SSR=Sel, lk1=0.5, no CC</t>
  </si>
  <si>
    <t>(0.0251,0.02701)</t>
  </si>
  <si>
    <t>0.0017,0.0223</t>
  </si>
  <si>
    <t>Fut=0.25, Param, SS=3k, all props=0.4, SSR=Sel, lk1=0.5, no CC</t>
  </si>
  <si>
    <t>(0.02381,0.02569)</t>
  </si>
  <si>
    <t>0.00155,0.02185</t>
  </si>
  <si>
    <t>Sel Best=2, Param, SS=3k, all props=0.4, SSR=Sel, lk1=0.5, no CC</t>
  </si>
  <si>
    <t>(0.0251,0.02695)</t>
  </si>
  <si>
    <t>0.0014,0.02295</t>
  </si>
  <si>
    <t>Fut=0.5, Param, SS=3k, all props=0.4, SSR=None, lk1=0.5, no CC</t>
  </si>
  <si>
    <t>(0.02502,0.02688)</t>
  </si>
  <si>
    <t>0.0014,0.023</t>
  </si>
  <si>
    <t>No sel, Param, SS=3k, all props=0.4, lk1=0.5, CC</t>
  </si>
  <si>
    <t>(0.02339,0.02521)</t>
  </si>
  <si>
    <t>0.00165,0.02145</t>
  </si>
  <si>
    <t>Fut=0.75, CC, Param, SS=3k, all props=0.4, SSR=Sel, lk1=0.5, CC</t>
  </si>
  <si>
    <t>(0.02496,0.02687)</t>
  </si>
  <si>
    <t>0.0017,0.02215</t>
  </si>
  <si>
    <t>Fut=0.25, Param, SS=3k, all props=0.4, SSR=Sel, lk1=0.5, CC</t>
  </si>
  <si>
    <t>(0.02366,0.02554)</t>
  </si>
  <si>
    <t>0.00155,0.02175</t>
  </si>
  <si>
    <t>Sel Best=2, Param, SS=3k, all props=0.4, SSR=Sel, lk1=0.5, CC</t>
  </si>
  <si>
    <t>(0.02496,0.02681)</t>
  </si>
  <si>
    <t>0.0014,0.0228</t>
  </si>
  <si>
    <t>Fut=0.5, Param, SS=3k, all props=0.4, SSR=None, lk1=0.5, CC</t>
  </si>
  <si>
    <t>(0.02488,0.02673)</t>
  </si>
  <si>
    <t>0.0014,0.0229</t>
  </si>
  <si>
    <t>Fut=0.5, Param, SS=10k, all props=0.4, SSR=None, lk1=0.75, no CC</t>
  </si>
  <si>
    <t>(0.02478,0.02797)</t>
  </si>
  <si>
    <t>0.01085,0.015</t>
  </si>
  <si>
    <t>w</t>
  </si>
  <si>
    <t>No sel, Param, SS=1k, all props=0.4, lk1=0.75, no CC</t>
  </si>
  <si>
    <t>(0.0233,0.02638)</t>
  </si>
  <si>
    <t>0.01,0.01485</t>
  </si>
  <si>
    <t>No sel, Param, SS=3k, all props=0.4, lk1=0.75, no CC</t>
  </si>
  <si>
    <t>(0.02336,0.02641)</t>
  </si>
  <si>
    <t>0.00975,0.015</t>
  </si>
  <si>
    <t>Sel Best=2, Param, SS=10k, all props=0.4, SSR=Sel, lk1=0.75, no CC</t>
  </si>
  <si>
    <t>(0.02465,0.02782)</t>
  </si>
  <si>
    <t>0.0107,0.015</t>
  </si>
  <si>
    <t>Sel Best=2, Param, SS=1k, all props=0.4, SSR=Sel, lk1=0.75, no CC</t>
  </si>
  <si>
    <t>(0.0249,0.02804)</t>
  </si>
  <si>
    <t>0.01035,0.0176</t>
  </si>
  <si>
    <t>Fut=0.5, Param, SS=3k, all props=0.4, SSR=None, lk1=0.75, no CC</t>
  </si>
  <si>
    <t>(0.02522,0.02838)</t>
  </si>
  <si>
    <t>0.01035,0.0167</t>
  </si>
  <si>
    <t>Fut=0.5, Param, SS=10k, all props=0.4, SSR=None, lk1=0.75, CC</t>
  </si>
  <si>
    <t>(0.0247,0.02789)</t>
  </si>
  <si>
    <t>No sel, Param, SS=1k, all props=0.4, lk1=0.75, CC</t>
  </si>
  <si>
    <t>(0.02243,0.02545)</t>
  </si>
  <si>
    <t>0.00965,0.01435</t>
  </si>
  <si>
    <t>No sel, Param, SS=3k, all props=0.4, lk1=0.75, CC</t>
  </si>
  <si>
    <t>(0.02322,0.02626)</t>
  </si>
  <si>
    <t>0.0097,0.0147</t>
  </si>
  <si>
    <t>Sel Best=2, Param, SS=10k, all props=0.4, SSR=Sel, lk1=0.75, CC</t>
  </si>
  <si>
    <t>(0.02457,0.02774)</t>
  </si>
  <si>
    <t>Sel Best=2, Param, SS=1k, all props=0.4, SSR=Sel, lk1=0.75, CC</t>
  </si>
  <si>
    <t>(0.02385,0.02691)</t>
  </si>
  <si>
    <t>0.0097,0.0169</t>
  </si>
  <si>
    <t>Fut=0.5, Param, SS=3k, all props=0.4, SSR=None, lk1=0.75, CC</t>
  </si>
  <si>
    <t>(0.02508,0.02824)</t>
  </si>
  <si>
    <t>0.01035,0.0166</t>
  </si>
  <si>
    <t>(0.02631,0.02909)</t>
  </si>
  <si>
    <t>0.0017,0.0252</t>
  </si>
  <si>
    <t>(0.0255,0.02825)</t>
  </si>
  <si>
    <t>0.0018,0.0232</t>
  </si>
  <si>
    <t>(0.02657,0.02952)</t>
  </si>
  <si>
    <t>0.0026,0.0255</t>
  </si>
  <si>
    <t>(0.02667,0.02962)</t>
  </si>
  <si>
    <t>0.0026,0.0258</t>
  </si>
  <si>
    <t>(0.02631,0.02922)</t>
  </si>
  <si>
    <t>0.0025,0.0258</t>
  </si>
  <si>
    <t>(0.02448,0.02736)</t>
  </si>
  <si>
    <t>0.0023,0.0224</t>
  </si>
  <si>
    <t>(0.02567,0.02843)</t>
  </si>
  <si>
    <t>(0.02607,0.0288)</t>
  </si>
  <si>
    <t>(0.02553,0.02823)</t>
  </si>
  <si>
    <t>0.0017,0.0246</t>
  </si>
  <si>
    <t>(0.02457,0.02725)</t>
  </si>
  <si>
    <t>0.0018,0.0219</t>
  </si>
  <si>
    <t>(0.02574,0.02862)</t>
  </si>
  <si>
    <t>0.0026,0.0242</t>
  </si>
  <si>
    <t>(0.02585,0.02874)</t>
  </si>
  <si>
    <t>0.0026,0.0245</t>
  </si>
  <si>
    <t>(0.0256,0.02845)</t>
  </si>
  <si>
    <t>0.0025,0.0247</t>
  </si>
  <si>
    <t>(0.02487,0.02755)</t>
  </si>
  <si>
    <t>(0.02516,0.02781)</t>
  </si>
  <si>
    <t>0.0015,0.0247</t>
  </si>
  <si>
    <t>(0.02436,0.02711)</t>
  </si>
  <si>
    <t>(0.02448,0.02723)</t>
  </si>
  <si>
    <t>(0.02463,0.02737)</t>
  </si>
  <si>
    <t>0.0021,0.024</t>
  </si>
  <si>
    <t>(0.02473,0.02747)</t>
  </si>
  <si>
    <t>0.0021,0.0242</t>
  </si>
  <si>
    <t>(0.02446,0.02715)</t>
  </si>
  <si>
    <t>0.0019,0.0243</t>
  </si>
  <si>
    <t>Test.Set</t>
  </si>
  <si>
    <t>Compare.Set</t>
  </si>
  <si>
    <t>Orig</t>
  </si>
  <si>
    <t>2/6</t>
  </si>
  <si>
    <t>Model ID</t>
  </si>
  <si>
    <t>N</t>
  </si>
  <si>
    <t>FWERCtrl</t>
  </si>
  <si>
    <t>CC</t>
  </si>
  <si>
    <t>Sel.Param</t>
  </si>
  <si>
    <t>Info.Fract</t>
  </si>
  <si>
    <t>FWER_CI</t>
  </si>
  <si>
    <t>Sel Best=1, Param, SS=600, all props=0.4, SSR=Sel, lk1=0.5, CC</t>
  </si>
  <si>
    <t>(0.02426,0.02704)</t>
  </si>
  <si>
    <t>0.0023,0.0234</t>
  </si>
  <si>
    <t>Sel Best=1, Param, SS=1000, all props=0.4, SSR=None, lk1=0.5, CC, FWCtr=None</t>
  </si>
  <si>
    <t>(0.02332,0.02596)</t>
  </si>
  <si>
    <t>0.0019,0.0249</t>
  </si>
  <si>
    <t>Sel Best=1, Param, SS=3000, all props=0.4, SSR=Sel, lk1=0.5, CC</t>
  </si>
  <si>
    <t>(0.02283,0.02529)</t>
  </si>
  <si>
    <t>0.0012,0.0225</t>
  </si>
  <si>
    <t>Sel Best=1, Param, SS=5000, all props=0.4, SSR=None, lk1=0.5, CC, FWCtr=None</t>
  </si>
  <si>
    <t>(0.02267,0.02513)</t>
  </si>
  <si>
    <t>0.0012,0.0203</t>
  </si>
  <si>
    <t>(0.02292,0.02731)</t>
  </si>
  <si>
    <t>0.0105,0.0126</t>
  </si>
  <si>
    <t>(0.02179,0.02609)</t>
  </si>
  <si>
    <t>0.0098,0.0131</t>
  </si>
  <si>
    <t>(0.0229,0.02723)</t>
  </si>
  <si>
    <t>0.0099,0.0159</t>
  </si>
  <si>
    <t>(0.02217,0.02635)</t>
  </si>
  <si>
    <t>0.0086,0.015</t>
  </si>
  <si>
    <t>(0.02522,0.02843)</t>
  </si>
  <si>
    <t>0.01085,0.0158</t>
  </si>
  <si>
    <t>(0.02333,0.02635)</t>
  </si>
  <si>
    <t>0.0094,0.0166</t>
  </si>
  <si>
    <t>(0.02489,0.02808)</t>
  </si>
  <si>
    <t>0.0107,0.01605</t>
  </si>
  <si>
    <t>Fut=0.25, Param, SS=400, all props=0.4, SSR=Sel, lk1=0.75, CC</t>
  </si>
  <si>
    <t>(0.02327,0.02775)</t>
  </si>
  <si>
    <t>0.0109,0.014</t>
  </si>
  <si>
    <t>Fut=0.25, Param, SS=1000, all props=0.4, SSR=Sel, lk1=0.75, CC</t>
  </si>
  <si>
    <t>(0.02182,0.02593)</t>
  </si>
  <si>
    <t>0.0085,0.0152</t>
  </si>
  <si>
    <t>Fut=0.25, Param, SS=3000, all props=0.4, SSR=Sel, lk1=0.75, CC</t>
  </si>
  <si>
    <t>(0.02527,0.02993)</t>
  </si>
  <si>
    <t>0.0116,0.0148</t>
  </si>
  <si>
    <t>Fut=0.25, Param, SS=5000, all props=0.4, SSR=Sel, lk1=0.75, CC</t>
  </si>
  <si>
    <t>(0.02419,0.0287)</t>
  </si>
  <si>
    <t>0.0107,0.0141</t>
  </si>
  <si>
    <t>&gt;= 5k</t>
  </si>
  <si>
    <t>FWER_LCL</t>
  </si>
  <si>
    <t>% FWER_LCL &lt; 0.025</t>
  </si>
  <si>
    <t>% UseCC</t>
  </si>
  <si>
    <t>% t1=0.5</t>
  </si>
  <si>
    <t>FWER_UCL</t>
  </si>
  <si>
    <t>N.Proxy</t>
  </si>
  <si>
    <t>Test Set 1</t>
  </si>
  <si>
    <t>No treatment selection, info fraction=0.5</t>
  </si>
  <si>
    <t>Test Set 2</t>
  </si>
  <si>
    <t>No treatment selection, info fraction=0.75</t>
  </si>
  <si>
    <t>Test Set 3</t>
  </si>
  <si>
    <t>Drop hypo with p-val &gt;  0.25, info fraction=0.5</t>
  </si>
  <si>
    <t>Test Set 4</t>
  </si>
  <si>
    <t>Drop hypo with p-val &gt;  0.25, info fraction=0.75</t>
  </si>
  <si>
    <t>Test Set 5</t>
  </si>
  <si>
    <t>Drop hypo with p-val &gt;  0.5, info fraction=0.5</t>
  </si>
  <si>
    <t>Test Set 6</t>
  </si>
  <si>
    <t>Drop hypo with p-val &gt;  0.5, info fraction=0.75</t>
  </si>
  <si>
    <t>Test Set 7</t>
  </si>
  <si>
    <t>Drop hypo with p-val &gt;  0.75, info fraction=0.5</t>
  </si>
  <si>
    <t>Test Set 8</t>
  </si>
  <si>
    <t>Drop hypo with p-val &gt;  0.75, info fraction=0.75</t>
  </si>
  <si>
    <t>Test Set 9</t>
  </si>
  <si>
    <t>Select 1 best arm, info fraction=0.5</t>
  </si>
  <si>
    <t>Test Set 10</t>
  </si>
  <si>
    <t>Select 1 best arm, info fraction=0.75</t>
  </si>
  <si>
    <t>Test Set 11</t>
  </si>
  <si>
    <t>Select 2 best arms, info fraction=0.5</t>
  </si>
  <si>
    <t>Test Set 12</t>
  </si>
  <si>
    <t>Select 2 best arms, info fraction=0.75</t>
  </si>
  <si>
    <t>Simulations results for 1 binary endpoint, 3 arms, balanced randomization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</si>
</sst>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pivotButton="1"/>
    <xf numFmtId="10" fontId="0" fillId="0" borderId="0" xfId="0" applyNumberFormat="1"/>
    <xf numFmtId="0" fontId="4" fillId="0" borderId="2" xfId="3"/>
    <xf numFmtId="10" fontId="0" fillId="35" borderId="0" xfId="0" applyNumberFormat="1" applyFill="1"/>
    <xf numFmtId="10" fontId="0" fillId="36" borderId="0" xfId="0" applyNumberFormat="1" applyFill="1"/>
    <xf numFmtId="0" fontId="16" fillId="0" borderId="10" xfId="0" applyFont="1" applyBorder="1" applyAlignment="1">
      <alignment horizontal="center" vertical="top"/>
    </xf>
    <xf numFmtId="0" fontId="0" fillId="36" borderId="0" xfId="0" applyFill="1"/>
    <xf numFmtId="9" fontId="0" fillId="0" borderId="0" xfId="42" applyFon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16" fillId="0" borderId="10" xfId="0" applyFont="1" applyBorder="1" applyAlignment="1">
      <alignment horizontal="center" vertical="top"/>
    </xf>
    <xf numFmtId="0" fontId="3" fillId="0" borderId="1" xfId="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'Comp.With.N'!$L$2</c:f>
              <c:strCache>
                <c:ptCount val="1"/>
                <c:pt idx="0">
                  <c:v>FWER_LCL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'Comp.With.N'!$S$3:$S$90</c:f>
              <c:numCache>
                <c:formatCode>General</c:formatCode>
                <c:ptCount val="88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3000</c:v>
                </c:pt>
                <c:pt idx="66">
                  <c:v>3000</c:v>
                </c:pt>
                <c:pt idx="67">
                  <c:v>3000</c:v>
                </c:pt>
                <c:pt idx="68">
                  <c:v>3000</c:v>
                </c:pt>
                <c:pt idx="69">
                  <c:v>3000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</c:numCache>
            </c:numRef>
          </c:cat>
          <c:val>
            <c:numRef>
              <c:f>'Comp.With.N'!$L$3:$L$90</c:f>
              <c:numCache>
                <c:formatCode>General</c:formatCode>
                <c:ptCount val="88"/>
                <c:pt idx="0">
                  <c:v>2.631E-2</c:v>
                </c:pt>
                <c:pt idx="1">
                  <c:v>2.5499999999999998E-2</c:v>
                </c:pt>
                <c:pt idx="2">
                  <c:v>2.657E-2</c:v>
                </c:pt>
                <c:pt idx="3">
                  <c:v>2.6669999999999999E-2</c:v>
                </c:pt>
                <c:pt idx="4">
                  <c:v>2.631E-2</c:v>
                </c:pt>
                <c:pt idx="5">
                  <c:v>2.4479999999999998E-2</c:v>
                </c:pt>
                <c:pt idx="6">
                  <c:v>2.5669999999999998E-2</c:v>
                </c:pt>
                <c:pt idx="7">
                  <c:v>2.6069999999999999E-2</c:v>
                </c:pt>
                <c:pt idx="8">
                  <c:v>2.5530000000000001E-2</c:v>
                </c:pt>
                <c:pt idx="9">
                  <c:v>2.4570000000000002E-2</c:v>
                </c:pt>
                <c:pt idx="10">
                  <c:v>2.5739999999999999E-2</c:v>
                </c:pt>
                <c:pt idx="11">
                  <c:v>2.5850000000000001E-2</c:v>
                </c:pt>
                <c:pt idx="12">
                  <c:v>2.5600000000000001E-2</c:v>
                </c:pt>
                <c:pt idx="13">
                  <c:v>2.487E-2</c:v>
                </c:pt>
                <c:pt idx="14">
                  <c:v>2.5159999999999998E-2</c:v>
                </c:pt>
                <c:pt idx="15">
                  <c:v>2.436E-2</c:v>
                </c:pt>
                <c:pt idx="16">
                  <c:v>2.4479999999999998E-2</c:v>
                </c:pt>
                <c:pt idx="17">
                  <c:v>2.4629999999999999E-2</c:v>
                </c:pt>
                <c:pt idx="18">
                  <c:v>2.4729999999999999E-2</c:v>
                </c:pt>
                <c:pt idx="19">
                  <c:v>2.4459999999999999E-2</c:v>
                </c:pt>
                <c:pt idx="20">
                  <c:v>2.3269999999999999E-2</c:v>
                </c:pt>
                <c:pt idx="21">
                  <c:v>2.6859999999999998E-2</c:v>
                </c:pt>
                <c:pt idx="22">
                  <c:v>2.4199999999999999E-2</c:v>
                </c:pt>
                <c:pt idx="23">
                  <c:v>2.571E-2</c:v>
                </c:pt>
                <c:pt idx="24">
                  <c:v>2.4039999999999999E-2</c:v>
                </c:pt>
                <c:pt idx="25">
                  <c:v>2.5229999999999999E-2</c:v>
                </c:pt>
                <c:pt idx="26">
                  <c:v>2.4330000000000001E-2</c:v>
                </c:pt>
                <c:pt idx="27">
                  <c:v>2.6159999999999999E-2</c:v>
                </c:pt>
                <c:pt idx="28">
                  <c:v>2.478E-2</c:v>
                </c:pt>
                <c:pt idx="29">
                  <c:v>2.3910000000000001E-2</c:v>
                </c:pt>
                <c:pt idx="30">
                  <c:v>2.3529999999999999E-2</c:v>
                </c:pt>
                <c:pt idx="31">
                  <c:v>2.4170000000000001E-2</c:v>
                </c:pt>
                <c:pt idx="32">
                  <c:v>2.426E-2</c:v>
                </c:pt>
                <c:pt idx="33">
                  <c:v>2.2919999999999999E-2</c:v>
                </c:pt>
                <c:pt idx="34">
                  <c:v>2.4549999999999999E-2</c:v>
                </c:pt>
                <c:pt idx="35">
                  <c:v>2.503E-2</c:v>
                </c:pt>
                <c:pt idx="36">
                  <c:v>2.375E-2</c:v>
                </c:pt>
                <c:pt idx="37">
                  <c:v>2.5239999999999999E-2</c:v>
                </c:pt>
                <c:pt idx="38">
                  <c:v>2.512E-2</c:v>
                </c:pt>
                <c:pt idx="39">
                  <c:v>2.3599999999999999E-2</c:v>
                </c:pt>
                <c:pt idx="40">
                  <c:v>2.4029999999999999E-2</c:v>
                </c:pt>
                <c:pt idx="41">
                  <c:v>2.2880000000000001E-2</c:v>
                </c:pt>
                <c:pt idx="42">
                  <c:v>2.4250000000000001E-2</c:v>
                </c:pt>
                <c:pt idx="43">
                  <c:v>2.4129999999999999E-2</c:v>
                </c:pt>
                <c:pt idx="44">
                  <c:v>2.3300000000000001E-2</c:v>
                </c:pt>
                <c:pt idx="45">
                  <c:v>2.4899999999999999E-2</c:v>
                </c:pt>
                <c:pt idx="46">
                  <c:v>2.2429999999999999E-2</c:v>
                </c:pt>
                <c:pt idx="47">
                  <c:v>2.385E-2</c:v>
                </c:pt>
                <c:pt idx="48">
                  <c:v>2.332E-2</c:v>
                </c:pt>
                <c:pt idx="49">
                  <c:v>2.179E-2</c:v>
                </c:pt>
                <c:pt idx="50">
                  <c:v>2.333E-2</c:v>
                </c:pt>
                <c:pt idx="51">
                  <c:v>2.1819999999999999E-2</c:v>
                </c:pt>
                <c:pt idx="52">
                  <c:v>2.3529999999999999E-2</c:v>
                </c:pt>
                <c:pt idx="53">
                  <c:v>2.5100000000000001E-2</c:v>
                </c:pt>
                <c:pt idx="54">
                  <c:v>2.3810000000000001E-2</c:v>
                </c:pt>
                <c:pt idx="55">
                  <c:v>2.5100000000000001E-2</c:v>
                </c:pt>
                <c:pt idx="56">
                  <c:v>2.5020000000000001E-2</c:v>
                </c:pt>
                <c:pt idx="57">
                  <c:v>2.3390000000000001E-2</c:v>
                </c:pt>
                <c:pt idx="58">
                  <c:v>2.496E-2</c:v>
                </c:pt>
                <c:pt idx="59">
                  <c:v>2.366E-2</c:v>
                </c:pt>
                <c:pt idx="60">
                  <c:v>2.496E-2</c:v>
                </c:pt>
                <c:pt idx="61">
                  <c:v>2.4879999999999999E-2</c:v>
                </c:pt>
                <c:pt idx="62">
                  <c:v>2.3359999999999999E-2</c:v>
                </c:pt>
                <c:pt idx="63">
                  <c:v>2.5219999999999999E-2</c:v>
                </c:pt>
                <c:pt idx="64">
                  <c:v>2.3220000000000001E-2</c:v>
                </c:pt>
                <c:pt idx="65">
                  <c:v>2.5080000000000002E-2</c:v>
                </c:pt>
                <c:pt idx="66">
                  <c:v>2.283E-2</c:v>
                </c:pt>
                <c:pt idx="67">
                  <c:v>2.29E-2</c:v>
                </c:pt>
                <c:pt idx="68">
                  <c:v>2.4889999999999999E-2</c:v>
                </c:pt>
                <c:pt idx="69">
                  <c:v>2.5270000000000001E-2</c:v>
                </c:pt>
                <c:pt idx="70">
                  <c:v>2.2669999999999999E-2</c:v>
                </c:pt>
                <c:pt idx="71">
                  <c:v>2.2169999999999999E-2</c:v>
                </c:pt>
                <c:pt idx="72">
                  <c:v>2.5219999999999999E-2</c:v>
                </c:pt>
                <c:pt idx="73">
                  <c:v>2.419E-2</c:v>
                </c:pt>
                <c:pt idx="74">
                  <c:v>2.4279999999999999E-2</c:v>
                </c:pt>
                <c:pt idx="75">
                  <c:v>2.436E-2</c:v>
                </c:pt>
                <c:pt idx="76">
                  <c:v>2.332E-2</c:v>
                </c:pt>
                <c:pt idx="77">
                  <c:v>2.4379999999999999E-2</c:v>
                </c:pt>
                <c:pt idx="78">
                  <c:v>2.435E-2</c:v>
                </c:pt>
                <c:pt idx="79">
                  <c:v>2.418E-2</c:v>
                </c:pt>
                <c:pt idx="80">
                  <c:v>2.427E-2</c:v>
                </c:pt>
                <c:pt idx="81">
                  <c:v>2.324E-2</c:v>
                </c:pt>
                <c:pt idx="82">
                  <c:v>2.4279999999999999E-2</c:v>
                </c:pt>
                <c:pt idx="83">
                  <c:v>2.426E-2</c:v>
                </c:pt>
                <c:pt idx="84">
                  <c:v>2.478E-2</c:v>
                </c:pt>
                <c:pt idx="85">
                  <c:v>2.4649999999999998E-2</c:v>
                </c:pt>
                <c:pt idx="86">
                  <c:v>2.47E-2</c:v>
                </c:pt>
                <c:pt idx="87">
                  <c:v>2.4570000000000002E-2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1-410A-942A-2F290F95D7FA}"/>
            </c:ext>
          </c:extLst>
        </c:ser>
        <c:ser>
          <c:idx val="1"/>
          <c:order val="1"/>
          <c:tx>
            <c:strRef>
              <c:f>'Comp.With.N'!$M$2</c:f>
              <c:strCache>
                <c:ptCount val="1"/>
                <c:pt idx="0">
                  <c:v>FWER_UCL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'Comp.With.N'!$S$3:$S$90</c:f>
              <c:numCache>
                <c:formatCode>General</c:formatCode>
                <c:ptCount val="88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600</c:v>
                </c:pt>
                <c:pt idx="29">
                  <c:v>600</c:v>
                </c:pt>
                <c:pt idx="30">
                  <c:v>600</c:v>
                </c:pt>
                <c:pt idx="31">
                  <c:v>600</c:v>
                </c:pt>
                <c:pt idx="32">
                  <c:v>600</c:v>
                </c:pt>
                <c:pt idx="33">
                  <c:v>600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3000</c:v>
                </c:pt>
                <c:pt idx="66">
                  <c:v>3000</c:v>
                </c:pt>
                <c:pt idx="67">
                  <c:v>3000</c:v>
                </c:pt>
                <c:pt idx="68">
                  <c:v>3000</c:v>
                </c:pt>
                <c:pt idx="69">
                  <c:v>3000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</c:numCache>
            </c:numRef>
          </c:cat>
          <c:val>
            <c:numRef>
              <c:f>'Comp.With.N'!$M$3:$M$90</c:f>
              <c:numCache>
                <c:formatCode>General</c:formatCode>
                <c:ptCount val="88"/>
                <c:pt idx="0">
                  <c:v>2.9090000000000001E-2</c:v>
                </c:pt>
                <c:pt idx="1">
                  <c:v>2.8250000000000001E-2</c:v>
                </c:pt>
                <c:pt idx="2">
                  <c:v>2.9520000000000001E-2</c:v>
                </c:pt>
                <c:pt idx="3">
                  <c:v>2.962E-2</c:v>
                </c:pt>
                <c:pt idx="4">
                  <c:v>2.9219999999999999E-2</c:v>
                </c:pt>
                <c:pt idx="5">
                  <c:v>2.7359999999999999E-2</c:v>
                </c:pt>
                <c:pt idx="6">
                  <c:v>2.843E-2</c:v>
                </c:pt>
                <c:pt idx="7">
                  <c:v>2.8799999999999999E-2</c:v>
                </c:pt>
                <c:pt idx="8">
                  <c:v>2.8230000000000002E-2</c:v>
                </c:pt>
                <c:pt idx="9">
                  <c:v>2.725E-2</c:v>
                </c:pt>
                <c:pt idx="10">
                  <c:v>2.862E-2</c:v>
                </c:pt>
                <c:pt idx="11">
                  <c:v>2.8740000000000002E-2</c:v>
                </c:pt>
                <c:pt idx="12">
                  <c:v>2.845E-2</c:v>
                </c:pt>
                <c:pt idx="13">
                  <c:v>2.7550000000000002E-2</c:v>
                </c:pt>
                <c:pt idx="14">
                  <c:v>2.7810000000000001E-2</c:v>
                </c:pt>
                <c:pt idx="15">
                  <c:v>2.7109999999999999E-2</c:v>
                </c:pt>
                <c:pt idx="16">
                  <c:v>2.7230000000000001E-2</c:v>
                </c:pt>
                <c:pt idx="17">
                  <c:v>2.7369999999999998E-2</c:v>
                </c:pt>
                <c:pt idx="18">
                  <c:v>2.7470000000000001E-2</c:v>
                </c:pt>
                <c:pt idx="19">
                  <c:v>2.7150000000000001E-2</c:v>
                </c:pt>
                <c:pt idx="20">
                  <c:v>2.775E-2</c:v>
                </c:pt>
                <c:pt idx="21">
                  <c:v>3.1789999999999999E-2</c:v>
                </c:pt>
                <c:pt idx="22">
                  <c:v>2.8680000000000001E-2</c:v>
                </c:pt>
                <c:pt idx="23">
                  <c:v>3.041E-2</c:v>
                </c:pt>
                <c:pt idx="24">
                  <c:v>2.843E-2</c:v>
                </c:pt>
                <c:pt idx="25">
                  <c:v>2.9850000000000002E-2</c:v>
                </c:pt>
                <c:pt idx="26">
                  <c:v>2.887E-2</c:v>
                </c:pt>
                <c:pt idx="27">
                  <c:v>3.0870000000000002E-2</c:v>
                </c:pt>
                <c:pt idx="28">
                  <c:v>2.9530000000000001E-2</c:v>
                </c:pt>
                <c:pt idx="29">
                  <c:v>2.8510000000000001E-2</c:v>
                </c:pt>
                <c:pt idx="30">
                  <c:v>2.8029999999999999E-2</c:v>
                </c:pt>
                <c:pt idx="31">
                  <c:v>2.8740000000000002E-2</c:v>
                </c:pt>
                <c:pt idx="32">
                  <c:v>2.7040000000000002E-2</c:v>
                </c:pt>
                <c:pt idx="33">
                  <c:v>2.7310000000000001E-2</c:v>
                </c:pt>
                <c:pt idx="34">
                  <c:v>2.6440000000000002E-2</c:v>
                </c:pt>
                <c:pt idx="35">
                  <c:v>2.6919999999999999E-2</c:v>
                </c:pt>
                <c:pt idx="36">
                  <c:v>2.564E-2</c:v>
                </c:pt>
                <c:pt idx="37">
                  <c:v>2.7150000000000001E-2</c:v>
                </c:pt>
                <c:pt idx="38">
                  <c:v>2.7019999999999999E-2</c:v>
                </c:pt>
                <c:pt idx="39">
                  <c:v>2.5430000000000001E-2</c:v>
                </c:pt>
                <c:pt idx="40">
                  <c:v>2.5850000000000001E-2</c:v>
                </c:pt>
                <c:pt idx="41">
                  <c:v>2.4709999999999999E-2</c:v>
                </c:pt>
                <c:pt idx="42">
                  <c:v>2.6089999999999999E-2</c:v>
                </c:pt>
                <c:pt idx="43">
                  <c:v>2.597E-2</c:v>
                </c:pt>
                <c:pt idx="44">
                  <c:v>2.6380000000000001E-2</c:v>
                </c:pt>
                <c:pt idx="45">
                  <c:v>2.8039999999999999E-2</c:v>
                </c:pt>
                <c:pt idx="46">
                  <c:v>2.545E-2</c:v>
                </c:pt>
                <c:pt idx="47">
                  <c:v>2.691E-2</c:v>
                </c:pt>
                <c:pt idx="48">
                  <c:v>2.596E-2</c:v>
                </c:pt>
                <c:pt idx="49">
                  <c:v>2.6089999999999999E-2</c:v>
                </c:pt>
                <c:pt idx="50">
                  <c:v>2.6349999999999998E-2</c:v>
                </c:pt>
                <c:pt idx="51">
                  <c:v>2.5930000000000002E-2</c:v>
                </c:pt>
                <c:pt idx="52">
                  <c:v>2.5350000000000001E-2</c:v>
                </c:pt>
                <c:pt idx="53">
                  <c:v>2.7009999999999999E-2</c:v>
                </c:pt>
                <c:pt idx="54">
                  <c:v>2.5690000000000001E-2</c:v>
                </c:pt>
                <c:pt idx="55">
                  <c:v>2.6950000000000002E-2</c:v>
                </c:pt>
                <c:pt idx="56">
                  <c:v>2.6880000000000001E-2</c:v>
                </c:pt>
                <c:pt idx="57">
                  <c:v>2.521E-2</c:v>
                </c:pt>
                <c:pt idx="58">
                  <c:v>2.6870000000000002E-2</c:v>
                </c:pt>
                <c:pt idx="59">
                  <c:v>2.554E-2</c:v>
                </c:pt>
                <c:pt idx="60">
                  <c:v>2.681E-2</c:v>
                </c:pt>
                <c:pt idx="61">
                  <c:v>2.673E-2</c:v>
                </c:pt>
                <c:pt idx="62">
                  <c:v>2.6409999999999999E-2</c:v>
                </c:pt>
                <c:pt idx="63">
                  <c:v>2.8379999999999999E-2</c:v>
                </c:pt>
                <c:pt idx="64">
                  <c:v>2.6259999999999999E-2</c:v>
                </c:pt>
                <c:pt idx="65">
                  <c:v>2.8240000000000001E-2</c:v>
                </c:pt>
                <c:pt idx="66">
                  <c:v>2.529E-2</c:v>
                </c:pt>
                <c:pt idx="67">
                  <c:v>2.7230000000000001E-2</c:v>
                </c:pt>
                <c:pt idx="68">
                  <c:v>2.8080000000000001E-2</c:v>
                </c:pt>
                <c:pt idx="69">
                  <c:v>2.9929999999999998E-2</c:v>
                </c:pt>
                <c:pt idx="70">
                  <c:v>2.513E-2</c:v>
                </c:pt>
                <c:pt idx="71">
                  <c:v>2.6349999999999998E-2</c:v>
                </c:pt>
                <c:pt idx="72">
                  <c:v>2.843E-2</c:v>
                </c:pt>
                <c:pt idx="73">
                  <c:v>2.87E-2</c:v>
                </c:pt>
                <c:pt idx="74">
                  <c:v>2.614E-2</c:v>
                </c:pt>
                <c:pt idx="75">
                  <c:v>2.615E-2</c:v>
                </c:pt>
                <c:pt idx="76">
                  <c:v>2.512E-2</c:v>
                </c:pt>
                <c:pt idx="77">
                  <c:v>2.6159999999999999E-2</c:v>
                </c:pt>
                <c:pt idx="78">
                  <c:v>2.615E-2</c:v>
                </c:pt>
                <c:pt idx="79">
                  <c:v>2.6040000000000001E-2</c:v>
                </c:pt>
                <c:pt idx="80">
                  <c:v>2.605E-2</c:v>
                </c:pt>
                <c:pt idx="81">
                  <c:v>2.503E-2</c:v>
                </c:pt>
                <c:pt idx="82">
                  <c:v>2.606E-2</c:v>
                </c:pt>
                <c:pt idx="83">
                  <c:v>2.605E-2</c:v>
                </c:pt>
                <c:pt idx="84">
                  <c:v>2.7969999999999998E-2</c:v>
                </c:pt>
                <c:pt idx="85">
                  <c:v>2.7820000000000001E-2</c:v>
                </c:pt>
                <c:pt idx="86">
                  <c:v>2.7890000000000002E-2</c:v>
                </c:pt>
                <c:pt idx="87">
                  <c:v>2.7740000000000001E-2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21-410A-942A-2F290F95D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454111"/>
        <c:axId val="688445951"/>
      </c:lineChart>
      <c:catAx>
        <c:axId val="68845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45951"/>
        <c:crosses val="autoZero"/>
        <c:auto val="1"/>
        <c:lblAlgn val="ctr"/>
        <c:lblOffset val="100"/>
        <c:noMultiLvlLbl val="0"/>
      </c:catAx>
      <c:valAx>
        <c:axId val="688445951"/>
        <c:scaling>
          <c:orientation val="minMax"/>
          <c:max val="3.3000000000000008E-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5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plotArea>
      <cx:plotAreaRegion>
        <cx:series layoutId="boxWhisker" uniqueId="{00000000-5FE2-4732-8253-255D2C620C38}">
          <cx:tx>
            <cx:txData>
              <cx:f>_xlchart.v1.0</cx:f>
              <cx:v>FWER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Sample Size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Sample Size</a:t>
              </a:r>
            </a:p>
          </cx:txPr>
        </cx:title>
        <cx:tickLabels/>
      </cx:axis>
      <cx:axis id="1">
        <cx:valScaling max="0.030000000000000006" min="0.023000000000000007"/>
        <cx:title>
          <cx:tx>
            <cx:txData>
              <cx:v>FWER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FWER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_xlchart.v1.4</cx:f>
      </cx:numDim>
    </cx:data>
  </cx:chartData>
  <cx:chart>
    <cx:plotArea>
      <cx:plotAreaRegion>
        <cx:series layoutId="boxWhisker" uniqueId="{00000000-538D-443D-A7F8-AE9DCEF29D91}">
          <cx:tx>
            <cx:txData>
              <cx:f>_xlchart.v1.3</cx:f>
              <cx:v>FWER_UCL</cx:v>
            </cx:txData>
          </cx:tx>
          <cx:dataId val="0"/>
          <cx:layoutPr>
            <cx:visibility meanMarker="1" nonoutliers="0" outliers="1"/>
            <cx:statistics quartileMethod="exclusive"/>
          </cx:layoutPr>
        </cx:series>
      </cx:plotAreaRegion>
      <cx:axis id="0">
        <cx:catScaling gapWidth="0.5"/>
        <cx:title>
          <cx:tx>
            <cx:txData>
              <cx:v>Sample Size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Sample Size</a:t>
              </a:r>
            </a:p>
          </cx:txPr>
        </cx:title>
        <cx:tickLabels/>
      </cx:axis>
      <cx:axis id="1">
        <cx:valScaling max="0.032000000000000008" min="0.024000000000000004"/>
        <cx:title>
          <cx:tx>
            <cx:txData>
              <cx:v>FWER - 95% UCL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 b="1">
                  <a:solidFill>
                    <a:sysClr val="windowText" lastClr="000000"/>
                  </a:solidFill>
                </a:defRPr>
              </a:pPr>
              <a:r>
                <a:rPr lang="en-US" sz="11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FWER - 95% UCL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0</xdr:colOff>
      <xdr:row>74</xdr:row>
      <xdr:rowOff>190499</xdr:rowOff>
    </xdr:from>
    <xdr:to>
      <xdr:col>68</xdr:col>
      <xdr:colOff>476250</xdr:colOff>
      <xdr:row>94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B3470B6-6C46-4E1A-865F-8024050F29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43550" y="14287499"/>
              <a:ext cx="7134225" cy="3705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84</xdr:col>
      <xdr:colOff>609599</xdr:colOff>
      <xdr:row>2</xdr:row>
      <xdr:rowOff>190499</xdr:rowOff>
    </xdr:from>
    <xdr:to>
      <xdr:col>94</xdr:col>
      <xdr:colOff>447674</xdr:colOff>
      <xdr:row>22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4048127-9933-44BB-AFB0-2812529AFA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31674" y="571499"/>
              <a:ext cx="5934075" cy="3781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85</xdr:col>
      <xdr:colOff>0</xdr:colOff>
      <xdr:row>25</xdr:row>
      <xdr:rowOff>0</xdr:rowOff>
    </xdr:from>
    <xdr:to>
      <xdr:col>99</xdr:col>
      <xdr:colOff>495300</xdr:colOff>
      <xdr:row>48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2BFE77-BC1B-408F-A602-82097922F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ruddha Deshmukh" refreshedDate="45972.770640162038" createdVersion="8" refreshedVersion="8" minRefreshableVersion="3" recordCount="48" xr:uid="{87FF63D8-685A-4F0F-AB19-AC80205E83E5}">
  <cacheSource type="worksheet">
    <worksheetSource name="Table1"/>
  </cacheSource>
  <cacheFields count="52">
    <cacheField name="ModelID" numFmtId="0">
      <sharedItems containsSemiMixedTypes="0" containsString="0" containsNumber="1" containsInteger="1" minValue="9" maxValue="56"/>
    </cacheField>
    <cacheField name="Scenario" numFmtId="0">
      <sharedItems/>
    </cacheField>
    <cacheField name="seed" numFmtId="0">
      <sharedItems containsSemiMixedTypes="0" containsString="0" containsNumber="1" containsInteger="1" minValue="343" maxValue="97827"/>
    </cacheField>
    <cacheField name="Global.Power" numFmtId="0">
      <sharedItems containsSemiMixedTypes="0" containsString="0" containsNumber="1" minValue="2.1980300000000001E-2" maxValue="2.9327499999999999E-2"/>
    </cacheField>
    <cacheField name="Conjunctive.Power" numFmtId="0">
      <sharedItems containsSemiMixedTypes="0" containsString="0" containsNumber="1" containsInteger="1" minValue="0" maxValue="0"/>
    </cacheField>
    <cacheField name="Disjunctive.Power" numFmtId="0">
      <sharedItems containsSemiMixedTypes="0" containsString="0" containsNumber="1" containsInteger="1" minValue="0" maxValue="0"/>
    </cacheField>
    <cacheField name="FWER" numFmtId="0">
      <sharedItems containsSemiMixedTypes="0" containsString="0" containsNumber="1" minValue="2.1980300000000001E-2" maxValue="2.9327499999999999E-2" count="48">
        <n v="2.9327499999999999E-2"/>
        <n v="2.34749E-2"/>
        <n v="2.64368E-2"/>
        <n v="2.8061699999999998E-2"/>
        <n v="2.62318E-2"/>
        <n v="2.7538900000000002E-2"/>
        <n v="2.6602399999999998E-2"/>
        <n v="2.8512200000000001E-2"/>
        <n v="2.76181E-2"/>
        <n v="2.6753900000000001E-2"/>
        <n v="2.7951400000000001E-2"/>
        <n v="2.8054099999999998E-2"/>
        <n v="2.76753E-2"/>
        <n v="2.5810699999999999E-2"/>
        <n v="2.69053E-2"/>
        <n v="2.7331899999999999E-2"/>
        <n v="2.6464499999999998E-2"/>
        <n v="2.5788599999999998E-2"/>
        <n v="2.7101799999999999E-2"/>
        <n v="2.7215199999999998E-2"/>
        <n v="2.6939999999999999E-2"/>
        <n v="2.53111E-2"/>
        <n v="2.6077599999999999E-2"/>
        <n v="2.6402200000000001E-2"/>
        <n v="2.71547E-2"/>
        <n v="2.1980300000000001E-2"/>
        <n v="2.4547800000000002E-2"/>
        <n v="2.6209799999999998E-2"/>
        <n v="2.4305899999999998E-2"/>
        <n v="2.5780600000000001E-2"/>
        <n v="2.5461500000000001E-2"/>
        <n v="2.64572E-2"/>
        <n v="2.5337599999999998E-2"/>
        <n v="2.4609300000000001E-2"/>
        <n v="2.55775E-2"/>
        <n v="2.56914E-2"/>
        <n v="2.5402600000000001E-2"/>
        <n v="2.3880100000000001E-2"/>
        <n v="2.5039100000000002E-2"/>
        <n v="2.50592E-2"/>
        <n v="2.5370400000000001E-2"/>
        <n v="2.4681700000000001E-2"/>
        <n v="2.58205E-2"/>
        <n v="2.5919299999999999E-2"/>
        <n v="2.564E-2"/>
        <n v="2.4146500000000001E-2"/>
        <n v="2.5001700000000002E-2"/>
        <n v="2.5183199999999999E-2"/>
      </sharedItems>
    </cacheField>
    <cacheField name="CI_95perc_Global.Power" numFmtId="0">
      <sharedItems/>
    </cacheField>
    <cacheField name="CI_95perc_Conjunctive.Power" numFmtId="0">
      <sharedItems/>
    </cacheField>
    <cacheField name="CI_95perc_Disjunctive.Power" numFmtId="0">
      <sharedItems/>
    </cacheField>
    <cacheField name="CI_95perc_FWER" numFmtId="0">
      <sharedItems/>
    </cacheField>
    <cacheField name="StagewiseRejection_Count" numFmtId="3">
      <sharedItems containsSemiMixedTypes="0" containsString="0" containsNumber="1" containsInteger="1" minValue="12236" maxValue="138158"/>
    </cacheField>
    <cacheField name="StagewiseRejection_Percentage" numFmtId="0">
      <sharedItems/>
    </cacheField>
    <cacheField name="HoursTaken" numFmtId="0">
      <sharedItems containsSemiMixedTypes="0" containsString="0" containsNumber="1" minValue="0.18133888112174101" maxValue="0.54952519887023499"/>
    </cacheField>
    <cacheField name="Input" numFmtId="0">
      <sharedItems/>
    </cacheField>
    <cacheField name="Method" numFmtId="0">
      <sharedItems/>
    </cacheField>
    <cacheField name="SampleSize" numFmtId="0">
      <sharedItems containsSemiMixedTypes="0" containsString="0" containsNumber="1" containsInteger="1" minValue="400" maxValue="600"/>
    </cacheField>
    <cacheField name="alpha" numFmtId="0">
      <sharedItems containsSemiMixedTypes="0" containsString="0" containsNumber="1" minValue="2.5000000000000001E-2" maxValue="2.5000000000000001E-2"/>
    </cacheField>
    <cacheField name="TestStatCont" numFmtId="0">
      <sharedItems/>
    </cacheField>
    <cacheField name="CommonStdDev" numFmtId="0">
      <sharedItems/>
    </cacheField>
    <cacheField name="TestStatBin" numFmtId="0">
      <sharedItems/>
    </cacheField>
    <cacheField name="FWERControl" numFmtId="0">
      <sharedItems count="2">
        <s v="CombinationTest"/>
        <s v="None"/>
      </sharedItems>
    </cacheField>
    <cacheField name="nArms" numFmtId="0">
      <sharedItems containsSemiMixedTypes="0" containsString="0" containsNumber="1" containsInteger="1" minValue="3" maxValue="3"/>
    </cacheField>
    <cacheField name="nEps" numFmtId="0">
      <sharedItems containsSemiMixedTypes="0" containsString="0" containsNumber="1" containsInteger="1" minValue="1" maxValue="1"/>
    </cacheField>
    <cacheField name="lEpType" numFmtId="0">
      <sharedItems/>
    </cacheField>
    <cacheField name="Arms.Mean" numFmtId="0">
      <sharedItems/>
    </cacheField>
    <cacheField name="Arms.std.dev" numFmtId="0">
      <sharedItems/>
    </cacheField>
    <cacheField name="Arms.Prop" numFmtId="0">
      <sharedItems/>
    </cacheField>
    <cacheField name="Arms.alloc.ratio" numFmtId="0">
      <sharedItems/>
    </cacheField>
    <cacheField name="EP.Corr" numFmtId="0">
      <sharedItems/>
    </cacheField>
    <cacheField name="WI" numFmtId="0">
      <sharedItems/>
    </cacheField>
    <cacheField name="G" numFmtId="0">
      <sharedItems/>
    </cacheField>
    <cacheField name="test.type" numFmtId="0">
      <sharedItems/>
    </cacheField>
    <cacheField name="info_frac" numFmtId="0">
      <sharedItems/>
    </cacheField>
    <cacheField name="typeOfDesign" numFmtId="0">
      <sharedItems/>
    </cacheField>
    <cacheField name="MultipleWinners" numFmtId="0">
      <sharedItems/>
    </cacheField>
    <cacheField name="Selection" numFmtId="0">
      <sharedItems count="2">
        <b v="0"/>
        <b v="1"/>
      </sharedItems>
    </cacheField>
    <cacheField name="SelectionLook" numFmtId="0">
      <sharedItems containsMixedTypes="1" containsNumber="1" containsInteger="1" minValue="1" maxValue="1"/>
    </cacheField>
    <cacheField name="SelectEndPoint" numFmtId="0">
      <sharedItems containsMixedTypes="1" containsNumber="1" containsInteger="1" minValue="1" maxValue="1"/>
    </cacheField>
    <cacheField name="SelectionScale" numFmtId="0">
      <sharedItems/>
    </cacheField>
    <cacheField name="SelectionCriterion" numFmtId="0">
      <sharedItems/>
    </cacheField>
    <cacheField name="SelectionParmeter" numFmtId="0">
      <sharedItems containsMixedTypes="1" containsNumber="1" minValue="0.25" maxValue="2"/>
    </cacheField>
    <cacheField name="KeepAssosiatedEps" numFmtId="0">
      <sharedItems/>
    </cacheField>
    <cacheField name="ImplicitSSR" numFmtId="0">
      <sharedItems count="2">
        <s v="None"/>
        <s v="Selection"/>
      </sharedItems>
    </cacheField>
    <cacheField name="nSimulation" numFmtId="0">
      <sharedItems containsSemiMixedTypes="0" containsString="0" containsNumber="1" containsInteger="1" minValue="10000" maxValue="10000"/>
    </cacheField>
    <cacheField name="nSimulation_Stage2" numFmtId="0">
      <sharedItems containsSemiMixedTypes="0" containsString="0" containsNumber="1" containsInteger="1" minValue="1000" maxValue="1000"/>
    </cacheField>
    <cacheField name="Seed2" numFmtId="0">
      <sharedItems containsSemiMixedTypes="0" containsString="0" containsNumber="1" containsInteger="1" minValue="343" maxValue="97827"/>
    </cacheField>
    <cacheField name="SummaryStat" numFmtId="0">
      <sharedItems/>
    </cacheField>
    <cacheField name="plotGraphs" numFmtId="0">
      <sharedItems/>
    </cacheField>
    <cacheField name="Parallel" numFmtId="0">
      <sharedItems/>
    </cacheField>
    <cacheField name="UseCC" numFmtId="0">
      <sharedItems count="2">
        <b v="0"/>
        <b v="1"/>
      </sharedItems>
    </cacheField>
    <cacheField name="Pass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9"/>
    <s v="No sel, Param, SS=600, all props=0.4, lk1=0.75, no CC"/>
    <n v="64564"/>
    <n v="2.9327499999999999E-2"/>
    <n v="0"/>
    <n v="0"/>
    <x v="0"/>
    <s v="(0.02686,0.03179)"/>
    <s v="(0,0)"/>
    <s v="(0,0)"/>
    <s v="(0.02686,0.03179)"/>
    <n v="138158"/>
    <s v="0.0138,0.0158"/>
    <n v="0.52662981192270897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0"/>
    <s v="NA"/>
    <s v="NA"/>
    <s v="NA"/>
    <s v="NA"/>
    <s v="NA"/>
    <s v="NA"/>
    <x v="0"/>
    <n v="10000"/>
    <n v="1000"/>
    <n v="64564"/>
    <b v="1"/>
    <b v="0"/>
    <b v="1"/>
    <x v="0"/>
    <x v="0"/>
  </r>
  <r>
    <n v="10"/>
    <s v="Sel Best=1, Param, SS=600, all props=0.4, SSR=None, lk1=0.75, no CC"/>
    <n v="73236"/>
    <n v="2.34749E-2"/>
    <n v="0"/>
    <n v="0"/>
    <x v="1"/>
    <s v="(0.0214,0.02555)"/>
    <s v="(0,0)"/>
    <s v="(0,0)"/>
    <s v="(0.0214,0.02555)"/>
    <n v="90158"/>
    <s v="0.009,0.0158"/>
    <n v="0.43923632416460301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delta"/>
    <s v="best"/>
    <n v="1"/>
    <b v="0"/>
    <x v="0"/>
    <n v="10000"/>
    <n v="1000"/>
    <n v="73236"/>
    <b v="1"/>
    <b v="0"/>
    <b v="1"/>
    <x v="0"/>
    <x v="1"/>
  </r>
  <r>
    <n v="11"/>
    <s v="Fut=0.5, Param, SS=600, all props=0.4, SSR=None, lk1=0.75, no CC"/>
    <n v="11111"/>
    <n v="2.64368E-2"/>
    <n v="0"/>
    <n v="0"/>
    <x v="2"/>
    <s v="(0.0242,0.02868)"/>
    <s v="(0,0)"/>
    <s v="(0,0)"/>
    <s v="(0.0242,0.02868)"/>
    <n v="109148"/>
    <s v="0.0109,0.0148"/>
    <n v="0.31035773336887401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threshold"/>
    <n v="0.5"/>
    <b v="0"/>
    <x v="0"/>
    <n v="10000"/>
    <n v="1000"/>
    <n v="11111"/>
    <b v="1"/>
    <b v="0"/>
    <b v="1"/>
    <x v="0"/>
    <x v="0"/>
  </r>
  <r>
    <n v="12"/>
    <s v="Fut=0.75, no CC, Param, SS=600, all props=0.4, SSR=Sel, lk1=0.75, no CC"/>
    <n v="343"/>
    <n v="2.8061699999999998E-2"/>
    <n v="0"/>
    <n v="0"/>
    <x v="3"/>
    <s v="(0.02571,0.03041)"/>
    <s v="(0,0)"/>
    <s v="(0,0)"/>
    <s v="(0.02571,0.03041)"/>
    <n v="121148"/>
    <s v="0.0121,0.0148"/>
    <n v="0.40154920915762599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threshold"/>
    <n v="0.75"/>
    <b v="1"/>
    <x v="1"/>
    <n v="10000"/>
    <n v="1000"/>
    <n v="343"/>
    <b v="1"/>
    <b v="0"/>
    <b v="1"/>
    <x v="0"/>
    <x v="0"/>
  </r>
  <r>
    <n v="13"/>
    <s v="Fut=0.5, Param, SS=600, all props=0.4, SSR=Sel, lk1=0.75, no CC"/>
    <n v="84234"/>
    <n v="2.62318E-2"/>
    <n v="0"/>
    <n v="0"/>
    <x v="4"/>
    <s v="(0.02404,0.02843)"/>
    <s v="(0,0)"/>
    <s v="(0,0)"/>
    <s v="(0.02404,0.02843)"/>
    <n v="101170"/>
    <s v="0.0101,0.017"/>
    <n v="0.31512181831730701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threshold"/>
    <n v="0.5"/>
    <b v="1"/>
    <x v="1"/>
    <n v="10000"/>
    <n v="1000"/>
    <n v="84234"/>
    <b v="1"/>
    <b v="0"/>
    <b v="1"/>
    <x v="0"/>
    <x v="0"/>
  </r>
  <r>
    <n v="14"/>
    <s v="Fut=0.25, Param, SS=600, all props=0.4, SSR=Sel, lk1=0.75, no CC"/>
    <n v="4346"/>
    <n v="2.7538900000000002E-2"/>
    <n v="0"/>
    <n v="0"/>
    <x v="5"/>
    <s v="(0.02523,0.02985)"/>
    <s v="(0,0)"/>
    <s v="(0,0)"/>
    <s v="(0.02523,0.02985)"/>
    <n v="114150"/>
    <s v="0.0114,0.015"/>
    <n v="0.18133888112174101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threshold"/>
    <n v="0.25"/>
    <b v="1"/>
    <x v="1"/>
    <n v="10000"/>
    <n v="1000"/>
    <n v="4346"/>
    <b v="1"/>
    <b v="0"/>
    <b v="1"/>
    <x v="0"/>
    <x v="0"/>
  </r>
  <r>
    <n v="15"/>
    <s v="Sel Best=1, Param, SS=600, all props=0.4, SSR=Sel, lk1=0.75, no CC"/>
    <n v="9504"/>
    <n v="2.6602399999999998E-2"/>
    <n v="0"/>
    <n v="0"/>
    <x v="6"/>
    <s v="(0.02433,0.02887)"/>
    <s v="(0,0)"/>
    <s v="(0,0)"/>
    <s v="(0.02433,0.02887)"/>
    <n v="112153"/>
    <s v="0.0112,0.0153"/>
    <n v="0.40835035529401598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best"/>
    <n v="1"/>
    <b v="1"/>
    <x v="1"/>
    <n v="10000"/>
    <n v="1000"/>
    <n v="9504"/>
    <b v="1"/>
    <b v="0"/>
    <b v="1"/>
    <x v="0"/>
    <x v="0"/>
  </r>
  <r>
    <n v="16"/>
    <s v="Sel Best=2, Param, SS=600, all props=0.4, SSR=Sel, lk1=0.75, no CC"/>
    <n v="2300"/>
    <n v="2.8512200000000001E-2"/>
    <n v="0"/>
    <n v="0"/>
    <x v="7"/>
    <s v="(0.02616,0.03087)"/>
    <s v="(0,0)"/>
    <s v="(0,0)"/>
    <s v="(0.02616,0.03087)"/>
    <n v="119165"/>
    <s v="0.0119,0.0165"/>
    <n v="0.48178002973397599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best"/>
    <n v="2"/>
    <b v="1"/>
    <x v="1"/>
    <n v="10000"/>
    <n v="1000"/>
    <n v="2300"/>
    <b v="1"/>
    <b v="0"/>
    <b v="1"/>
    <x v="0"/>
    <x v="0"/>
  </r>
  <r>
    <n v="17"/>
    <s v="No sel, Param, SS=400, all props=0.4, lk1=0.5, no CC"/>
    <n v="97827"/>
    <n v="2.76181E-2"/>
    <n v="0"/>
    <n v="0"/>
    <x v="8"/>
    <s v="(0.02623,0.029)"/>
    <s v="(0,0)"/>
    <s v="(0,0)"/>
    <s v="(0.02623,0.029)"/>
    <n v="17251"/>
    <s v="0.0017,0.0251"/>
    <n v="0.49427091611756202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0"/>
    <s v="NA"/>
    <s v="NA"/>
    <s v="NA"/>
    <s v="NA"/>
    <s v="NA"/>
    <s v="NA"/>
    <x v="0"/>
    <n v="10000"/>
    <n v="1000"/>
    <n v="97827"/>
    <b v="1"/>
    <b v="0"/>
    <b v="1"/>
    <x v="0"/>
    <x v="0"/>
  </r>
  <r>
    <n v="18"/>
    <s v="Sel Best=1, Param, SS=400, all props=0.4, SSR=None, lk1=0.5, no CC"/>
    <n v="70743"/>
    <n v="2.6753900000000001E-2"/>
    <n v="0"/>
    <n v="0"/>
    <x v="9"/>
    <s v="(0.02538,0.02813)"/>
    <s v="(0,0)"/>
    <s v="(0,0)"/>
    <s v="(0.02538,0.02813)"/>
    <n v="18231"/>
    <s v="0.0018,0.0231"/>
    <n v="0.401345216963026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delta"/>
    <s v="best"/>
    <n v="1"/>
    <b v="0"/>
    <x v="0"/>
    <n v="10000"/>
    <n v="1000"/>
    <n v="70743"/>
    <b v="1"/>
    <b v="0"/>
    <b v="1"/>
    <x v="0"/>
    <x v="0"/>
  </r>
  <r>
    <n v="19"/>
    <s v="Fut=0.5, Param, SS=400, all props=0.4, SSR=None, lk1=0.5, no CC"/>
    <n v="2402"/>
    <n v="2.7951400000000001E-2"/>
    <n v="0"/>
    <n v="0"/>
    <x v="10"/>
    <s v="(0.02648,0.02942)"/>
    <s v="(0,0)"/>
    <s v="(0,0)"/>
    <s v="(0.02648,0.02942)"/>
    <n v="26253"/>
    <s v="0.0026,0.0253"/>
    <n v="0.31265914168622799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5"/>
    <b v="0"/>
    <x v="0"/>
    <n v="10000"/>
    <n v="1000"/>
    <n v="2402"/>
    <b v="1"/>
    <b v="0"/>
    <b v="1"/>
    <x v="0"/>
    <x v="0"/>
  </r>
  <r>
    <n v="20"/>
    <s v="Fut=0.5, no CC, Param, SS=400, all props=0.4, SSR=Sel, lk1=0.5, no CC"/>
    <n v="2637"/>
    <n v="2.8054099999999998E-2"/>
    <n v="0"/>
    <n v="0"/>
    <x v="11"/>
    <s v="(0.02658,0.02953)"/>
    <s v="(0,0)"/>
    <s v="(0,0)"/>
    <s v="(0.02658,0.02953)"/>
    <n v="26256"/>
    <s v="0.0026,0.0256"/>
    <n v="0.40626117083761398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75"/>
    <b v="1"/>
    <x v="1"/>
    <n v="10000"/>
    <n v="1000"/>
    <n v="2637"/>
    <b v="1"/>
    <b v="0"/>
    <b v="1"/>
    <x v="0"/>
    <x v="0"/>
  </r>
  <r>
    <n v="21"/>
    <s v="Fut=0.5, Param, SS=400, all props=0.4, SSR=Sel, lk1=0.5, no CC"/>
    <n v="499"/>
    <n v="2.76753E-2"/>
    <n v="0"/>
    <n v="0"/>
    <x v="12"/>
    <s v="(0.02622,0.02913)"/>
    <s v="(0,0)"/>
    <s v="(0,0)"/>
    <s v="(0.02622,0.02913)"/>
    <n v="25256"/>
    <s v="0.0025,0.0256"/>
    <n v="0.31058361722363398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5"/>
    <b v="1"/>
    <x v="1"/>
    <n v="10000"/>
    <n v="1000"/>
    <n v="499"/>
    <b v="1"/>
    <b v="0"/>
    <b v="1"/>
    <x v="0"/>
    <x v="0"/>
  </r>
  <r>
    <n v="22"/>
    <s v="Fut=0.25, Param, SS=400, all props=0.4, SSR=Sel, lk1=0.5, no CC"/>
    <n v="30953"/>
    <n v="2.5810699999999999E-2"/>
    <n v="0"/>
    <n v="0"/>
    <x v="13"/>
    <s v="(0.02438,0.02725)"/>
    <s v="(0,0)"/>
    <s v="(0,0)"/>
    <s v="(0.02438,0.02725)"/>
    <n v="23223"/>
    <s v="0.0023,0.0223"/>
    <n v="0.18854299697611099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25"/>
    <b v="1"/>
    <x v="1"/>
    <n v="10000"/>
    <n v="1000"/>
    <n v="30953"/>
    <b v="1"/>
    <b v="0"/>
    <b v="1"/>
    <x v="0"/>
    <x v="0"/>
  </r>
  <r>
    <n v="23"/>
    <s v="Sel Best=1, Param, SS=400, all props=0.4, SSR=Sel, lk1=0.5, no CC"/>
    <n v="59079"/>
    <n v="2.69053E-2"/>
    <n v="0"/>
    <n v="0"/>
    <x v="14"/>
    <s v="(0.02553,0.02828)"/>
    <s v="(0,0)"/>
    <s v="(0,0)"/>
    <s v="(0.02553,0.02828)"/>
    <n v="17249"/>
    <s v="0.0017,0.0249"/>
    <n v="0.40371846112940002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best"/>
    <n v="1"/>
    <b v="1"/>
    <x v="1"/>
    <n v="10000"/>
    <n v="1000"/>
    <n v="59079"/>
    <b v="1"/>
    <b v="0"/>
    <b v="1"/>
    <x v="0"/>
    <x v="0"/>
  </r>
  <r>
    <n v="24"/>
    <s v="Sel Best=2, Param, SS=400, all props=0.4, SSR=Sel, lk1=0.5, no CC"/>
    <n v="58217"/>
    <n v="2.7331899999999999E-2"/>
    <n v="0"/>
    <n v="0"/>
    <x v="15"/>
    <s v="(0.02597,0.02869)"/>
    <s v="(0,0)"/>
    <s v="(0,0)"/>
    <s v="(0.02597,0.02869)"/>
    <n v="15255"/>
    <s v="0.0015,0.0255"/>
    <n v="0.48231559554735798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best"/>
    <n v="2"/>
    <b v="1"/>
    <x v="1"/>
    <n v="10000"/>
    <n v="1000"/>
    <n v="58217"/>
    <b v="1"/>
    <b v="0"/>
    <b v="1"/>
    <x v="0"/>
    <x v="0"/>
  </r>
  <r>
    <n v="25"/>
    <s v="No sel, Param, SS=400, all props=0.4, lk1=0.5, no CC, FWCtr=None"/>
    <n v="97827"/>
    <n v="2.6464499999999998E-2"/>
    <n v="0"/>
    <n v="0"/>
    <x v="16"/>
    <s v="(0.02512,0.02781)"/>
    <s v="(0,0)"/>
    <s v="(0,0)"/>
    <s v="(0.02512,0.02781)"/>
    <n v="17242"/>
    <s v="0.0017,0.0242"/>
    <n v="0.53759001718627097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0"/>
    <s v="NA"/>
    <s v="NA"/>
    <s v="NA"/>
    <s v="NA"/>
    <s v="NA"/>
    <s v="NA"/>
    <x v="0"/>
    <n v="10000"/>
    <n v="1000"/>
    <n v="97827"/>
    <b v="1"/>
    <b v="0"/>
    <b v="1"/>
    <x v="0"/>
    <x v="0"/>
  </r>
  <r>
    <n v="26"/>
    <s v="Sel Best=1, Param, SS=400, all props=0.4, SSR=None, lk1=0.5, no CC, FWCtr=None"/>
    <n v="70743"/>
    <n v="2.5788599999999998E-2"/>
    <n v="0"/>
    <n v="0"/>
    <x v="17"/>
    <s v="(0.02445,0.02712)"/>
    <s v="(0,0)"/>
    <s v="(0,0)"/>
    <s v="(0.02445,0.02712)"/>
    <n v="18217"/>
    <s v="0.0018,0.0217"/>
    <n v="0.427678671942817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delta"/>
    <s v="best"/>
    <n v="1"/>
    <b v="0"/>
    <x v="0"/>
    <n v="10000"/>
    <n v="1000"/>
    <n v="70743"/>
    <b v="1"/>
    <b v="0"/>
    <b v="1"/>
    <x v="0"/>
    <x v="0"/>
  </r>
  <r>
    <n v="27"/>
    <s v="Fut=0.5, Param, SS=400, all props=0.4, SSR=None, lk1=0.5, no CC, FWCtr=None"/>
    <n v="2402"/>
    <n v="2.7101799999999999E-2"/>
    <n v="0"/>
    <n v="0"/>
    <x v="18"/>
    <s v="(0.02566,0.02854)"/>
    <s v="(0,0)"/>
    <s v="(0,0)"/>
    <s v="(0.02566,0.02854)"/>
    <n v="26241"/>
    <s v="0.0026,0.0241"/>
    <n v="0.33808735774623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5"/>
    <b v="0"/>
    <x v="0"/>
    <n v="10000"/>
    <n v="1000"/>
    <n v="2402"/>
    <b v="1"/>
    <b v="0"/>
    <b v="1"/>
    <x v="0"/>
    <x v="0"/>
  </r>
  <r>
    <n v="28"/>
    <s v="Fut=0.5, no CC, FWCtr=None, Param, SS=400, all props=0.4, SSR=Sel, lk1=0.5, no CC, FWCtr=None"/>
    <n v="2637"/>
    <n v="2.7215199999999998E-2"/>
    <n v="0"/>
    <n v="0"/>
    <x v="19"/>
    <s v="(0.02577,0.02866)"/>
    <s v="(0,0)"/>
    <s v="(0,0)"/>
    <s v="(0.02577,0.02866)"/>
    <n v="26244"/>
    <s v="0.0026,0.0244"/>
    <n v="0.443563080562486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75"/>
    <b v="1"/>
    <x v="1"/>
    <n v="10000"/>
    <n v="1000"/>
    <n v="2637"/>
    <b v="1"/>
    <b v="0"/>
    <b v="1"/>
    <x v="0"/>
    <x v="0"/>
  </r>
  <r>
    <n v="29"/>
    <s v="Fut=0.5, Param, SS=400, all props=0.4, SSR=Sel, lk1=0.5, no CC, FWCtr=None"/>
    <n v="499"/>
    <n v="2.6939999999999999E-2"/>
    <n v="0"/>
    <n v="0"/>
    <x v="20"/>
    <s v="(0.02552,0.02836)"/>
    <s v="(0,0)"/>
    <s v="(0,0)"/>
    <s v="(0.02552,0.02836)"/>
    <n v="25246"/>
    <s v="0.0025,0.0246"/>
    <n v="0.34065521167384299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5"/>
    <b v="1"/>
    <x v="1"/>
    <n v="10000"/>
    <n v="1000"/>
    <n v="499"/>
    <b v="1"/>
    <b v="0"/>
    <b v="1"/>
    <x v="0"/>
    <x v="0"/>
  </r>
  <r>
    <n v="30"/>
    <s v="Fut=0.25, Param, SS=400, all props=0.4, SSR=Sel, lk1=0.5, no CC, FWCtr=None"/>
    <n v="30953"/>
    <n v="2.53111E-2"/>
    <n v="0"/>
    <n v="0"/>
    <x v="21"/>
    <s v="(0.0239,0.02672)"/>
    <s v="(0,0)"/>
    <s v="(0,0)"/>
    <s v="(0.0239,0.02672)"/>
    <n v="23218"/>
    <s v="0.0023,0.0218"/>
    <n v="0.204602145221498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25"/>
    <b v="1"/>
    <x v="1"/>
    <n v="10000"/>
    <n v="1000"/>
    <n v="30953"/>
    <b v="1"/>
    <b v="0"/>
    <b v="1"/>
    <x v="0"/>
    <x v="0"/>
  </r>
  <r>
    <n v="31"/>
    <s v="Sel Best=1, Param, SS=400, all props=0.4, SSR=Sel, lk1=0.5, no CC, FWCtr=None"/>
    <n v="59079"/>
    <n v="2.6077599999999999E-2"/>
    <n v="0"/>
    <n v="0"/>
    <x v="22"/>
    <s v="(0.02474,0.02742)"/>
    <s v="(0,0)"/>
    <s v="(0,0)"/>
    <s v="(0.02474,0.02742)"/>
    <n v="17240"/>
    <s v="0.0017,0.024"/>
    <n v="0.43762330445978398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best"/>
    <n v="1"/>
    <b v="1"/>
    <x v="1"/>
    <n v="10000"/>
    <n v="1000"/>
    <n v="59079"/>
    <b v="1"/>
    <b v="0"/>
    <b v="1"/>
    <x v="0"/>
    <x v="0"/>
  </r>
  <r>
    <n v="32"/>
    <s v="Sel Best=2, Param, SS=400, all props=0.4, SSR=Sel, lk1=0.5, no CC, FWCtr=None"/>
    <n v="58217"/>
    <n v="2.6402200000000001E-2"/>
    <n v="0"/>
    <n v="0"/>
    <x v="23"/>
    <s v="(0.02508,0.02773)"/>
    <s v="(0,0)"/>
    <s v="(0,0)"/>
    <s v="(0.02508,0.02773)"/>
    <n v="15244"/>
    <s v="0.0015,0.0244"/>
    <n v="0.522002159489526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best"/>
    <n v="2"/>
    <b v="1"/>
    <x v="1"/>
    <n v="10000"/>
    <n v="1000"/>
    <n v="58217"/>
    <b v="1"/>
    <b v="0"/>
    <b v="1"/>
    <x v="0"/>
    <x v="0"/>
  </r>
  <r>
    <n v="33"/>
    <s v="No sel, Param, SS=600, all props=0.4, lk1=0.75, CC"/>
    <n v="64564"/>
    <n v="2.71547E-2"/>
    <n v="0"/>
    <n v="0"/>
    <x v="24"/>
    <s v="(0.02478,0.02953)"/>
    <s v="(0,0)"/>
    <s v="(0,0)"/>
    <s v="(0.02478,0.02953)"/>
    <n v="127146"/>
    <s v="0.0127,0.0146"/>
    <n v="0.49432706892490402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0"/>
    <s v="NA"/>
    <s v="NA"/>
    <s v="NA"/>
    <s v="NA"/>
    <s v="NA"/>
    <s v="NA"/>
    <x v="0"/>
    <n v="10000"/>
    <n v="1000"/>
    <n v="64564"/>
    <b v="1"/>
    <b v="0"/>
    <b v="1"/>
    <x v="1"/>
    <x v="0"/>
  </r>
  <r>
    <n v="34"/>
    <s v="Sel Best=1, Param, SS=600, all props=0.4, SSR=None, lk1=0.75, CC"/>
    <n v="73236"/>
    <n v="2.1980300000000001E-2"/>
    <n v="0"/>
    <n v="0"/>
    <x v="25"/>
    <s v="(0.01995,0.02401)"/>
    <s v="(0,0)"/>
    <s v="(0,0)"/>
    <s v="(0.01995,0.02401)"/>
    <n v="88142"/>
    <s v="0.0088,0.0142"/>
    <n v="0.41498524665832498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delta"/>
    <s v="best"/>
    <n v="1"/>
    <b v="0"/>
    <x v="0"/>
    <n v="10000"/>
    <n v="1000"/>
    <n v="73236"/>
    <b v="1"/>
    <b v="0"/>
    <b v="1"/>
    <x v="1"/>
    <x v="1"/>
  </r>
  <r>
    <n v="35"/>
    <s v="Fut=0.5, Param, SS=600, all props=0.4, SSR=None, lk1=0.75, CC"/>
    <n v="11111"/>
    <n v="2.4547800000000002E-2"/>
    <n v="0"/>
    <n v="0"/>
    <x v="26"/>
    <s v="(0.02236,0.02674)"/>
    <s v="(0,0)"/>
    <s v="(0,0)"/>
    <s v="(0.02236,0.02674)"/>
    <n v="106130"/>
    <s v="0.0106,0.013"/>
    <n v="0.31611529641681202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threshold"/>
    <n v="0.5"/>
    <b v="0"/>
    <x v="0"/>
    <n v="10000"/>
    <n v="1000"/>
    <n v="11111"/>
    <b v="1"/>
    <b v="0"/>
    <b v="1"/>
    <x v="1"/>
    <x v="1"/>
  </r>
  <r>
    <n v="36"/>
    <s v="Fut=0.75, CC, Param, SS=600, all props=0.4, SSR=Sel, lk1=0.75, CC"/>
    <n v="343"/>
    <n v="2.6209799999999998E-2"/>
    <n v="0"/>
    <n v="0"/>
    <x v="27"/>
    <s v="(0.02391,0.02851)"/>
    <s v="(0,0)"/>
    <s v="(0,0)"/>
    <s v="(0.02391,0.02851)"/>
    <n v="117131"/>
    <s v="0.0117,0.0131"/>
    <n v="0.412236529456245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threshold"/>
    <n v="0.75"/>
    <b v="1"/>
    <x v="1"/>
    <n v="10000"/>
    <n v="1000"/>
    <n v="343"/>
    <b v="1"/>
    <b v="0"/>
    <b v="1"/>
    <x v="1"/>
    <x v="0"/>
  </r>
  <r>
    <n v="37"/>
    <s v="Fut=0.5, Param, SS=600, all props=0.4, SSR=Sel, lk1=0.75, CC"/>
    <n v="84234"/>
    <n v="2.4305899999999998E-2"/>
    <n v="0"/>
    <n v="0"/>
    <x v="28"/>
    <s v="(0.02217,0.02644)"/>
    <s v="(0,0)"/>
    <s v="(0,0)"/>
    <s v="(0.02217,0.02644)"/>
    <n v="97152"/>
    <s v="0.0097,0.0152"/>
    <n v="0.31648878720071599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threshold"/>
    <n v="0.5"/>
    <b v="1"/>
    <x v="1"/>
    <n v="10000"/>
    <n v="1000"/>
    <n v="84234"/>
    <b v="1"/>
    <b v="0"/>
    <b v="1"/>
    <x v="1"/>
    <x v="1"/>
  </r>
  <r>
    <n v="38"/>
    <s v="Fut=0.25, Param, SS=600, all props=0.4, SSR=Sel, lk1=0.75, CC"/>
    <n v="4346"/>
    <n v="2.5780600000000001E-2"/>
    <n v="0"/>
    <n v="0"/>
    <x v="29"/>
    <s v="(0.02353,0.02803)"/>
    <s v="(0,0)"/>
    <s v="(0,0)"/>
    <s v="(0.02353,0.02803)"/>
    <n v="109138"/>
    <s v="0.0109,0.0138"/>
    <n v="0.18557304528024501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threshold"/>
    <n v="0.25"/>
    <b v="1"/>
    <x v="1"/>
    <n v="10000"/>
    <n v="1000"/>
    <n v="4346"/>
    <b v="1"/>
    <b v="0"/>
    <b v="1"/>
    <x v="1"/>
    <x v="0"/>
  </r>
  <r>
    <n v="39"/>
    <s v="Sel Best=1, Param, SS=600, all props=0.4, SSR=Sel, lk1=0.75, CC"/>
    <n v="9504"/>
    <n v="2.5461500000000001E-2"/>
    <n v="0"/>
    <n v="0"/>
    <x v="30"/>
    <s v="(0.02323,0.02769)"/>
    <s v="(0,0)"/>
    <s v="(0,0)"/>
    <s v="(0.02323,0.02769)"/>
    <n v="108142"/>
    <s v="0.0108,0.0142"/>
    <n v="0.41557102329201201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best"/>
    <n v="1"/>
    <b v="1"/>
    <x v="1"/>
    <n v="10000"/>
    <n v="1000"/>
    <n v="9504"/>
    <b v="1"/>
    <b v="0"/>
    <b v="1"/>
    <x v="1"/>
    <x v="0"/>
  </r>
  <r>
    <n v="40"/>
    <s v="Sel Best=2, Param, SS=600, all props=0.4, SSR=Sel, lk1=0.75, CC"/>
    <n v="2300"/>
    <n v="2.64572E-2"/>
    <n v="0"/>
    <n v="0"/>
    <x v="31"/>
    <s v="(0.02417,0.02874)"/>
    <s v="(0,0)"/>
    <s v="(0,0)"/>
    <s v="(0.02417,0.02874)"/>
    <n v="113152"/>
    <s v="0.0113,0.0152"/>
    <n v="0.48262190421422302"/>
    <s v="&gt;&gt;&gt;"/>
    <s v="CER"/>
    <n v="6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75,1)"/>
    <s v="asOF"/>
    <b v="0"/>
    <x v="1"/>
    <n v="1"/>
    <n v="1"/>
    <s v="pvalue"/>
    <s v="best"/>
    <n v="2"/>
    <b v="1"/>
    <x v="1"/>
    <n v="10000"/>
    <n v="1000"/>
    <n v="2300"/>
    <b v="1"/>
    <b v="0"/>
    <b v="1"/>
    <x v="1"/>
    <x v="0"/>
  </r>
  <r>
    <n v="41"/>
    <s v="No sel, Param, SS=400, all props=0.4, lk1=0.5, CC"/>
    <n v="97827"/>
    <n v="2.5337599999999998E-2"/>
    <n v="0"/>
    <n v="0"/>
    <x v="32"/>
    <s v="(0.02404,0.02664)"/>
    <s v="(0,0)"/>
    <s v="(0,0)"/>
    <s v="(0.02404,0.02664)"/>
    <n v="14232"/>
    <s v="0.0014,0.0232"/>
    <n v="0.50311535941229901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0"/>
    <s v="NA"/>
    <s v="NA"/>
    <s v="NA"/>
    <s v="NA"/>
    <s v="NA"/>
    <s v="NA"/>
    <x v="0"/>
    <n v="10000"/>
    <n v="1000"/>
    <n v="97827"/>
    <b v="1"/>
    <b v="0"/>
    <b v="1"/>
    <x v="1"/>
    <x v="0"/>
  </r>
  <r>
    <n v="42"/>
    <s v="Sel Best=1, Param, SS=400, all props=0.4, SSR=None, lk1=0.5, CC"/>
    <n v="70743"/>
    <n v="2.4609300000000001E-2"/>
    <n v="0"/>
    <n v="0"/>
    <x v="33"/>
    <s v="(0.02332,0.0259)"/>
    <s v="(0,0)"/>
    <s v="(0,0)"/>
    <s v="(0.02332,0.0259)"/>
    <n v="15206"/>
    <s v="0.0015,0.0206"/>
    <n v="0.409016712241703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delta"/>
    <s v="best"/>
    <n v="1"/>
    <b v="0"/>
    <x v="0"/>
    <n v="10000"/>
    <n v="1000"/>
    <n v="70743"/>
    <b v="1"/>
    <b v="0"/>
    <b v="1"/>
    <x v="1"/>
    <x v="1"/>
  </r>
  <r>
    <n v="43"/>
    <s v="Fut=0.5, Param, SS=400, all props=0.4, SSR=None, lk1=0.5, CC"/>
    <n v="2402"/>
    <n v="2.55775E-2"/>
    <n v="0"/>
    <n v="0"/>
    <x v="34"/>
    <s v="(0.02421,0.02695)"/>
    <s v="(0,0)"/>
    <s v="(0,0)"/>
    <s v="(0.02421,0.02695)"/>
    <n v="21239"/>
    <s v="0.0021,0.0239"/>
    <n v="0.31583988805611901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5"/>
    <b v="0"/>
    <x v="0"/>
    <n v="10000"/>
    <n v="1000"/>
    <n v="2402"/>
    <b v="1"/>
    <b v="0"/>
    <b v="1"/>
    <x v="1"/>
    <x v="0"/>
  </r>
  <r>
    <n v="44"/>
    <s v="Fut=0.5, CC, Param, SS=400, all props=0.4, SSR=Sel, lk1=0.5, CC"/>
    <n v="2637"/>
    <n v="2.56914E-2"/>
    <n v="0"/>
    <n v="0"/>
    <x v="35"/>
    <s v="(0.02432,0.02706)"/>
    <s v="(0,0)"/>
    <s v="(0,0)"/>
    <s v="(0.02432,0.02706)"/>
    <n v="21241"/>
    <s v="0.0021,0.0241"/>
    <n v="0.41663615359200401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75"/>
    <b v="1"/>
    <x v="1"/>
    <n v="10000"/>
    <n v="1000"/>
    <n v="2637"/>
    <b v="1"/>
    <b v="0"/>
    <b v="1"/>
    <x v="1"/>
    <x v="0"/>
  </r>
  <r>
    <n v="45"/>
    <s v="Fut=0.5, Param, SS=400, all props=0.4, SSR=Sel, lk1=0.5, CC"/>
    <n v="499"/>
    <n v="2.5402600000000001E-2"/>
    <n v="0"/>
    <n v="0"/>
    <x v="36"/>
    <s v="(0.02406,0.02675)"/>
    <s v="(0,0)"/>
    <s v="(0,0)"/>
    <s v="(0.02406,0.02675)"/>
    <n v="19244"/>
    <s v="0.0019,0.0244"/>
    <n v="0.32179905639754403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5"/>
    <b v="1"/>
    <x v="1"/>
    <n v="10000"/>
    <n v="1000"/>
    <n v="499"/>
    <b v="1"/>
    <b v="0"/>
    <b v="1"/>
    <x v="1"/>
    <x v="0"/>
  </r>
  <r>
    <n v="46"/>
    <s v="Fut=0.25, Param, SS=400, all props=0.4, SSR=Sel, lk1=0.5, CC"/>
    <n v="30953"/>
    <n v="2.3880100000000001E-2"/>
    <n v="0"/>
    <n v="0"/>
    <x v="37"/>
    <s v="(0.02254,0.02522)"/>
    <s v="(0,0)"/>
    <s v="(0,0)"/>
    <s v="(0.02254,0.02522)"/>
    <n v="18214"/>
    <s v="0.0018,0.0214"/>
    <n v="0.191838525533676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25"/>
    <b v="1"/>
    <x v="1"/>
    <n v="10000"/>
    <n v="1000"/>
    <n v="30953"/>
    <b v="1"/>
    <b v="0"/>
    <b v="1"/>
    <x v="1"/>
    <x v="1"/>
  </r>
  <r>
    <n v="47"/>
    <s v="Sel Best=1, Param, SS=400, all props=0.4, SSR=Sel, lk1=0.5, CC"/>
    <n v="59079"/>
    <n v="2.5039100000000002E-2"/>
    <n v="0"/>
    <n v="0"/>
    <x v="38"/>
    <s v="(0.02374,0.02634)"/>
    <s v="(0,0)"/>
    <s v="(0,0)"/>
    <s v="(0.02374,0.02634)"/>
    <n v="14240"/>
    <s v="0.0014,0.024"/>
    <n v="0.406656599971983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best"/>
    <n v="1"/>
    <b v="1"/>
    <x v="1"/>
    <n v="10000"/>
    <n v="1000"/>
    <n v="59079"/>
    <b v="1"/>
    <b v="0"/>
    <b v="1"/>
    <x v="1"/>
    <x v="0"/>
  </r>
  <r>
    <n v="48"/>
    <s v="Sel Best=2, Param, SS=400, all props=0.4, SSR=Sel, lk1=0.5, CC"/>
    <n v="58217"/>
    <n v="2.50592E-2"/>
    <n v="0"/>
    <n v="0"/>
    <x v="39"/>
    <s v="(0.02379,0.02633)"/>
    <s v="(0,0)"/>
    <s v="(0,0)"/>
    <s v="(0.02379,0.02633)"/>
    <n v="12237"/>
    <s v="0.0012,0.0237"/>
    <n v="0.48152138226562102"/>
    <s v="&gt;&gt;&gt;"/>
    <s v="CER"/>
    <n v="400"/>
    <n v="2.5000000000000001E-2"/>
    <s v="NA"/>
    <s v="NA"/>
    <s v="UnPooled"/>
    <x v="0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best"/>
    <n v="2"/>
    <b v="1"/>
    <x v="1"/>
    <n v="10000"/>
    <n v="1000"/>
    <n v="58217"/>
    <b v="1"/>
    <b v="0"/>
    <b v="1"/>
    <x v="1"/>
    <x v="0"/>
  </r>
  <r>
    <n v="49"/>
    <s v="No sel, Param, SS=400, all props=0.4, lk1=0.5, CC, FWCtr=None"/>
    <n v="97827"/>
    <n v="2.5370400000000001E-2"/>
    <n v="0"/>
    <n v="0"/>
    <x v="40"/>
    <s v="(0.02408,0.02666)"/>
    <s v="(0,0)"/>
    <s v="(0,0)"/>
    <s v="(0.02408,0.02666)"/>
    <n v="14234"/>
    <s v="0.0014,0.0234"/>
    <n v="0.54952519887023499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0"/>
    <s v="NA"/>
    <s v="NA"/>
    <s v="NA"/>
    <s v="NA"/>
    <s v="NA"/>
    <s v="NA"/>
    <x v="0"/>
    <n v="10000"/>
    <n v="1000"/>
    <n v="97827"/>
    <b v="1"/>
    <b v="0"/>
    <b v="1"/>
    <x v="1"/>
    <x v="0"/>
  </r>
  <r>
    <n v="50"/>
    <s v="Sel Best=1, Param, SS=400, all props=0.4, SSR=None, lk1=0.5, CC, FWCtr=None"/>
    <n v="70743"/>
    <n v="2.4681700000000001E-2"/>
    <n v="0"/>
    <n v="0"/>
    <x v="41"/>
    <s v="(0.0234,0.02596)"/>
    <s v="(0,0)"/>
    <s v="(0,0)"/>
    <s v="(0.0234,0.02596)"/>
    <n v="15213"/>
    <s v="0.0015,0.0213"/>
    <n v="0.44645179225338799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delta"/>
    <s v="best"/>
    <n v="1"/>
    <b v="0"/>
    <x v="0"/>
    <n v="10000"/>
    <n v="1000"/>
    <n v="70743"/>
    <b v="1"/>
    <b v="0"/>
    <b v="1"/>
    <x v="1"/>
    <x v="1"/>
  </r>
  <r>
    <n v="51"/>
    <s v="Fut=0.5, Param, SS=400, all props=0.4, SSR=None, lk1=0.5, CC, FWCtr=None"/>
    <n v="2402"/>
    <n v="2.58205E-2"/>
    <n v="0"/>
    <n v="0"/>
    <x v="42"/>
    <s v="(0.02445,0.02719)"/>
    <s v="(0,0)"/>
    <s v="(0,0)"/>
    <s v="(0.02445,0.02719)"/>
    <n v="21236"/>
    <s v="0.0021,0.0236"/>
    <n v="0.34599627527925703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5"/>
    <b v="0"/>
    <x v="0"/>
    <n v="10000"/>
    <n v="1000"/>
    <n v="2402"/>
    <b v="1"/>
    <b v="0"/>
    <b v="1"/>
    <x v="1"/>
    <x v="0"/>
  </r>
  <r>
    <n v="52"/>
    <s v="Fut=0.5, CC, FWCtr=None, Param, SS=400, all props=0.4, SSR=Sel, lk1=0.5, CC, FWCtr=None"/>
    <n v="2637"/>
    <n v="2.5919299999999999E-2"/>
    <n v="0"/>
    <n v="0"/>
    <x v="43"/>
    <s v="(0.02455,0.02729)"/>
    <s v="(0,0)"/>
    <s v="(0,0)"/>
    <s v="(0.02455,0.02729)"/>
    <n v="21236"/>
    <s v="0.0021,0.0236"/>
    <n v="0.46008824467658999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75"/>
    <b v="1"/>
    <x v="1"/>
    <n v="10000"/>
    <n v="1000"/>
    <n v="2637"/>
    <b v="1"/>
    <b v="0"/>
    <b v="1"/>
    <x v="1"/>
    <x v="0"/>
  </r>
  <r>
    <n v="53"/>
    <s v="Fut=0.5, Param, SS=400, all props=0.4, SSR=Sel, lk1=0.5, CC, FWCtr=None"/>
    <n v="499"/>
    <n v="2.564E-2"/>
    <n v="0"/>
    <n v="0"/>
    <x v="44"/>
    <s v="(0.0243,0.02698)"/>
    <s v="(0,0)"/>
    <s v="(0,0)"/>
    <s v="(0.0243,0.02698)"/>
    <n v="19240"/>
    <s v="0.0019,0.024"/>
    <n v="0.34655427641338798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5"/>
    <b v="1"/>
    <x v="1"/>
    <n v="10000"/>
    <n v="1000"/>
    <n v="499"/>
    <b v="1"/>
    <b v="0"/>
    <b v="1"/>
    <x v="1"/>
    <x v="0"/>
  </r>
  <r>
    <n v="54"/>
    <s v="Fut=0.25, Param, SS=400, all props=0.4, SSR=Sel, lk1=0.5, CC, FWCtr=None"/>
    <n v="30953"/>
    <n v="2.4146500000000001E-2"/>
    <n v="0"/>
    <n v="0"/>
    <x v="45"/>
    <s v="(0.02281,0.02548)"/>
    <s v="(0,0)"/>
    <s v="(0,0)"/>
    <s v="(0.02281,0.02548)"/>
    <n v="18211"/>
    <s v="0.0018,0.0211"/>
    <n v="0.20619194580448999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threshold"/>
    <n v="0.25"/>
    <b v="1"/>
    <x v="1"/>
    <n v="10000"/>
    <n v="1000"/>
    <n v="30953"/>
    <b v="1"/>
    <b v="0"/>
    <b v="1"/>
    <x v="1"/>
    <x v="1"/>
  </r>
  <r>
    <n v="55"/>
    <s v="Sel Best=1, Param, SS=400, all props=0.4, SSR=Sel, lk1=0.5, CC, FWCtr=None"/>
    <n v="59079"/>
    <n v="2.5001700000000002E-2"/>
    <n v="0"/>
    <n v="0"/>
    <x v="46"/>
    <s v="(0.02372,0.02628)"/>
    <s v="(0,0)"/>
    <s v="(0,0)"/>
    <s v="(0.02372,0.02628)"/>
    <n v="14237"/>
    <s v="0.0014,0.0237"/>
    <n v="0.44266914473639601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best"/>
    <n v="1"/>
    <b v="1"/>
    <x v="1"/>
    <n v="10000"/>
    <n v="1000"/>
    <n v="59079"/>
    <b v="1"/>
    <b v="0"/>
    <b v="1"/>
    <x v="1"/>
    <x v="1"/>
  </r>
  <r>
    <n v="56"/>
    <s v="Sel Best=2, Param, SS=400, all props=0.4, SSR=Sel, lk1=0.5, CC, FWCtr=None"/>
    <n v="58217"/>
    <n v="2.5183199999999999E-2"/>
    <n v="0"/>
    <n v="0"/>
    <x v="47"/>
    <s v="(0.02392,0.02645)"/>
    <s v="(0,0)"/>
    <s v="(0,0)"/>
    <s v="(0.02392,0.02645)"/>
    <n v="12236"/>
    <s v="0.0012,0.0236"/>
    <n v="0.53337624245219795"/>
    <s v="&gt;&gt;&gt;"/>
    <s v="CER"/>
    <n v="400"/>
    <n v="2.5000000000000001E-2"/>
    <s v="NA"/>
    <s v="NA"/>
    <s v="UnPooled"/>
    <x v="1"/>
    <n v="3"/>
    <n v="1"/>
    <s v="list('EP1' = 'Binary')"/>
    <s v="NA"/>
    <s v="NA"/>
    <s v="list('EP1' = c(0.4, 0.4, 0.4))"/>
    <s v="c(1,1,1)"/>
    <s v="matrix(1)"/>
    <s v="c(rep(1/2,2))"/>
    <s v="rbind(H1=c(0,1), H2=c(1,0))"/>
    <s v="Parametric"/>
    <s v="c(0.5,1)"/>
    <s v="asOF"/>
    <b v="0"/>
    <x v="1"/>
    <n v="1"/>
    <n v="1"/>
    <s v="pvalue"/>
    <s v="best"/>
    <n v="2"/>
    <b v="1"/>
    <x v="1"/>
    <n v="10000"/>
    <n v="1000"/>
    <n v="58217"/>
    <b v="1"/>
    <b v="0"/>
    <b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97E00-1FF2-4FAE-B869-168B350DA99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9:R13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Col" compact="0" outline="0" showAll="0" defaultSubtotal="0">
      <items count="2">
        <item x="0"/>
        <item x="1"/>
      </items>
    </pivotField>
  </pivotFields>
  <rowFields count="1">
    <field x="50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showDataAs="percentOfRow" baseField="5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5C06D-18A6-4F61-A6B4-986301B51C2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23:R27" firstHeaderRow="1" firstDataRow="2" firstDataCol="1" rowPageCount="1" colPageCount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43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pageFields count="1">
    <pageField fld="36" item="1" hier="-1"/>
  </pageFields>
  <dataFields count="1">
    <dataField name="Count of ModelID" fld="0" subtotal="count" showDataAs="percentOfRow" baseField="43" baseItem="1" numFmtId="10"/>
  </dataFields>
  <formats count="4">
    <format dxfId="7">
      <pivotArea outline="0" fieldPosition="0">
        <references count="2">
          <reference field="43" count="1" selected="0">
            <x v="1"/>
          </reference>
          <reference field="51" count="1" selected="0">
            <x v="0"/>
          </reference>
        </references>
      </pivotArea>
    </format>
    <format dxfId="6">
      <pivotArea outline="0" fieldPosition="0">
        <references count="2">
          <reference field="43" count="1" selected="0">
            <x v="0"/>
          </reference>
          <reference field="51" count="1" selected="0">
            <x v="1"/>
          </reference>
        </references>
      </pivotArea>
    </format>
    <format dxfId="5">
      <pivotArea outline="0" fieldPosition="0">
        <references count="2">
          <reference field="43" count="1" selected="0">
            <x v="0"/>
          </reference>
          <reference field="51" count="1" selected="0">
            <x v="1"/>
          </reference>
        </references>
      </pivotArea>
    </format>
    <format dxfId="4">
      <pivotArea outline="0" fieldPosition="0">
        <references count="2">
          <reference field="43" count="1" selected="0">
            <x v="1"/>
          </reference>
          <reference field="5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25A8F-D234-4463-8DBA-3C7AB573C1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3:R7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showDataAs="percentOfRow" baseField="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D630D-A383-4E00-9D86-DD1761ED94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3:W7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showDataAs="percentOfCol" baseField="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E8612-3711-4015-878E-72CE68027CC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9:W13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Col" compact="0" outline="0" showAll="0" defaultSubtotal="0">
      <items count="2">
        <item x="0"/>
        <item x="1"/>
      </items>
    </pivotField>
  </pivotFields>
  <rowFields count="1">
    <field x="50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showDataAs="percentOfCol" baseField="50" baseItem="1" numFmtId="10"/>
  </dataFields>
  <formats count="4">
    <format dxfId="11">
      <pivotArea outline="0" fieldPosition="0">
        <references count="2">
          <reference field="50" count="1" selected="0">
            <x v="1"/>
          </reference>
          <reference field="51" count="1" selected="0">
            <x v="1"/>
          </reference>
        </references>
      </pivotArea>
    </format>
    <format dxfId="10">
      <pivotArea outline="0" fieldPosition="0">
        <references count="2">
          <reference field="50" count="1" selected="0">
            <x v="0"/>
          </reference>
          <reference field="51" count="1" selected="0">
            <x v="0"/>
          </reference>
        </references>
      </pivotArea>
    </format>
    <format dxfId="9">
      <pivotArea outline="0" fieldPosition="0">
        <references count="2">
          <reference field="50" count="1" selected="0">
            <x v="1"/>
          </reference>
          <reference field="51" count="1" selected="0">
            <x v="1"/>
          </reference>
        </references>
      </pivotArea>
    </format>
    <format dxfId="8">
      <pivotArea outline="0" fieldPosition="0">
        <references count="2">
          <reference field="50" count="1" selected="0">
            <x v="0"/>
          </reference>
          <reference field="5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3C299-2EFB-4A48-A6EB-64A7D36E51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M7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65E66-5635-4C26-B5BF-69CD4744C29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15:R19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36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showDataAs="percentOfRow" baseField="36" baseItem="0" numFmtId="10"/>
  </dataFields>
  <formats count="4">
    <format dxfId="15">
      <pivotArea outline="0" fieldPosition="0">
        <references count="2">
          <reference field="36" count="1" selected="0">
            <x v="0"/>
          </reference>
          <reference field="51" count="1" selected="0">
            <x v="0"/>
          </reference>
        </references>
      </pivotArea>
    </format>
    <format dxfId="14">
      <pivotArea outline="0" fieldPosition="0">
        <references count="2">
          <reference field="36" count="1" selected="0">
            <x v="1"/>
          </reference>
          <reference field="51" count="1" selected="0">
            <x v="1"/>
          </reference>
        </references>
      </pivotArea>
    </format>
    <format dxfId="13">
      <pivotArea outline="0" fieldPosition="0">
        <references count="2">
          <reference field="36" count="1" selected="0">
            <x v="1"/>
          </reference>
          <reference field="51" count="1" selected="0">
            <x v="1"/>
          </reference>
        </references>
      </pivotArea>
    </format>
    <format dxfId="12">
      <pivotArea outline="0" fieldPosition="0">
        <references count="2">
          <reference field="36" count="1" selected="0">
            <x v="0"/>
          </reference>
          <reference field="5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672D5-EF2C-4396-A74A-E9EFFFC7353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15:W19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36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showDataAs="percentOfCol" baseField="3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37032-DE89-4B9E-B909-BBCA419A2C5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15:M19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36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baseField="5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B95CE-75CF-4AF9-A818-C5C5BDD6980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23:W27" firstHeaderRow="1" firstDataRow="2" firstDataCol="1" rowPageCount="1" colPageCount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43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pageFields count="1">
    <pageField fld="36" item="1" hier="-1"/>
  </pageFields>
  <dataFields count="1">
    <dataField name="Count of ModelID" fld="0" subtotal="count" showDataAs="percentOfCol" baseField="4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BF8A2-8718-47C6-9CA1-5800B9CE93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9:M13" firstHeaderRow="1" firstDataRow="2" firstDataCol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Col" compact="0" outline="0" showAll="0" defaultSubtotal="0">
      <items count="2">
        <item x="0"/>
        <item x="1"/>
      </items>
    </pivotField>
  </pivotFields>
  <rowFields count="1">
    <field x="50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ModelID" fld="0" subtotal="count" baseField="5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9A35C-588F-41DE-8CD5-536AA1E3682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3:M27" firstHeaderRow="1" firstDataRow="2" firstDataCol="1" rowPageCount="1" colPageCount="1"/>
  <pivotFields count="52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1">
    <field x="43"/>
  </rowFields>
  <rowItems count="3">
    <i>
      <x/>
    </i>
    <i>
      <x v="1"/>
    </i>
    <i t="grand">
      <x/>
    </i>
  </rowItems>
  <colFields count="1">
    <field x="51"/>
  </colFields>
  <colItems count="3">
    <i>
      <x/>
    </i>
    <i>
      <x v="1"/>
    </i>
    <i t="grand">
      <x/>
    </i>
  </colItems>
  <pageFields count="1">
    <pageField fld="36" item="1" hier="-1"/>
  </pageFields>
  <dataFields count="1">
    <dataField name="Count of ModelID" fld="0" subtotal="count" baseField="5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3F103-CD99-445B-89C0-7524EA5D27A4}" name="Table1" displayName="Table1" ref="A3:AZ51" totalsRowShown="0">
  <autoFilter ref="A3:AZ51" xr:uid="{AB63D72E-3760-477A-A344-41E2FE373A46}"/>
  <tableColumns count="52">
    <tableColumn id="1" xr3:uid="{B647EFC9-1542-4E9E-986D-51F1831049D4}" name="ModelID"/>
    <tableColumn id="2" xr3:uid="{B58A72E2-671E-4947-A15D-6DE826D5BC00}" name="Scenario"/>
    <tableColumn id="3" xr3:uid="{8A15CA95-0AFB-4615-9914-151E4D367934}" name="seed"/>
    <tableColumn id="4" xr3:uid="{A9337478-1961-4F8E-80F6-1E1604F8CE33}" name="Global.Power"/>
    <tableColumn id="5" xr3:uid="{1AA1813F-C2E8-471E-87D1-A64DED6F8F92}" name="Conjunctive.Power"/>
    <tableColumn id="6" xr3:uid="{C9E6DD16-89B2-4834-8408-545B5C53C4AF}" name="Disjunctive.Power"/>
    <tableColumn id="7" xr3:uid="{C8CDB4F7-BF98-4BB0-B733-E8B107D99A44}" name="FWER"/>
    <tableColumn id="8" xr3:uid="{04D78AA2-CF9E-4975-93E5-6CA1CC3CF017}" name="CI_95perc_Global.Power"/>
    <tableColumn id="9" xr3:uid="{8DAC6DA2-99A1-4D93-AB56-E6D2F74E4AFF}" name="CI_95perc_Conjunctive.Power"/>
    <tableColumn id="10" xr3:uid="{A361ECAA-4A01-4DE9-B9BF-D51B67545F1A}" name="CI_95perc_Disjunctive.Power"/>
    <tableColumn id="11" xr3:uid="{8193B5EB-62B0-4E3B-A986-7A106B7DD30F}" name="CI_95perc_FWER"/>
    <tableColumn id="12" xr3:uid="{9DD0267C-2EB4-447E-B9F7-3FD0FAC6D365}" name="StagewiseRejection_Count" dataDxfId="16"/>
    <tableColumn id="13" xr3:uid="{B7042F7F-EDE8-4C77-AB93-F51E17FFDCDC}" name="StagewiseRejection_Percentage"/>
    <tableColumn id="14" xr3:uid="{7E41600C-BC97-42E3-B778-5D6E08950137}" name="HoursTaken"/>
    <tableColumn id="15" xr3:uid="{E29CFE39-F361-41BD-B6FB-73CA37994355}" name="Input"/>
    <tableColumn id="16" xr3:uid="{9261D320-FCCE-4EEF-A5AD-6EE7B4B5891F}" name="Method"/>
    <tableColumn id="17" xr3:uid="{5D019D7A-CC0A-4AE6-A137-36AEB115CF57}" name="SampleSize"/>
    <tableColumn id="18" xr3:uid="{772EEE48-5C43-4B88-96CF-AA2002FD249E}" name="alpha"/>
    <tableColumn id="19" xr3:uid="{FCB5A19A-55F7-441F-A581-05F50BA08783}" name="TestStatCont"/>
    <tableColumn id="20" xr3:uid="{0C7BD137-9823-49F6-87F1-6A69031558E2}" name="CommonStdDev"/>
    <tableColumn id="21" xr3:uid="{64C4BCED-E94D-4329-BB9E-C714855E74ED}" name="TestStatBin"/>
    <tableColumn id="22" xr3:uid="{C9976847-5FFA-4D2B-B451-0D47233BD658}" name="FWERControl"/>
    <tableColumn id="23" xr3:uid="{D1758BC8-D60C-411E-8A51-4538B00222B9}" name="nArms"/>
    <tableColumn id="24" xr3:uid="{AB49389D-4F1E-4A59-891A-15BB7D41DA11}" name="nEps"/>
    <tableColumn id="25" xr3:uid="{73AE1F73-D3DD-44D9-BC2F-283EAE2F7E94}" name="lEpType"/>
    <tableColumn id="26" xr3:uid="{2FDC4288-C5E0-4D2C-9AAF-1808E64FF085}" name="Arms.Mean"/>
    <tableColumn id="27" xr3:uid="{74A32087-4B2D-4130-BEC2-1C5D8D79EF7A}" name="Arms.std.dev"/>
    <tableColumn id="28" xr3:uid="{F702BF6C-FF5D-46EA-8B40-1FD6EAEAF26A}" name="Arms.Prop"/>
    <tableColumn id="29" xr3:uid="{0B786FBB-8C2A-44D6-AF32-6B6E27745D58}" name="Arms.alloc.ratio"/>
    <tableColumn id="30" xr3:uid="{124221FD-7F04-4CD0-BD15-FF6124B75F39}" name="EP.Corr"/>
    <tableColumn id="31" xr3:uid="{DC45DC40-A53C-4D37-B7F1-081D0C17EA33}" name="WI"/>
    <tableColumn id="32" xr3:uid="{A3719AD2-2CF8-4647-93D8-36D52100B0EE}" name="G"/>
    <tableColumn id="33" xr3:uid="{C4F17452-E558-47DB-BF14-602EBE19B5BF}" name="test.type"/>
    <tableColumn id="34" xr3:uid="{5146A371-3D81-4706-8079-3EF56D7B5378}" name="info_frac"/>
    <tableColumn id="35" xr3:uid="{BF50DCAE-0759-4017-9864-DFADCF8A15AC}" name="typeOfDesign"/>
    <tableColumn id="36" xr3:uid="{742FEDCC-AD63-4F10-96F7-6268AAAD0CC1}" name="MultipleWinners"/>
    <tableColumn id="37" xr3:uid="{E9D92338-C178-463B-AE92-BB27CD530E7F}" name="Selection"/>
    <tableColumn id="38" xr3:uid="{4723E29F-8AB7-4B1F-8CFD-F50F97E749B7}" name="SelectionLook"/>
    <tableColumn id="39" xr3:uid="{6F895729-7CE0-4814-A4CA-3177A4CD94A0}" name="SelectEndPoint"/>
    <tableColumn id="40" xr3:uid="{10BB408A-BA25-4233-9134-2694760D6014}" name="SelectionScale"/>
    <tableColumn id="41" xr3:uid="{0F92BDD2-42F6-4F59-B482-A11FA4CE6DAB}" name="SelectionCriterion"/>
    <tableColumn id="42" xr3:uid="{EDEC2AE1-41E7-4DB3-B126-F8E73A2CA88F}" name="SelectionParmeter"/>
    <tableColumn id="43" xr3:uid="{930414A8-3D53-4AFD-BA44-CBCC30D380D1}" name="KeepAssosiatedEps"/>
    <tableColumn id="44" xr3:uid="{35398A52-8F92-4679-955A-311D27A35813}" name="ImplicitSSR"/>
    <tableColumn id="45" xr3:uid="{A15C27F0-AACE-4F0B-8078-1C78E625B873}" name="nSimulation"/>
    <tableColumn id="46" xr3:uid="{89DE6324-81E7-491F-A522-AA145608D9B9}" name="nSimulation_Stage2"/>
    <tableColumn id="47" xr3:uid="{20308F4C-51C6-4C70-A897-838C04B2C0BE}" name="Seed2"/>
    <tableColumn id="48" xr3:uid="{E414D19B-42D4-4DFE-8FB3-5B6C1475EBEB}" name="SummaryStat"/>
    <tableColumn id="49" xr3:uid="{6607E8D2-3130-4C63-88A9-8F3CD1424195}" name="plotGraphs"/>
    <tableColumn id="50" xr3:uid="{BE2853FF-7832-4881-AAFF-D077E8DF7035}" name="Parallel"/>
    <tableColumn id="51" xr3:uid="{879D8D5D-157D-4429-BD97-36793935236E}" name="UseCC"/>
    <tableColumn id="52" xr3:uid="{14D9DBA0-5A8E-49C9-995A-A43A932EE019}" name="Pass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3C1728-A5E0-46FB-A566-B903C0D35DA4}" name="Table2" displayName="Table2" ref="A2:BE90" totalsRowShown="0">
  <autoFilter ref="A2:BE90" xr:uid="{BB1F93EC-CBCB-40C5-A9A7-351269090895}"/>
  <tableColumns count="57">
    <tableColumn id="1" xr3:uid="{24E793DC-5790-44C7-8E12-EA5435A711B0}" name="ModelID"/>
    <tableColumn id="2" xr3:uid="{DD00FD05-41B2-4931-941E-3991ABA64B8A}" name="Scenario"/>
    <tableColumn id="3" xr3:uid="{F4AF22CF-7CF0-4EBE-AB62-E8F02E6D4178}" name="seed"/>
    <tableColumn id="4" xr3:uid="{FD5EB062-F9EF-418C-AD8C-E838F2A5FE97}" name="Global.Power"/>
    <tableColumn id="5" xr3:uid="{DBFFAF51-9CE4-4D67-9EBD-857F30CEB6B1}" name="Conjunctive.Power"/>
    <tableColumn id="6" xr3:uid="{52DEF87B-3CE7-44C2-B17D-778F7F7722E6}" name="Disjunctive.Power"/>
    <tableColumn id="7" xr3:uid="{E9EEF434-8B91-463F-99BF-C1AB81B1EAE9}" name="FWER"/>
    <tableColumn id="8" xr3:uid="{53FD9AFA-CB40-4B16-B75F-424FD0740584}" name="CI_95perc_Global.Power"/>
    <tableColumn id="9" xr3:uid="{732D0D0A-6098-4154-AC36-48B6455B7419}" name="CI_95perc_Conjunctive.Power"/>
    <tableColumn id="10" xr3:uid="{3349E5C8-665D-441F-9204-7F35C411830C}" name="CI_95perc_Disjunctive.Power"/>
    <tableColumn id="11" xr3:uid="{9B533907-20E0-4D70-B194-4A7092A52D84}" name="CI_95perc_FWER"/>
    <tableColumn id="55" xr3:uid="{5BEA37BA-BC38-40A4-AAD5-9B54371796F6}" name="FWER_LCL" dataDxfId="3">
      <calculatedColumnFormula>_xlfn.NUMBERVALUE(MID(Table2[[#This Row],[CI_95perc_FWER]],2,FIND(",",Table2[[#This Row],[CI_95perc_FWER]])-2))</calculatedColumnFormula>
    </tableColumn>
    <tableColumn id="56" xr3:uid="{2CC20546-CC4A-4321-ABEB-F06C6C5C6255}" name="FWER_UCL" dataDxfId="2">
      <calculatedColumnFormula>_xlfn.NUMBERVALUE(MID(Table2[[#This Row],[CI_95perc_FWER]],FIND(",",Table2[[#This Row],[CI_95perc_FWER]])+1, LEN(Table2[[#This Row],[CI_95perc_FWER]])-FIND(",",Table2[[#This Row],[CI_95perc_FWER]])-1))</calculatedColumnFormula>
    </tableColumn>
    <tableColumn id="12" xr3:uid="{FB9EACD0-CA23-476F-A4E3-887384ECF633}" name="StagewiseRejection_Count" dataDxfId="1"/>
    <tableColumn id="13" xr3:uid="{171AFDFA-D392-494A-A659-FB3BA6E4FCC8}" name="StagewiseRejection_Percentage"/>
    <tableColumn id="14" xr3:uid="{28FE672A-889C-4DC3-9AC7-B763D0A236E9}" name="HoursTaken"/>
    <tableColumn id="15" xr3:uid="{58BE723A-3B57-4866-970E-632AB276CD5D}" name="Input"/>
    <tableColumn id="16" xr3:uid="{BF4131EE-A3BE-4E38-9F95-4C6F056B3288}" name="Method"/>
    <tableColumn id="17" xr3:uid="{88EC74B2-C905-4ED5-8EAE-78AC2AFB4E8E}" name="SampleSize"/>
    <tableColumn id="57" xr3:uid="{2D2F44B3-5E2D-423D-AB69-9D1F39B6DF4F}" name="N.Proxy" dataDxfId="0">
      <calculatedColumnFormula>IF(OR(Table2[[#This Row],[SampleSize]]=5000,Table2[[#This Row],[SampleSize]]=10000),"&gt;=5k",Table2[[#This Row],[SampleSize]])</calculatedColumnFormula>
    </tableColumn>
    <tableColumn id="18" xr3:uid="{4083EAE3-7966-4F3A-B3A7-67531566FD12}" name="alpha"/>
    <tableColumn id="19" xr3:uid="{4DD46D92-8F87-452A-ACDB-BB7F536F82BB}" name="TestStatCont"/>
    <tableColumn id="20" xr3:uid="{65B5B446-C897-438E-A891-ABEACEB9166C}" name="CommonStdDev"/>
    <tableColumn id="21" xr3:uid="{6985B96F-00B1-4755-9469-E4C4A5008C7C}" name="TestStatBin"/>
    <tableColumn id="22" xr3:uid="{0665CD85-6C66-46A3-A958-7DCCC8082DA9}" name="FWERControl"/>
    <tableColumn id="23" xr3:uid="{E978C796-E887-42DA-BE0D-1E8BA57E60DA}" name="nArms"/>
    <tableColumn id="24" xr3:uid="{B4AA94AF-F11B-4BE0-BE5A-B8A284C2D1B8}" name="nEps"/>
    <tableColumn id="25" xr3:uid="{8D253C5B-8A4A-4DEC-BF9B-AA768F283AA5}" name="lEpType"/>
    <tableColumn id="26" xr3:uid="{9D43075C-985D-441D-A501-54D04F07D000}" name="Arms.Mean"/>
    <tableColumn id="27" xr3:uid="{34A899B1-A058-4D43-B093-0E4B4FB87DAD}" name="Arms.std.dev"/>
    <tableColumn id="28" xr3:uid="{7244CFCE-0811-4956-B696-BDF62B8EDB7A}" name="Arms.Prop"/>
    <tableColumn id="29" xr3:uid="{8B8077E3-BA89-48E5-A6F2-1B1695AB61CC}" name="Arms.alloc.ratio"/>
    <tableColumn id="30" xr3:uid="{89BA169B-35C5-4264-9D1C-85FA76EF858E}" name="EP.Corr"/>
    <tableColumn id="31" xr3:uid="{456FFDA6-3F71-4156-AE91-CE4FA925B1BC}" name="WI"/>
    <tableColumn id="32" xr3:uid="{33A9388A-677B-48A0-B736-0AE9A37B467B}" name="G"/>
    <tableColumn id="33" xr3:uid="{1BBA8718-9793-4A42-856C-6EC91BE650A1}" name="test.type"/>
    <tableColumn id="34" xr3:uid="{5DA52539-ED01-405F-8AC0-FC9EDB485373}" name="info_frac"/>
    <tableColumn id="35" xr3:uid="{C58CB1E0-881A-4846-B143-39EF49FD0E13}" name="typeOfDesign"/>
    <tableColumn id="36" xr3:uid="{21D48A5D-5D8C-4512-9ABB-5454BA28E8C0}" name="MultipleWinners"/>
    <tableColumn id="37" xr3:uid="{B9BFB3C8-CE5B-4D39-A5C2-AABBACBC25AD}" name="Selection"/>
    <tableColumn id="38" xr3:uid="{465B1420-B290-426B-A176-36F707BE7C60}" name="SelectionLook"/>
    <tableColumn id="39" xr3:uid="{9194621B-4E71-4A63-B74C-AF749FB2F6B1}" name="SelectEndPoint"/>
    <tableColumn id="40" xr3:uid="{C2084C3E-5197-4EB2-8A74-24CAF8DD9BAD}" name="SelectionScale"/>
    <tableColumn id="41" xr3:uid="{E1EDA541-74F4-42B9-8A38-08403C57DC1A}" name="SelectionCriterion"/>
    <tableColumn id="42" xr3:uid="{326005D0-E415-4D9E-81D6-2B3BF6A4368B}" name="SelectionParmeter"/>
    <tableColumn id="43" xr3:uid="{68C1B8BD-74A8-4D7E-9D3E-CA8F3364A341}" name="KeepAssosiatedEps"/>
    <tableColumn id="44" xr3:uid="{31CA249B-3E84-488F-BAE2-0470F89091D6}" name="ImplicitSSR"/>
    <tableColumn id="45" xr3:uid="{DD3C3299-304B-41A3-9F56-BAEDDF3D8631}" name="nSimulation"/>
    <tableColumn id="46" xr3:uid="{9A8FF005-2397-4DDD-B4E6-0A32C009B114}" name="nSimulation_Stage2"/>
    <tableColumn id="47" xr3:uid="{048471DA-E96E-4A04-B304-E66923881A58}" name="Seed2"/>
    <tableColumn id="48" xr3:uid="{34F06E75-4B48-4386-852C-35ECD4EDA86B}" name="SummaryStat"/>
    <tableColumn id="49" xr3:uid="{DA87EB0C-F41D-4119-AF29-22B6DAACF661}" name="plotGraphs"/>
    <tableColumn id="50" xr3:uid="{85936909-D98C-4641-8AFA-AD72ADA04F7C}" name="Parallel"/>
    <tableColumn id="51" xr3:uid="{57644F65-E972-4819-87F0-FEE1EAF46DFC}" name="UseCC"/>
    <tableColumn id="52" xr3:uid="{BC632CC0-0CB2-4844-B3B1-9E25C5ADE600}" name="Matching.Pair"/>
    <tableColumn id="53" xr3:uid="{521DE647-8A3D-4304-B7BC-A2D79E5373EA}" name="Test.Set"/>
    <tableColumn id="54" xr3:uid="{3E50C34D-7424-4CA8-8A07-2ADFFCAB3E6C}" name="Compare.Se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073C-79EF-4A8E-B9CB-8F6B19EC4E60}">
  <dimension ref="A1:AL57"/>
  <sheetViews>
    <sheetView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232</v>
      </c>
      <c r="AI1" t="s">
        <v>46</v>
      </c>
      <c r="AJ1" t="s">
        <v>47</v>
      </c>
      <c r="AK1" t="s">
        <v>48</v>
      </c>
      <c r="AL1" t="s">
        <v>49</v>
      </c>
    </row>
    <row r="2" spans="1:38" x14ac:dyDescent="0.25">
      <c r="A2">
        <v>1</v>
      </c>
      <c r="B2" t="s">
        <v>233</v>
      </c>
      <c r="C2" t="s">
        <v>55</v>
      </c>
      <c r="D2">
        <v>162</v>
      </c>
      <c r="E2">
        <v>2.5000000000000001E-2</v>
      </c>
      <c r="F2" t="s">
        <v>56</v>
      </c>
      <c r="G2" t="s">
        <v>56</v>
      </c>
      <c r="H2" t="s">
        <v>57</v>
      </c>
      <c r="I2" t="s">
        <v>68</v>
      </c>
      <c r="J2">
        <v>3</v>
      </c>
      <c r="K2">
        <v>1</v>
      </c>
      <c r="L2" t="s">
        <v>59</v>
      </c>
      <c r="M2" t="s">
        <v>56</v>
      </c>
      <c r="N2" t="s">
        <v>56</v>
      </c>
      <c r="O2" t="s">
        <v>234</v>
      </c>
      <c r="P2" t="s">
        <v>61</v>
      </c>
      <c r="Q2" t="s">
        <v>62</v>
      </c>
      <c r="R2" t="s">
        <v>63</v>
      </c>
      <c r="S2" t="s">
        <v>64</v>
      </c>
      <c r="T2" t="s">
        <v>235</v>
      </c>
      <c r="U2" t="s">
        <v>66</v>
      </c>
      <c r="V2" t="s">
        <v>67</v>
      </c>
      <c r="W2" t="b">
        <v>0</v>
      </c>
      <c r="X2" t="b">
        <v>0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68</v>
      </c>
      <c r="AF2">
        <v>50000</v>
      </c>
      <c r="AG2">
        <v>1000</v>
      </c>
      <c r="AH2">
        <v>1234</v>
      </c>
      <c r="AI2" t="b">
        <v>1</v>
      </c>
      <c r="AJ2" t="b">
        <v>0</v>
      </c>
      <c r="AK2" t="b">
        <v>1</v>
      </c>
      <c r="AL2" t="b">
        <v>1</v>
      </c>
    </row>
    <row r="3" spans="1:38" x14ac:dyDescent="0.25">
      <c r="A3">
        <v>2</v>
      </c>
      <c r="B3" t="s">
        <v>233</v>
      </c>
      <c r="C3" t="s">
        <v>55</v>
      </c>
      <c r="D3">
        <v>162</v>
      </c>
      <c r="E3">
        <v>2.5000000000000001E-2</v>
      </c>
      <c r="F3" t="s">
        <v>56</v>
      </c>
      <c r="G3" t="s">
        <v>56</v>
      </c>
      <c r="H3" t="s">
        <v>57</v>
      </c>
      <c r="I3" t="s">
        <v>58</v>
      </c>
      <c r="J3">
        <v>3</v>
      </c>
      <c r="K3">
        <v>1</v>
      </c>
      <c r="L3" t="s">
        <v>59</v>
      </c>
      <c r="M3" t="s">
        <v>56</v>
      </c>
      <c r="N3" t="s">
        <v>56</v>
      </c>
      <c r="O3" t="s">
        <v>234</v>
      </c>
      <c r="P3" t="s">
        <v>61</v>
      </c>
      <c r="Q3" t="s">
        <v>62</v>
      </c>
      <c r="R3" t="s">
        <v>63</v>
      </c>
      <c r="S3" t="s">
        <v>64</v>
      </c>
      <c r="T3" t="s">
        <v>235</v>
      </c>
      <c r="U3" t="s">
        <v>66</v>
      </c>
      <c r="V3" t="s">
        <v>67</v>
      </c>
      <c r="W3" t="b">
        <v>0</v>
      </c>
      <c r="X3" t="b">
        <v>0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56</v>
      </c>
      <c r="AE3" t="s">
        <v>68</v>
      </c>
      <c r="AF3">
        <v>50000</v>
      </c>
      <c r="AG3">
        <v>1000</v>
      </c>
      <c r="AH3">
        <v>1234</v>
      </c>
      <c r="AI3" t="b">
        <v>1</v>
      </c>
      <c r="AJ3" t="b">
        <v>0</v>
      </c>
      <c r="AK3" t="b">
        <v>1</v>
      </c>
      <c r="AL3" t="b">
        <v>1</v>
      </c>
    </row>
    <row r="4" spans="1:38" x14ac:dyDescent="0.25">
      <c r="A4">
        <v>3</v>
      </c>
      <c r="B4" t="s">
        <v>236</v>
      </c>
      <c r="C4" t="s">
        <v>55</v>
      </c>
      <c r="D4">
        <v>162</v>
      </c>
      <c r="E4">
        <v>2.5000000000000001E-2</v>
      </c>
      <c r="F4" t="s">
        <v>56</v>
      </c>
      <c r="G4" t="s">
        <v>56</v>
      </c>
      <c r="H4" t="s">
        <v>57</v>
      </c>
      <c r="I4" t="s">
        <v>68</v>
      </c>
      <c r="J4">
        <v>3</v>
      </c>
      <c r="K4">
        <v>1</v>
      </c>
      <c r="L4" t="s">
        <v>59</v>
      </c>
      <c r="M4" t="s">
        <v>56</v>
      </c>
      <c r="N4" t="s">
        <v>56</v>
      </c>
      <c r="O4" t="s">
        <v>234</v>
      </c>
      <c r="P4" t="s">
        <v>61</v>
      </c>
      <c r="Q4" t="s">
        <v>62</v>
      </c>
      <c r="R4" t="s">
        <v>63</v>
      </c>
      <c r="S4" t="s">
        <v>64</v>
      </c>
      <c r="T4" t="s">
        <v>235</v>
      </c>
      <c r="U4" t="s">
        <v>66</v>
      </c>
      <c r="V4" t="s">
        <v>67</v>
      </c>
      <c r="W4" t="b">
        <v>0</v>
      </c>
      <c r="X4" t="b">
        <v>1</v>
      </c>
      <c r="Y4">
        <v>1</v>
      </c>
      <c r="Z4">
        <v>1</v>
      </c>
      <c r="AA4" t="s">
        <v>72</v>
      </c>
      <c r="AB4" t="s">
        <v>73</v>
      </c>
      <c r="AC4">
        <v>1</v>
      </c>
      <c r="AD4" t="b">
        <v>0</v>
      </c>
      <c r="AE4" t="s">
        <v>68</v>
      </c>
      <c r="AF4">
        <v>50000</v>
      </c>
      <c r="AG4">
        <v>1000</v>
      </c>
      <c r="AH4">
        <v>1234</v>
      </c>
      <c r="AI4" t="b">
        <v>1</v>
      </c>
      <c r="AJ4" t="b">
        <v>0</v>
      </c>
      <c r="AK4" t="b">
        <v>1</v>
      </c>
      <c r="AL4" t="b">
        <v>1</v>
      </c>
    </row>
    <row r="5" spans="1:38" x14ac:dyDescent="0.25">
      <c r="A5">
        <v>4</v>
      </c>
      <c r="B5" t="s">
        <v>236</v>
      </c>
      <c r="C5" t="s">
        <v>55</v>
      </c>
      <c r="D5">
        <v>162</v>
      </c>
      <c r="E5">
        <v>2.5000000000000001E-2</v>
      </c>
      <c r="F5" t="s">
        <v>56</v>
      </c>
      <c r="G5" t="s">
        <v>56</v>
      </c>
      <c r="H5" t="s">
        <v>57</v>
      </c>
      <c r="I5" t="s">
        <v>58</v>
      </c>
      <c r="J5">
        <v>3</v>
      </c>
      <c r="K5">
        <v>1</v>
      </c>
      <c r="L5" t="s">
        <v>59</v>
      </c>
      <c r="M5" t="s">
        <v>56</v>
      </c>
      <c r="N5" t="s">
        <v>56</v>
      </c>
      <c r="O5" t="s">
        <v>234</v>
      </c>
      <c r="P5" t="s">
        <v>61</v>
      </c>
      <c r="Q5" t="s">
        <v>62</v>
      </c>
      <c r="R5" t="s">
        <v>63</v>
      </c>
      <c r="S5" t="s">
        <v>64</v>
      </c>
      <c r="T5" t="s">
        <v>235</v>
      </c>
      <c r="U5" t="s">
        <v>66</v>
      </c>
      <c r="V5" t="s">
        <v>67</v>
      </c>
      <c r="W5" t="b">
        <v>0</v>
      </c>
      <c r="X5" t="b">
        <v>1</v>
      </c>
      <c r="Y5">
        <v>1</v>
      </c>
      <c r="Z5">
        <v>1</v>
      </c>
      <c r="AA5" t="s">
        <v>72</v>
      </c>
      <c r="AB5" t="s">
        <v>73</v>
      </c>
      <c r="AC5">
        <v>1</v>
      </c>
      <c r="AD5" t="b">
        <v>0</v>
      </c>
      <c r="AE5" t="s">
        <v>68</v>
      </c>
      <c r="AF5">
        <v>50000</v>
      </c>
      <c r="AG5">
        <v>1000</v>
      </c>
      <c r="AH5">
        <v>1234</v>
      </c>
      <c r="AI5" t="b">
        <v>1</v>
      </c>
      <c r="AJ5" t="b">
        <v>0</v>
      </c>
      <c r="AK5" t="b">
        <v>1</v>
      </c>
      <c r="AL5" t="b">
        <v>1</v>
      </c>
    </row>
    <row r="6" spans="1:38" x14ac:dyDescent="0.25">
      <c r="A6">
        <v>5</v>
      </c>
      <c r="B6" t="s">
        <v>237</v>
      </c>
      <c r="C6" t="s">
        <v>55</v>
      </c>
      <c r="D6">
        <v>162</v>
      </c>
      <c r="E6">
        <v>2.5000000000000001E-2</v>
      </c>
      <c r="F6" t="s">
        <v>56</v>
      </c>
      <c r="G6" t="s">
        <v>56</v>
      </c>
      <c r="H6" t="s">
        <v>57</v>
      </c>
      <c r="I6" t="s">
        <v>68</v>
      </c>
      <c r="J6">
        <v>3</v>
      </c>
      <c r="K6">
        <v>1</v>
      </c>
      <c r="L6" t="s">
        <v>59</v>
      </c>
      <c r="M6" t="s">
        <v>56</v>
      </c>
      <c r="N6" t="s">
        <v>56</v>
      </c>
      <c r="O6" t="s">
        <v>234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b">
        <v>0</v>
      </c>
      <c r="X6" t="b">
        <v>0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68</v>
      </c>
      <c r="AF6">
        <v>50000</v>
      </c>
      <c r="AG6">
        <v>1000</v>
      </c>
      <c r="AH6">
        <v>1234</v>
      </c>
      <c r="AI6" t="b">
        <v>1</v>
      </c>
      <c r="AJ6" t="b">
        <v>0</v>
      </c>
      <c r="AK6" t="b">
        <v>1</v>
      </c>
      <c r="AL6" t="b">
        <v>1</v>
      </c>
    </row>
    <row r="7" spans="1:38" x14ac:dyDescent="0.25">
      <c r="A7">
        <v>6</v>
      </c>
      <c r="B7" t="s">
        <v>237</v>
      </c>
      <c r="C7" t="s">
        <v>55</v>
      </c>
      <c r="D7">
        <v>162</v>
      </c>
      <c r="E7">
        <v>2.5000000000000001E-2</v>
      </c>
      <c r="F7" t="s">
        <v>56</v>
      </c>
      <c r="G7" t="s">
        <v>56</v>
      </c>
      <c r="H7" t="s">
        <v>57</v>
      </c>
      <c r="I7" t="s">
        <v>58</v>
      </c>
      <c r="J7">
        <v>3</v>
      </c>
      <c r="K7">
        <v>1</v>
      </c>
      <c r="L7" t="s">
        <v>59</v>
      </c>
      <c r="M7" t="s">
        <v>56</v>
      </c>
      <c r="N7" t="s">
        <v>56</v>
      </c>
      <c r="O7" t="s">
        <v>234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b">
        <v>0</v>
      </c>
      <c r="X7" t="b">
        <v>0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68</v>
      </c>
      <c r="AF7">
        <v>50000</v>
      </c>
      <c r="AG7">
        <v>1000</v>
      </c>
      <c r="AH7">
        <v>1234</v>
      </c>
      <c r="AI7" t="b">
        <v>1</v>
      </c>
      <c r="AJ7" t="b">
        <v>0</v>
      </c>
      <c r="AK7" t="b">
        <v>1</v>
      </c>
      <c r="AL7" t="b">
        <v>1</v>
      </c>
    </row>
    <row r="8" spans="1:38" x14ac:dyDescent="0.25">
      <c r="A8">
        <v>7</v>
      </c>
      <c r="B8" t="s">
        <v>238</v>
      </c>
      <c r="C8" t="s">
        <v>55</v>
      </c>
      <c r="D8">
        <v>162</v>
      </c>
      <c r="E8">
        <v>2.5000000000000001E-2</v>
      </c>
      <c r="F8" t="s">
        <v>56</v>
      </c>
      <c r="G8" t="s">
        <v>56</v>
      </c>
      <c r="H8" t="s">
        <v>57</v>
      </c>
      <c r="I8" t="s">
        <v>68</v>
      </c>
      <c r="J8">
        <v>3</v>
      </c>
      <c r="K8">
        <v>1</v>
      </c>
      <c r="L8" t="s">
        <v>59</v>
      </c>
      <c r="M8" t="s">
        <v>56</v>
      </c>
      <c r="N8" t="s">
        <v>56</v>
      </c>
      <c r="O8" t="s">
        <v>234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b">
        <v>0</v>
      </c>
      <c r="X8" t="b">
        <v>1</v>
      </c>
      <c r="Y8">
        <v>1</v>
      </c>
      <c r="Z8">
        <v>1</v>
      </c>
      <c r="AA8" t="s">
        <v>72</v>
      </c>
      <c r="AB8" t="s">
        <v>73</v>
      </c>
      <c r="AC8">
        <v>1</v>
      </c>
      <c r="AD8" t="b">
        <v>0</v>
      </c>
      <c r="AE8" t="s">
        <v>68</v>
      </c>
      <c r="AF8">
        <v>50000</v>
      </c>
      <c r="AG8">
        <v>1000</v>
      </c>
      <c r="AH8">
        <v>1234</v>
      </c>
      <c r="AI8" t="b">
        <v>1</v>
      </c>
      <c r="AJ8" t="b">
        <v>0</v>
      </c>
      <c r="AK8" t="b">
        <v>1</v>
      </c>
      <c r="AL8" t="b">
        <v>1</v>
      </c>
    </row>
    <row r="9" spans="1:38" x14ac:dyDescent="0.25">
      <c r="A9">
        <v>8</v>
      </c>
      <c r="B9" t="s">
        <v>238</v>
      </c>
      <c r="C9" t="s">
        <v>55</v>
      </c>
      <c r="D9">
        <v>162</v>
      </c>
      <c r="E9">
        <v>2.5000000000000001E-2</v>
      </c>
      <c r="F9" t="s">
        <v>56</v>
      </c>
      <c r="G9" t="s">
        <v>56</v>
      </c>
      <c r="H9" t="s">
        <v>57</v>
      </c>
      <c r="I9" t="s">
        <v>58</v>
      </c>
      <c r="J9">
        <v>3</v>
      </c>
      <c r="K9">
        <v>1</v>
      </c>
      <c r="L9" t="s">
        <v>59</v>
      </c>
      <c r="M9" t="s">
        <v>56</v>
      </c>
      <c r="N9" t="s">
        <v>56</v>
      </c>
      <c r="O9" t="s">
        <v>234</v>
      </c>
      <c r="P9" t="s">
        <v>61</v>
      </c>
      <c r="Q9" t="s">
        <v>62</v>
      </c>
      <c r="R9" t="s">
        <v>63</v>
      </c>
      <c r="S9" t="s">
        <v>64</v>
      </c>
      <c r="T9" t="s">
        <v>65</v>
      </c>
      <c r="U9" t="s">
        <v>66</v>
      </c>
      <c r="V9" t="s">
        <v>67</v>
      </c>
      <c r="W9" t="b">
        <v>0</v>
      </c>
      <c r="X9" t="b">
        <v>1</v>
      </c>
      <c r="Y9">
        <v>1</v>
      </c>
      <c r="Z9">
        <v>1</v>
      </c>
      <c r="AA9" t="s">
        <v>72</v>
      </c>
      <c r="AB9" t="s">
        <v>73</v>
      </c>
      <c r="AC9">
        <v>1</v>
      </c>
      <c r="AD9" t="b">
        <v>0</v>
      </c>
      <c r="AE9" t="s">
        <v>68</v>
      </c>
      <c r="AF9">
        <v>50000</v>
      </c>
      <c r="AG9">
        <v>1000</v>
      </c>
      <c r="AH9">
        <v>1234</v>
      </c>
      <c r="AI9" t="b">
        <v>1</v>
      </c>
      <c r="AJ9" t="b">
        <v>0</v>
      </c>
      <c r="AK9" t="b">
        <v>1</v>
      </c>
      <c r="AL9" t="b">
        <v>1</v>
      </c>
    </row>
    <row r="10" spans="1:38" x14ac:dyDescent="0.25">
      <c r="A10">
        <v>9</v>
      </c>
      <c r="B10" t="s">
        <v>50</v>
      </c>
      <c r="C10" t="s">
        <v>55</v>
      </c>
      <c r="D10">
        <v>600</v>
      </c>
      <c r="E10">
        <v>2.5000000000000001E-2</v>
      </c>
      <c r="F10" t="s">
        <v>56</v>
      </c>
      <c r="G10" t="s">
        <v>56</v>
      </c>
      <c r="H10" t="s">
        <v>57</v>
      </c>
      <c r="I10" t="s">
        <v>58</v>
      </c>
      <c r="J10">
        <v>3</v>
      </c>
      <c r="K10">
        <v>1</v>
      </c>
      <c r="L10" t="s">
        <v>59</v>
      </c>
      <c r="M10" t="s">
        <v>56</v>
      </c>
      <c r="N10" t="s">
        <v>56</v>
      </c>
      <c r="O10" t="s">
        <v>60</v>
      </c>
      <c r="P10" t="s">
        <v>61</v>
      </c>
      <c r="Q10" t="s">
        <v>62</v>
      </c>
      <c r="R10" t="s">
        <v>63</v>
      </c>
      <c r="S10" t="s">
        <v>64</v>
      </c>
      <c r="T10" t="s">
        <v>65</v>
      </c>
      <c r="U10" t="s">
        <v>66</v>
      </c>
      <c r="V10" t="s">
        <v>67</v>
      </c>
      <c r="W10" t="b">
        <v>0</v>
      </c>
      <c r="X10" t="b">
        <v>0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68</v>
      </c>
      <c r="AF10">
        <v>10000</v>
      </c>
      <c r="AG10">
        <v>1000</v>
      </c>
      <c r="AH10">
        <v>64564</v>
      </c>
      <c r="AI10" t="b">
        <v>1</v>
      </c>
      <c r="AJ10" t="b">
        <v>0</v>
      </c>
      <c r="AK10" t="b">
        <v>1</v>
      </c>
      <c r="AL10" t="b">
        <v>0</v>
      </c>
    </row>
    <row r="11" spans="1:38" x14ac:dyDescent="0.25">
      <c r="A11">
        <v>10</v>
      </c>
      <c r="B11" t="s">
        <v>69</v>
      </c>
      <c r="C11" t="s">
        <v>55</v>
      </c>
      <c r="D11">
        <v>600</v>
      </c>
      <c r="E11">
        <v>2.5000000000000001E-2</v>
      </c>
      <c r="F11" t="s">
        <v>56</v>
      </c>
      <c r="G11" t="s">
        <v>56</v>
      </c>
      <c r="H11" t="s">
        <v>57</v>
      </c>
      <c r="I11" t="s">
        <v>58</v>
      </c>
      <c r="J11">
        <v>3</v>
      </c>
      <c r="K11">
        <v>1</v>
      </c>
      <c r="L11" t="s">
        <v>59</v>
      </c>
      <c r="M11" t="s">
        <v>56</v>
      </c>
      <c r="N11" t="s">
        <v>56</v>
      </c>
      <c r="O11" t="s">
        <v>60</v>
      </c>
      <c r="P11" t="s">
        <v>61</v>
      </c>
      <c r="Q11" t="s">
        <v>62</v>
      </c>
      <c r="R11" t="s">
        <v>63</v>
      </c>
      <c r="S11" t="s">
        <v>64</v>
      </c>
      <c r="T11" t="s">
        <v>65</v>
      </c>
      <c r="U11" t="s">
        <v>66</v>
      </c>
      <c r="V11" t="s">
        <v>67</v>
      </c>
      <c r="W11" t="b">
        <v>0</v>
      </c>
      <c r="X11" t="b">
        <v>1</v>
      </c>
      <c r="Y11">
        <v>1</v>
      </c>
      <c r="Z11">
        <v>1</v>
      </c>
      <c r="AA11" t="s">
        <v>72</v>
      </c>
      <c r="AB11" t="s">
        <v>73</v>
      </c>
      <c r="AC11">
        <v>1</v>
      </c>
      <c r="AD11" t="b">
        <v>0</v>
      </c>
      <c r="AE11" t="s">
        <v>68</v>
      </c>
      <c r="AF11">
        <v>10000</v>
      </c>
      <c r="AG11">
        <v>1000</v>
      </c>
      <c r="AH11">
        <v>73236</v>
      </c>
      <c r="AI11" t="b">
        <v>1</v>
      </c>
      <c r="AJ11" t="b">
        <v>0</v>
      </c>
      <c r="AK11" t="b">
        <v>1</v>
      </c>
      <c r="AL11" t="b">
        <v>0</v>
      </c>
    </row>
    <row r="12" spans="1:38" x14ac:dyDescent="0.25">
      <c r="A12">
        <v>11</v>
      </c>
      <c r="B12" t="s">
        <v>74</v>
      </c>
      <c r="C12" t="s">
        <v>55</v>
      </c>
      <c r="D12">
        <v>600</v>
      </c>
      <c r="E12">
        <v>2.5000000000000001E-2</v>
      </c>
      <c r="F12" t="s">
        <v>56</v>
      </c>
      <c r="G12" t="s">
        <v>56</v>
      </c>
      <c r="H12" t="s">
        <v>57</v>
      </c>
      <c r="I12" t="s">
        <v>58</v>
      </c>
      <c r="J12">
        <v>3</v>
      </c>
      <c r="K12">
        <v>1</v>
      </c>
      <c r="L12" t="s">
        <v>59</v>
      </c>
      <c r="M12" t="s">
        <v>56</v>
      </c>
      <c r="N12" t="s">
        <v>56</v>
      </c>
      <c r="O12" t="s">
        <v>60</v>
      </c>
      <c r="P12" t="s">
        <v>61</v>
      </c>
      <c r="Q12" t="s">
        <v>62</v>
      </c>
      <c r="R12" t="s">
        <v>63</v>
      </c>
      <c r="S12" t="s">
        <v>64</v>
      </c>
      <c r="T12" t="s">
        <v>65</v>
      </c>
      <c r="U12" t="s">
        <v>66</v>
      </c>
      <c r="V12" t="s">
        <v>67</v>
      </c>
      <c r="W12" t="b">
        <v>0</v>
      </c>
      <c r="X12" t="b">
        <v>1</v>
      </c>
      <c r="Y12">
        <v>1</v>
      </c>
      <c r="Z12">
        <v>1</v>
      </c>
      <c r="AA12" t="s">
        <v>77</v>
      </c>
      <c r="AB12" t="s">
        <v>78</v>
      </c>
      <c r="AC12">
        <v>0.5</v>
      </c>
      <c r="AD12" t="b">
        <v>0</v>
      </c>
      <c r="AE12" t="s">
        <v>68</v>
      </c>
      <c r="AF12">
        <v>10000</v>
      </c>
      <c r="AG12">
        <v>1000</v>
      </c>
      <c r="AH12">
        <v>11111</v>
      </c>
      <c r="AI12" t="b">
        <v>1</v>
      </c>
      <c r="AJ12" t="b">
        <v>0</v>
      </c>
      <c r="AK12" t="b">
        <v>1</v>
      </c>
      <c r="AL12" t="b">
        <v>0</v>
      </c>
    </row>
    <row r="13" spans="1:38" x14ac:dyDescent="0.25">
      <c r="A13">
        <v>12</v>
      </c>
      <c r="B13" t="s">
        <v>79</v>
      </c>
      <c r="C13" t="s">
        <v>55</v>
      </c>
      <c r="D13">
        <v>600</v>
      </c>
      <c r="E13">
        <v>2.5000000000000001E-2</v>
      </c>
      <c r="F13" t="s">
        <v>56</v>
      </c>
      <c r="G13" t="s">
        <v>56</v>
      </c>
      <c r="H13" t="s">
        <v>57</v>
      </c>
      <c r="I13" t="s">
        <v>58</v>
      </c>
      <c r="J13">
        <v>3</v>
      </c>
      <c r="K13">
        <v>1</v>
      </c>
      <c r="L13" t="s">
        <v>59</v>
      </c>
      <c r="M13" t="s">
        <v>56</v>
      </c>
      <c r="N13" t="s">
        <v>56</v>
      </c>
      <c r="O13" t="s">
        <v>60</v>
      </c>
      <c r="P13" t="s">
        <v>61</v>
      </c>
      <c r="Q13" t="s">
        <v>62</v>
      </c>
      <c r="R13" t="s">
        <v>63</v>
      </c>
      <c r="S13" t="s">
        <v>64</v>
      </c>
      <c r="T13" t="s">
        <v>65</v>
      </c>
      <c r="U13" t="s">
        <v>66</v>
      </c>
      <c r="V13" t="s">
        <v>67</v>
      </c>
      <c r="W13" t="b">
        <v>0</v>
      </c>
      <c r="X13" t="b">
        <v>1</v>
      </c>
      <c r="Y13">
        <v>1</v>
      </c>
      <c r="Z13">
        <v>1</v>
      </c>
      <c r="AA13" t="s">
        <v>77</v>
      </c>
      <c r="AB13" t="s">
        <v>78</v>
      </c>
      <c r="AC13">
        <v>0.75</v>
      </c>
      <c r="AD13" t="b">
        <v>1</v>
      </c>
      <c r="AE13" t="s">
        <v>36</v>
      </c>
      <c r="AF13">
        <v>10000</v>
      </c>
      <c r="AG13">
        <v>1000</v>
      </c>
      <c r="AH13">
        <v>343</v>
      </c>
      <c r="AI13" t="b">
        <v>1</v>
      </c>
      <c r="AJ13" t="b">
        <v>0</v>
      </c>
      <c r="AK13" t="b">
        <v>1</v>
      </c>
      <c r="AL13" t="b">
        <v>0</v>
      </c>
    </row>
    <row r="14" spans="1:38" x14ac:dyDescent="0.25">
      <c r="A14">
        <v>13</v>
      </c>
      <c r="B14" t="s">
        <v>82</v>
      </c>
      <c r="C14" t="s">
        <v>55</v>
      </c>
      <c r="D14">
        <v>600</v>
      </c>
      <c r="E14">
        <v>2.5000000000000001E-2</v>
      </c>
      <c r="F14" t="s">
        <v>56</v>
      </c>
      <c r="G14" t="s">
        <v>56</v>
      </c>
      <c r="H14" t="s">
        <v>57</v>
      </c>
      <c r="I14" t="s">
        <v>58</v>
      </c>
      <c r="J14">
        <v>3</v>
      </c>
      <c r="K14">
        <v>1</v>
      </c>
      <c r="L14" t="s">
        <v>59</v>
      </c>
      <c r="M14" t="s">
        <v>56</v>
      </c>
      <c r="N14" t="s">
        <v>56</v>
      </c>
      <c r="O14" t="s">
        <v>60</v>
      </c>
      <c r="P14" t="s">
        <v>61</v>
      </c>
      <c r="Q14" t="s">
        <v>62</v>
      </c>
      <c r="R14" t="s">
        <v>63</v>
      </c>
      <c r="S14" t="s">
        <v>64</v>
      </c>
      <c r="T14" t="s">
        <v>65</v>
      </c>
      <c r="U14" t="s">
        <v>66</v>
      </c>
      <c r="V14" t="s">
        <v>67</v>
      </c>
      <c r="W14" t="b">
        <v>0</v>
      </c>
      <c r="X14" t="b">
        <v>1</v>
      </c>
      <c r="Y14">
        <v>1</v>
      </c>
      <c r="Z14">
        <v>1</v>
      </c>
      <c r="AA14" t="s">
        <v>77</v>
      </c>
      <c r="AB14" t="s">
        <v>78</v>
      </c>
      <c r="AC14">
        <v>0.5</v>
      </c>
      <c r="AD14" t="b">
        <v>1</v>
      </c>
      <c r="AE14" t="s">
        <v>36</v>
      </c>
      <c r="AF14">
        <v>10000</v>
      </c>
      <c r="AG14">
        <v>1000</v>
      </c>
      <c r="AH14">
        <v>84234</v>
      </c>
      <c r="AI14" t="b">
        <v>1</v>
      </c>
      <c r="AJ14" t="b">
        <v>0</v>
      </c>
      <c r="AK14" t="b">
        <v>1</v>
      </c>
      <c r="AL14" t="b">
        <v>0</v>
      </c>
    </row>
    <row r="15" spans="1:38" x14ac:dyDescent="0.25">
      <c r="A15">
        <v>14</v>
      </c>
      <c r="B15" t="s">
        <v>85</v>
      </c>
      <c r="C15" t="s">
        <v>55</v>
      </c>
      <c r="D15">
        <v>600</v>
      </c>
      <c r="E15">
        <v>2.5000000000000001E-2</v>
      </c>
      <c r="F15" t="s">
        <v>56</v>
      </c>
      <c r="G15" t="s">
        <v>56</v>
      </c>
      <c r="H15" t="s">
        <v>57</v>
      </c>
      <c r="I15" t="s">
        <v>58</v>
      </c>
      <c r="J15">
        <v>3</v>
      </c>
      <c r="K15">
        <v>1</v>
      </c>
      <c r="L15" t="s">
        <v>59</v>
      </c>
      <c r="M15" t="s">
        <v>56</v>
      </c>
      <c r="N15" t="s">
        <v>56</v>
      </c>
      <c r="O15" t="s">
        <v>60</v>
      </c>
      <c r="P15" t="s">
        <v>61</v>
      </c>
      <c r="Q15" t="s">
        <v>62</v>
      </c>
      <c r="R15" t="s">
        <v>63</v>
      </c>
      <c r="S15" t="s">
        <v>64</v>
      </c>
      <c r="T15" t="s">
        <v>65</v>
      </c>
      <c r="U15" t="s">
        <v>66</v>
      </c>
      <c r="V15" t="s">
        <v>67</v>
      </c>
      <c r="W15" t="b">
        <v>0</v>
      </c>
      <c r="X15" t="b">
        <v>1</v>
      </c>
      <c r="Y15">
        <v>1</v>
      </c>
      <c r="Z15">
        <v>1</v>
      </c>
      <c r="AA15" t="s">
        <v>77</v>
      </c>
      <c r="AB15" t="s">
        <v>78</v>
      </c>
      <c r="AC15">
        <v>0.25</v>
      </c>
      <c r="AD15" t="b">
        <v>1</v>
      </c>
      <c r="AE15" t="s">
        <v>36</v>
      </c>
      <c r="AF15">
        <v>10000</v>
      </c>
      <c r="AG15">
        <v>1000</v>
      </c>
      <c r="AH15">
        <v>4346</v>
      </c>
      <c r="AI15" t="b">
        <v>1</v>
      </c>
      <c r="AJ15" t="b">
        <v>0</v>
      </c>
      <c r="AK15" t="b">
        <v>1</v>
      </c>
      <c r="AL15" t="b">
        <v>0</v>
      </c>
    </row>
    <row r="16" spans="1:38" x14ac:dyDescent="0.25">
      <c r="A16">
        <v>15</v>
      </c>
      <c r="B16" t="s">
        <v>88</v>
      </c>
      <c r="C16" t="s">
        <v>55</v>
      </c>
      <c r="D16">
        <v>600</v>
      </c>
      <c r="E16">
        <v>2.5000000000000001E-2</v>
      </c>
      <c r="F16" t="s">
        <v>56</v>
      </c>
      <c r="G16" t="s">
        <v>56</v>
      </c>
      <c r="H16" t="s">
        <v>57</v>
      </c>
      <c r="I16" t="s">
        <v>58</v>
      </c>
      <c r="J16">
        <v>3</v>
      </c>
      <c r="K16">
        <v>1</v>
      </c>
      <c r="L16" t="s">
        <v>59</v>
      </c>
      <c r="M16" t="s">
        <v>56</v>
      </c>
      <c r="N16" t="s">
        <v>56</v>
      </c>
      <c r="O16" t="s">
        <v>60</v>
      </c>
      <c r="P16" t="s">
        <v>61</v>
      </c>
      <c r="Q16" t="s">
        <v>62</v>
      </c>
      <c r="R16" t="s">
        <v>63</v>
      </c>
      <c r="S16" t="s">
        <v>64</v>
      </c>
      <c r="T16" t="s">
        <v>65</v>
      </c>
      <c r="U16" t="s">
        <v>66</v>
      </c>
      <c r="V16" t="s">
        <v>67</v>
      </c>
      <c r="W16" t="b">
        <v>0</v>
      </c>
      <c r="X16" t="b">
        <v>1</v>
      </c>
      <c r="Y16">
        <v>1</v>
      </c>
      <c r="Z16">
        <v>1</v>
      </c>
      <c r="AA16" t="s">
        <v>77</v>
      </c>
      <c r="AB16" t="s">
        <v>73</v>
      </c>
      <c r="AC16">
        <v>1</v>
      </c>
      <c r="AD16" t="b">
        <v>1</v>
      </c>
      <c r="AE16" t="s">
        <v>36</v>
      </c>
      <c r="AF16">
        <v>10000</v>
      </c>
      <c r="AG16">
        <v>1000</v>
      </c>
      <c r="AH16">
        <v>9504</v>
      </c>
      <c r="AI16" t="b">
        <v>1</v>
      </c>
      <c r="AJ16" t="b">
        <v>0</v>
      </c>
      <c r="AK16" t="b">
        <v>1</v>
      </c>
      <c r="AL16" t="b">
        <v>0</v>
      </c>
    </row>
    <row r="17" spans="1:38" x14ac:dyDescent="0.25">
      <c r="A17">
        <v>16</v>
      </c>
      <c r="B17" t="s">
        <v>91</v>
      </c>
      <c r="C17" t="s">
        <v>55</v>
      </c>
      <c r="D17">
        <v>600</v>
      </c>
      <c r="E17">
        <v>2.5000000000000001E-2</v>
      </c>
      <c r="F17" t="s">
        <v>56</v>
      </c>
      <c r="G17" t="s">
        <v>56</v>
      </c>
      <c r="H17" t="s">
        <v>57</v>
      </c>
      <c r="I17" t="s">
        <v>58</v>
      </c>
      <c r="J17">
        <v>3</v>
      </c>
      <c r="K17">
        <v>1</v>
      </c>
      <c r="L17" t="s">
        <v>59</v>
      </c>
      <c r="M17" t="s">
        <v>56</v>
      </c>
      <c r="N17" t="s">
        <v>56</v>
      </c>
      <c r="O17" t="s">
        <v>60</v>
      </c>
      <c r="P17" t="s">
        <v>61</v>
      </c>
      <c r="Q17" t="s">
        <v>62</v>
      </c>
      <c r="R17" t="s">
        <v>63</v>
      </c>
      <c r="S17" t="s">
        <v>64</v>
      </c>
      <c r="T17" t="s">
        <v>65</v>
      </c>
      <c r="U17" t="s">
        <v>66</v>
      </c>
      <c r="V17" t="s">
        <v>67</v>
      </c>
      <c r="W17" t="b">
        <v>0</v>
      </c>
      <c r="X17" t="b">
        <v>1</v>
      </c>
      <c r="Y17">
        <v>1</v>
      </c>
      <c r="Z17">
        <v>1</v>
      </c>
      <c r="AA17" t="s">
        <v>77</v>
      </c>
      <c r="AB17" t="s">
        <v>73</v>
      </c>
      <c r="AC17">
        <v>2</v>
      </c>
      <c r="AD17" t="b">
        <v>1</v>
      </c>
      <c r="AE17" t="s">
        <v>36</v>
      </c>
      <c r="AF17">
        <v>10000</v>
      </c>
      <c r="AG17">
        <v>1000</v>
      </c>
      <c r="AH17">
        <v>2300</v>
      </c>
      <c r="AI17" t="b">
        <v>1</v>
      </c>
      <c r="AJ17" t="b">
        <v>0</v>
      </c>
      <c r="AK17" t="b">
        <v>1</v>
      </c>
      <c r="AL17" t="b">
        <v>0</v>
      </c>
    </row>
    <row r="18" spans="1:38" x14ac:dyDescent="0.25">
      <c r="A18">
        <v>17</v>
      </c>
      <c r="B18" t="s">
        <v>94</v>
      </c>
      <c r="C18" t="s">
        <v>55</v>
      </c>
      <c r="D18">
        <v>400</v>
      </c>
      <c r="E18">
        <v>2.5000000000000001E-2</v>
      </c>
      <c r="F18" t="s">
        <v>56</v>
      </c>
      <c r="G18" t="s">
        <v>56</v>
      </c>
      <c r="H18" t="s">
        <v>57</v>
      </c>
      <c r="I18" t="s">
        <v>58</v>
      </c>
      <c r="J18">
        <v>3</v>
      </c>
      <c r="K18">
        <v>1</v>
      </c>
      <c r="L18" t="s">
        <v>59</v>
      </c>
      <c r="M18" t="s">
        <v>56</v>
      </c>
      <c r="N18" t="s">
        <v>56</v>
      </c>
      <c r="O18" t="s">
        <v>60</v>
      </c>
      <c r="P18" t="s">
        <v>61</v>
      </c>
      <c r="Q18" t="s">
        <v>62</v>
      </c>
      <c r="R18" t="s">
        <v>63</v>
      </c>
      <c r="S18" t="s">
        <v>64</v>
      </c>
      <c r="T18" t="s">
        <v>65</v>
      </c>
      <c r="U18" t="s">
        <v>97</v>
      </c>
      <c r="V18" t="s">
        <v>67</v>
      </c>
      <c r="W18" t="b">
        <v>0</v>
      </c>
      <c r="X18" t="b">
        <v>0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68</v>
      </c>
      <c r="AF18">
        <v>10000</v>
      </c>
      <c r="AG18">
        <v>1000</v>
      </c>
      <c r="AH18">
        <v>97827</v>
      </c>
      <c r="AI18" t="b">
        <v>1</v>
      </c>
      <c r="AJ18" t="b">
        <v>0</v>
      </c>
      <c r="AK18" t="b">
        <v>1</v>
      </c>
      <c r="AL18" t="b">
        <v>0</v>
      </c>
    </row>
    <row r="19" spans="1:38" x14ac:dyDescent="0.25">
      <c r="A19">
        <v>18</v>
      </c>
      <c r="B19" t="s">
        <v>98</v>
      </c>
      <c r="C19" t="s">
        <v>55</v>
      </c>
      <c r="D19">
        <v>400</v>
      </c>
      <c r="E19">
        <v>2.5000000000000001E-2</v>
      </c>
      <c r="F19" t="s">
        <v>56</v>
      </c>
      <c r="G19" t="s">
        <v>56</v>
      </c>
      <c r="H19" t="s">
        <v>57</v>
      </c>
      <c r="I19" t="s">
        <v>58</v>
      </c>
      <c r="J19">
        <v>3</v>
      </c>
      <c r="K19">
        <v>1</v>
      </c>
      <c r="L19" t="s">
        <v>59</v>
      </c>
      <c r="M19" t="s">
        <v>56</v>
      </c>
      <c r="N19" t="s">
        <v>56</v>
      </c>
      <c r="O19" t="s">
        <v>60</v>
      </c>
      <c r="P19" t="s">
        <v>61</v>
      </c>
      <c r="Q19" t="s">
        <v>62</v>
      </c>
      <c r="R19" t="s">
        <v>63</v>
      </c>
      <c r="S19" t="s">
        <v>64</v>
      </c>
      <c r="T19" t="s">
        <v>65</v>
      </c>
      <c r="U19" t="s">
        <v>97</v>
      </c>
      <c r="V19" t="s">
        <v>67</v>
      </c>
      <c r="W19" t="b">
        <v>0</v>
      </c>
      <c r="X19" t="b">
        <v>1</v>
      </c>
      <c r="Y19">
        <v>1</v>
      </c>
      <c r="Z19">
        <v>1</v>
      </c>
      <c r="AA19" t="s">
        <v>72</v>
      </c>
      <c r="AB19" t="s">
        <v>73</v>
      </c>
      <c r="AC19">
        <v>1</v>
      </c>
      <c r="AD19" t="b">
        <v>0</v>
      </c>
      <c r="AE19" t="s">
        <v>68</v>
      </c>
      <c r="AF19">
        <v>10000</v>
      </c>
      <c r="AG19">
        <v>1000</v>
      </c>
      <c r="AH19">
        <v>70743</v>
      </c>
      <c r="AI19" t="b">
        <v>1</v>
      </c>
      <c r="AJ19" t="b">
        <v>0</v>
      </c>
      <c r="AK19" t="b">
        <v>1</v>
      </c>
      <c r="AL19" t="b">
        <v>0</v>
      </c>
    </row>
    <row r="20" spans="1:38" x14ac:dyDescent="0.25">
      <c r="A20">
        <v>19</v>
      </c>
      <c r="B20" t="s">
        <v>101</v>
      </c>
      <c r="C20" t="s">
        <v>55</v>
      </c>
      <c r="D20">
        <v>400</v>
      </c>
      <c r="E20">
        <v>2.5000000000000001E-2</v>
      </c>
      <c r="F20" t="s">
        <v>56</v>
      </c>
      <c r="G20" t="s">
        <v>56</v>
      </c>
      <c r="H20" t="s">
        <v>57</v>
      </c>
      <c r="I20" t="s">
        <v>58</v>
      </c>
      <c r="J20">
        <v>3</v>
      </c>
      <c r="K20">
        <v>1</v>
      </c>
      <c r="L20" t="s">
        <v>59</v>
      </c>
      <c r="M20" t="s">
        <v>56</v>
      </c>
      <c r="N20" t="s">
        <v>56</v>
      </c>
      <c r="O20" t="s">
        <v>60</v>
      </c>
      <c r="P20" t="s">
        <v>61</v>
      </c>
      <c r="Q20" t="s">
        <v>62</v>
      </c>
      <c r="R20" t="s">
        <v>63</v>
      </c>
      <c r="S20" t="s">
        <v>64</v>
      </c>
      <c r="T20" t="s">
        <v>65</v>
      </c>
      <c r="U20" t="s">
        <v>97</v>
      </c>
      <c r="V20" t="s">
        <v>67</v>
      </c>
      <c r="W20" t="b">
        <v>0</v>
      </c>
      <c r="X20" t="b">
        <v>1</v>
      </c>
      <c r="Y20">
        <v>1</v>
      </c>
      <c r="Z20">
        <v>1</v>
      </c>
      <c r="AA20" t="s">
        <v>77</v>
      </c>
      <c r="AB20" t="s">
        <v>78</v>
      </c>
      <c r="AC20">
        <v>0.5</v>
      </c>
      <c r="AD20" t="b">
        <v>0</v>
      </c>
      <c r="AE20" t="s">
        <v>68</v>
      </c>
      <c r="AF20">
        <v>10000</v>
      </c>
      <c r="AG20">
        <v>1000</v>
      </c>
      <c r="AH20">
        <v>2402</v>
      </c>
      <c r="AI20" t="b">
        <v>1</v>
      </c>
      <c r="AJ20" t="b">
        <v>0</v>
      </c>
      <c r="AK20" t="b">
        <v>1</v>
      </c>
      <c r="AL20" t="b">
        <v>0</v>
      </c>
    </row>
    <row r="21" spans="1:38" x14ac:dyDescent="0.25">
      <c r="A21">
        <v>20</v>
      </c>
      <c r="B21" t="s">
        <v>104</v>
      </c>
      <c r="C21" t="s">
        <v>55</v>
      </c>
      <c r="D21">
        <v>400</v>
      </c>
      <c r="E21">
        <v>2.5000000000000001E-2</v>
      </c>
      <c r="F21" t="s">
        <v>56</v>
      </c>
      <c r="G21" t="s">
        <v>56</v>
      </c>
      <c r="H21" t="s">
        <v>57</v>
      </c>
      <c r="I21" t="s">
        <v>58</v>
      </c>
      <c r="J21">
        <v>3</v>
      </c>
      <c r="K21">
        <v>1</v>
      </c>
      <c r="L21" t="s">
        <v>59</v>
      </c>
      <c r="M21" t="s">
        <v>56</v>
      </c>
      <c r="N21" t="s">
        <v>56</v>
      </c>
      <c r="O21" t="s">
        <v>60</v>
      </c>
      <c r="P21" t="s">
        <v>61</v>
      </c>
      <c r="Q21" t="s">
        <v>62</v>
      </c>
      <c r="R21" t="s">
        <v>63</v>
      </c>
      <c r="S21" t="s">
        <v>64</v>
      </c>
      <c r="T21" t="s">
        <v>65</v>
      </c>
      <c r="U21" t="s">
        <v>97</v>
      </c>
      <c r="V21" t="s">
        <v>67</v>
      </c>
      <c r="W21" t="b">
        <v>0</v>
      </c>
      <c r="X21" t="b">
        <v>1</v>
      </c>
      <c r="Y21">
        <v>1</v>
      </c>
      <c r="Z21">
        <v>1</v>
      </c>
      <c r="AA21" t="s">
        <v>77</v>
      </c>
      <c r="AB21" t="s">
        <v>78</v>
      </c>
      <c r="AC21">
        <v>0.75</v>
      </c>
      <c r="AD21" t="b">
        <v>1</v>
      </c>
      <c r="AE21" t="s">
        <v>36</v>
      </c>
      <c r="AF21">
        <v>10000</v>
      </c>
      <c r="AG21">
        <v>1000</v>
      </c>
      <c r="AH21">
        <v>2637</v>
      </c>
      <c r="AI21" t="b">
        <v>1</v>
      </c>
      <c r="AJ21" t="b">
        <v>0</v>
      </c>
      <c r="AK21" t="b">
        <v>1</v>
      </c>
      <c r="AL21" t="b">
        <v>0</v>
      </c>
    </row>
    <row r="22" spans="1:38" x14ac:dyDescent="0.25">
      <c r="A22">
        <v>21</v>
      </c>
      <c r="B22" t="s">
        <v>107</v>
      </c>
      <c r="C22" t="s">
        <v>55</v>
      </c>
      <c r="D22">
        <v>400</v>
      </c>
      <c r="E22">
        <v>2.5000000000000001E-2</v>
      </c>
      <c r="F22" t="s">
        <v>56</v>
      </c>
      <c r="G22" t="s">
        <v>56</v>
      </c>
      <c r="H22" t="s">
        <v>57</v>
      </c>
      <c r="I22" t="s">
        <v>58</v>
      </c>
      <c r="J22">
        <v>3</v>
      </c>
      <c r="K22">
        <v>1</v>
      </c>
      <c r="L22" t="s">
        <v>59</v>
      </c>
      <c r="M22" t="s">
        <v>56</v>
      </c>
      <c r="N22" t="s">
        <v>56</v>
      </c>
      <c r="O22" t="s">
        <v>60</v>
      </c>
      <c r="P22" t="s">
        <v>61</v>
      </c>
      <c r="Q22" t="s">
        <v>62</v>
      </c>
      <c r="R22" t="s">
        <v>63</v>
      </c>
      <c r="S22" t="s">
        <v>64</v>
      </c>
      <c r="T22" t="s">
        <v>65</v>
      </c>
      <c r="U22" t="s">
        <v>97</v>
      </c>
      <c r="V22" t="s">
        <v>67</v>
      </c>
      <c r="W22" t="b">
        <v>0</v>
      </c>
      <c r="X22" t="b">
        <v>1</v>
      </c>
      <c r="Y22">
        <v>1</v>
      </c>
      <c r="Z22">
        <v>1</v>
      </c>
      <c r="AA22" t="s">
        <v>77</v>
      </c>
      <c r="AB22" t="s">
        <v>78</v>
      </c>
      <c r="AC22">
        <v>0.5</v>
      </c>
      <c r="AD22" t="b">
        <v>1</v>
      </c>
      <c r="AE22" t="s">
        <v>36</v>
      </c>
      <c r="AF22">
        <v>10000</v>
      </c>
      <c r="AG22">
        <v>1000</v>
      </c>
      <c r="AH22">
        <v>499</v>
      </c>
      <c r="AI22" t="b">
        <v>1</v>
      </c>
      <c r="AJ22" t="b">
        <v>0</v>
      </c>
      <c r="AK22" t="b">
        <v>1</v>
      </c>
      <c r="AL22" t="b">
        <v>0</v>
      </c>
    </row>
    <row r="23" spans="1:38" x14ac:dyDescent="0.25">
      <c r="A23">
        <v>22</v>
      </c>
      <c r="B23" t="s">
        <v>110</v>
      </c>
      <c r="C23" t="s">
        <v>55</v>
      </c>
      <c r="D23">
        <v>400</v>
      </c>
      <c r="E23">
        <v>2.5000000000000001E-2</v>
      </c>
      <c r="F23" t="s">
        <v>56</v>
      </c>
      <c r="G23" t="s">
        <v>56</v>
      </c>
      <c r="H23" t="s">
        <v>57</v>
      </c>
      <c r="I23" t="s">
        <v>58</v>
      </c>
      <c r="J23">
        <v>3</v>
      </c>
      <c r="K23">
        <v>1</v>
      </c>
      <c r="L23" t="s">
        <v>59</v>
      </c>
      <c r="M23" t="s">
        <v>56</v>
      </c>
      <c r="N23" t="s">
        <v>56</v>
      </c>
      <c r="O23" t="s">
        <v>60</v>
      </c>
      <c r="P23" t="s">
        <v>61</v>
      </c>
      <c r="Q23" t="s">
        <v>62</v>
      </c>
      <c r="R23" t="s">
        <v>63</v>
      </c>
      <c r="S23" t="s">
        <v>64</v>
      </c>
      <c r="T23" t="s">
        <v>65</v>
      </c>
      <c r="U23" t="s">
        <v>97</v>
      </c>
      <c r="V23" t="s">
        <v>67</v>
      </c>
      <c r="W23" t="b">
        <v>0</v>
      </c>
      <c r="X23" t="b">
        <v>1</v>
      </c>
      <c r="Y23">
        <v>1</v>
      </c>
      <c r="Z23">
        <v>1</v>
      </c>
      <c r="AA23" t="s">
        <v>77</v>
      </c>
      <c r="AB23" t="s">
        <v>78</v>
      </c>
      <c r="AC23">
        <v>0.25</v>
      </c>
      <c r="AD23" t="b">
        <v>1</v>
      </c>
      <c r="AE23" t="s">
        <v>36</v>
      </c>
      <c r="AF23">
        <v>10000</v>
      </c>
      <c r="AG23">
        <v>1000</v>
      </c>
      <c r="AH23">
        <v>30953</v>
      </c>
      <c r="AI23" t="b">
        <v>1</v>
      </c>
      <c r="AJ23" t="b">
        <v>0</v>
      </c>
      <c r="AK23" t="b">
        <v>1</v>
      </c>
      <c r="AL23" t="b">
        <v>0</v>
      </c>
    </row>
    <row r="24" spans="1:38" x14ac:dyDescent="0.25">
      <c r="A24">
        <v>23</v>
      </c>
      <c r="B24" t="s">
        <v>113</v>
      </c>
      <c r="C24" t="s">
        <v>55</v>
      </c>
      <c r="D24">
        <v>400</v>
      </c>
      <c r="E24">
        <v>2.5000000000000001E-2</v>
      </c>
      <c r="F24" t="s">
        <v>56</v>
      </c>
      <c r="G24" t="s">
        <v>56</v>
      </c>
      <c r="H24" t="s">
        <v>57</v>
      </c>
      <c r="I24" t="s">
        <v>58</v>
      </c>
      <c r="J24">
        <v>3</v>
      </c>
      <c r="K24">
        <v>1</v>
      </c>
      <c r="L24" t="s">
        <v>59</v>
      </c>
      <c r="M24" t="s">
        <v>56</v>
      </c>
      <c r="N24" t="s">
        <v>56</v>
      </c>
      <c r="O24" t="s">
        <v>60</v>
      </c>
      <c r="P24" t="s">
        <v>61</v>
      </c>
      <c r="Q24" t="s">
        <v>62</v>
      </c>
      <c r="R24" t="s">
        <v>63</v>
      </c>
      <c r="S24" t="s">
        <v>64</v>
      </c>
      <c r="T24" t="s">
        <v>65</v>
      </c>
      <c r="U24" t="s">
        <v>97</v>
      </c>
      <c r="V24" t="s">
        <v>67</v>
      </c>
      <c r="W24" t="b">
        <v>0</v>
      </c>
      <c r="X24" t="b">
        <v>1</v>
      </c>
      <c r="Y24">
        <v>1</v>
      </c>
      <c r="Z24">
        <v>1</v>
      </c>
      <c r="AA24" t="s">
        <v>77</v>
      </c>
      <c r="AB24" t="s">
        <v>73</v>
      </c>
      <c r="AC24">
        <v>1</v>
      </c>
      <c r="AD24" t="b">
        <v>1</v>
      </c>
      <c r="AE24" t="s">
        <v>36</v>
      </c>
      <c r="AF24">
        <v>10000</v>
      </c>
      <c r="AG24">
        <v>1000</v>
      </c>
      <c r="AH24">
        <v>59079</v>
      </c>
      <c r="AI24" t="b">
        <v>1</v>
      </c>
      <c r="AJ24" t="b">
        <v>0</v>
      </c>
      <c r="AK24" t="b">
        <v>1</v>
      </c>
      <c r="AL24" t="b">
        <v>0</v>
      </c>
    </row>
    <row r="25" spans="1:38" x14ac:dyDescent="0.25">
      <c r="A25">
        <v>24</v>
      </c>
      <c r="B25" t="s">
        <v>116</v>
      </c>
      <c r="C25" t="s">
        <v>55</v>
      </c>
      <c r="D25">
        <v>400</v>
      </c>
      <c r="E25">
        <v>2.5000000000000001E-2</v>
      </c>
      <c r="F25" t="s">
        <v>56</v>
      </c>
      <c r="G25" t="s">
        <v>56</v>
      </c>
      <c r="H25" t="s">
        <v>57</v>
      </c>
      <c r="I25" t="s">
        <v>58</v>
      </c>
      <c r="J25">
        <v>3</v>
      </c>
      <c r="K25">
        <v>1</v>
      </c>
      <c r="L25" t="s">
        <v>59</v>
      </c>
      <c r="M25" t="s">
        <v>56</v>
      </c>
      <c r="N25" t="s">
        <v>56</v>
      </c>
      <c r="O25" t="s">
        <v>60</v>
      </c>
      <c r="P25" t="s">
        <v>61</v>
      </c>
      <c r="Q25" t="s">
        <v>62</v>
      </c>
      <c r="R25" t="s">
        <v>63</v>
      </c>
      <c r="S25" t="s">
        <v>64</v>
      </c>
      <c r="T25" t="s">
        <v>65</v>
      </c>
      <c r="U25" t="s">
        <v>97</v>
      </c>
      <c r="V25" t="s">
        <v>67</v>
      </c>
      <c r="W25" t="b">
        <v>0</v>
      </c>
      <c r="X25" t="b">
        <v>1</v>
      </c>
      <c r="Y25">
        <v>1</v>
      </c>
      <c r="Z25">
        <v>1</v>
      </c>
      <c r="AA25" t="s">
        <v>77</v>
      </c>
      <c r="AB25" t="s">
        <v>73</v>
      </c>
      <c r="AC25">
        <v>2</v>
      </c>
      <c r="AD25" t="b">
        <v>1</v>
      </c>
      <c r="AE25" t="s">
        <v>36</v>
      </c>
      <c r="AF25">
        <v>10000</v>
      </c>
      <c r="AG25">
        <v>1000</v>
      </c>
      <c r="AH25">
        <v>58217</v>
      </c>
      <c r="AI25" t="b">
        <v>1</v>
      </c>
      <c r="AJ25" t="b">
        <v>0</v>
      </c>
      <c r="AK25" t="b">
        <v>1</v>
      </c>
      <c r="AL25" t="b">
        <v>0</v>
      </c>
    </row>
    <row r="26" spans="1:38" x14ac:dyDescent="0.25">
      <c r="A26">
        <v>25</v>
      </c>
      <c r="B26" t="s">
        <v>119</v>
      </c>
      <c r="C26" t="s">
        <v>55</v>
      </c>
      <c r="D26">
        <v>400</v>
      </c>
      <c r="E26">
        <v>2.5000000000000001E-2</v>
      </c>
      <c r="F26" t="s">
        <v>56</v>
      </c>
      <c r="G26" t="s">
        <v>56</v>
      </c>
      <c r="H26" t="s">
        <v>57</v>
      </c>
      <c r="I26" t="s">
        <v>68</v>
      </c>
      <c r="J26">
        <v>3</v>
      </c>
      <c r="K26">
        <v>1</v>
      </c>
      <c r="L26" t="s">
        <v>59</v>
      </c>
      <c r="M26" t="s">
        <v>56</v>
      </c>
      <c r="N26" t="s">
        <v>56</v>
      </c>
      <c r="O26" t="s">
        <v>60</v>
      </c>
      <c r="P26" t="s">
        <v>61</v>
      </c>
      <c r="Q26" t="s">
        <v>62</v>
      </c>
      <c r="R26" t="s">
        <v>63</v>
      </c>
      <c r="S26" t="s">
        <v>64</v>
      </c>
      <c r="T26" t="s">
        <v>65</v>
      </c>
      <c r="U26" t="s">
        <v>97</v>
      </c>
      <c r="V26" t="s">
        <v>67</v>
      </c>
      <c r="W26" t="b">
        <v>0</v>
      </c>
      <c r="X26" t="b">
        <v>0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68</v>
      </c>
      <c r="AF26">
        <v>10000</v>
      </c>
      <c r="AG26">
        <v>1000</v>
      </c>
      <c r="AH26">
        <v>97827</v>
      </c>
      <c r="AI26" t="b">
        <v>1</v>
      </c>
      <c r="AJ26" t="b">
        <v>0</v>
      </c>
      <c r="AK26" t="b">
        <v>1</v>
      </c>
      <c r="AL26" t="b">
        <v>0</v>
      </c>
    </row>
    <row r="27" spans="1:38" x14ac:dyDescent="0.25">
      <c r="A27">
        <v>26</v>
      </c>
      <c r="B27" t="s">
        <v>122</v>
      </c>
      <c r="C27" t="s">
        <v>55</v>
      </c>
      <c r="D27">
        <v>400</v>
      </c>
      <c r="E27">
        <v>2.5000000000000001E-2</v>
      </c>
      <c r="F27" t="s">
        <v>56</v>
      </c>
      <c r="G27" t="s">
        <v>56</v>
      </c>
      <c r="H27" t="s">
        <v>57</v>
      </c>
      <c r="I27" t="s">
        <v>68</v>
      </c>
      <c r="J27">
        <v>3</v>
      </c>
      <c r="K27">
        <v>1</v>
      </c>
      <c r="L27" t="s">
        <v>59</v>
      </c>
      <c r="M27" t="s">
        <v>56</v>
      </c>
      <c r="N27" t="s">
        <v>56</v>
      </c>
      <c r="O27" t="s">
        <v>60</v>
      </c>
      <c r="P27" t="s">
        <v>61</v>
      </c>
      <c r="Q27" t="s">
        <v>62</v>
      </c>
      <c r="R27" t="s">
        <v>63</v>
      </c>
      <c r="S27" t="s">
        <v>64</v>
      </c>
      <c r="T27" t="s">
        <v>65</v>
      </c>
      <c r="U27" t="s">
        <v>97</v>
      </c>
      <c r="V27" t="s">
        <v>67</v>
      </c>
      <c r="W27" t="b">
        <v>0</v>
      </c>
      <c r="X27" t="b">
        <v>1</v>
      </c>
      <c r="Y27">
        <v>1</v>
      </c>
      <c r="Z27">
        <v>1</v>
      </c>
      <c r="AA27" t="s">
        <v>72</v>
      </c>
      <c r="AB27" t="s">
        <v>73</v>
      </c>
      <c r="AC27">
        <v>1</v>
      </c>
      <c r="AD27" t="b">
        <v>0</v>
      </c>
      <c r="AE27" t="s">
        <v>68</v>
      </c>
      <c r="AF27">
        <v>10000</v>
      </c>
      <c r="AG27">
        <v>1000</v>
      </c>
      <c r="AH27">
        <v>70743</v>
      </c>
      <c r="AI27" t="b">
        <v>1</v>
      </c>
      <c r="AJ27" t="b">
        <v>0</v>
      </c>
      <c r="AK27" t="b">
        <v>1</v>
      </c>
      <c r="AL27" t="b">
        <v>0</v>
      </c>
    </row>
    <row r="28" spans="1:38" x14ac:dyDescent="0.25">
      <c r="A28">
        <v>27</v>
      </c>
      <c r="B28" t="s">
        <v>125</v>
      </c>
      <c r="C28" t="s">
        <v>55</v>
      </c>
      <c r="D28">
        <v>400</v>
      </c>
      <c r="E28">
        <v>2.5000000000000001E-2</v>
      </c>
      <c r="F28" t="s">
        <v>56</v>
      </c>
      <c r="G28" t="s">
        <v>56</v>
      </c>
      <c r="H28" t="s">
        <v>57</v>
      </c>
      <c r="I28" t="s">
        <v>68</v>
      </c>
      <c r="J28">
        <v>3</v>
      </c>
      <c r="K28">
        <v>1</v>
      </c>
      <c r="L28" t="s">
        <v>59</v>
      </c>
      <c r="M28" t="s">
        <v>56</v>
      </c>
      <c r="N28" t="s">
        <v>56</v>
      </c>
      <c r="O28" t="s">
        <v>60</v>
      </c>
      <c r="P28" t="s">
        <v>61</v>
      </c>
      <c r="Q28" t="s">
        <v>62</v>
      </c>
      <c r="R28" t="s">
        <v>63</v>
      </c>
      <c r="S28" t="s">
        <v>64</v>
      </c>
      <c r="T28" t="s">
        <v>65</v>
      </c>
      <c r="U28" t="s">
        <v>97</v>
      </c>
      <c r="V28" t="s">
        <v>67</v>
      </c>
      <c r="W28" t="b">
        <v>0</v>
      </c>
      <c r="X28" t="b">
        <v>1</v>
      </c>
      <c r="Y28">
        <v>1</v>
      </c>
      <c r="Z28">
        <v>1</v>
      </c>
      <c r="AA28" t="s">
        <v>77</v>
      </c>
      <c r="AB28" t="s">
        <v>78</v>
      </c>
      <c r="AC28">
        <v>0.5</v>
      </c>
      <c r="AD28" t="b">
        <v>0</v>
      </c>
      <c r="AE28" t="s">
        <v>68</v>
      </c>
      <c r="AF28">
        <v>10000</v>
      </c>
      <c r="AG28">
        <v>1000</v>
      </c>
      <c r="AH28">
        <v>2402</v>
      </c>
      <c r="AI28" t="b">
        <v>1</v>
      </c>
      <c r="AJ28" t="b">
        <v>0</v>
      </c>
      <c r="AK28" t="b">
        <v>1</v>
      </c>
      <c r="AL28" t="b">
        <v>0</v>
      </c>
    </row>
    <row r="29" spans="1:38" x14ac:dyDescent="0.25">
      <c r="A29">
        <v>28</v>
      </c>
      <c r="B29" t="s">
        <v>128</v>
      </c>
      <c r="C29" t="s">
        <v>55</v>
      </c>
      <c r="D29">
        <v>400</v>
      </c>
      <c r="E29">
        <v>2.5000000000000001E-2</v>
      </c>
      <c r="F29" t="s">
        <v>56</v>
      </c>
      <c r="G29" t="s">
        <v>56</v>
      </c>
      <c r="H29" t="s">
        <v>57</v>
      </c>
      <c r="I29" t="s">
        <v>68</v>
      </c>
      <c r="J29">
        <v>3</v>
      </c>
      <c r="K29">
        <v>1</v>
      </c>
      <c r="L29" t="s">
        <v>59</v>
      </c>
      <c r="M29" t="s">
        <v>56</v>
      </c>
      <c r="N29" t="s">
        <v>56</v>
      </c>
      <c r="O29" t="s">
        <v>60</v>
      </c>
      <c r="P29" t="s">
        <v>61</v>
      </c>
      <c r="Q29" t="s">
        <v>62</v>
      </c>
      <c r="R29" t="s">
        <v>63</v>
      </c>
      <c r="S29" t="s">
        <v>64</v>
      </c>
      <c r="T29" t="s">
        <v>65</v>
      </c>
      <c r="U29" t="s">
        <v>97</v>
      </c>
      <c r="V29" t="s">
        <v>67</v>
      </c>
      <c r="W29" t="b">
        <v>0</v>
      </c>
      <c r="X29" t="b">
        <v>1</v>
      </c>
      <c r="Y29">
        <v>1</v>
      </c>
      <c r="Z29">
        <v>1</v>
      </c>
      <c r="AA29" t="s">
        <v>77</v>
      </c>
      <c r="AB29" t="s">
        <v>78</v>
      </c>
      <c r="AC29">
        <v>0.75</v>
      </c>
      <c r="AD29" t="b">
        <v>1</v>
      </c>
      <c r="AE29" t="s">
        <v>36</v>
      </c>
      <c r="AF29">
        <v>10000</v>
      </c>
      <c r="AG29">
        <v>1000</v>
      </c>
      <c r="AH29">
        <v>2637</v>
      </c>
      <c r="AI29" t="b">
        <v>1</v>
      </c>
      <c r="AJ29" t="b">
        <v>0</v>
      </c>
      <c r="AK29" t="b">
        <v>1</v>
      </c>
      <c r="AL29" t="b">
        <v>0</v>
      </c>
    </row>
    <row r="30" spans="1:38" x14ac:dyDescent="0.25">
      <c r="A30">
        <v>29</v>
      </c>
      <c r="B30" t="s">
        <v>131</v>
      </c>
      <c r="C30" t="s">
        <v>55</v>
      </c>
      <c r="D30">
        <v>400</v>
      </c>
      <c r="E30">
        <v>2.5000000000000001E-2</v>
      </c>
      <c r="F30" t="s">
        <v>56</v>
      </c>
      <c r="G30" t="s">
        <v>56</v>
      </c>
      <c r="H30" t="s">
        <v>57</v>
      </c>
      <c r="I30" t="s">
        <v>68</v>
      </c>
      <c r="J30">
        <v>3</v>
      </c>
      <c r="K30">
        <v>1</v>
      </c>
      <c r="L30" t="s">
        <v>59</v>
      </c>
      <c r="M30" t="s">
        <v>56</v>
      </c>
      <c r="N30" t="s">
        <v>56</v>
      </c>
      <c r="O30" t="s">
        <v>60</v>
      </c>
      <c r="P30" t="s">
        <v>61</v>
      </c>
      <c r="Q30" t="s">
        <v>62</v>
      </c>
      <c r="R30" t="s">
        <v>63</v>
      </c>
      <c r="S30" t="s">
        <v>64</v>
      </c>
      <c r="T30" t="s">
        <v>65</v>
      </c>
      <c r="U30" t="s">
        <v>97</v>
      </c>
      <c r="V30" t="s">
        <v>67</v>
      </c>
      <c r="W30" t="b">
        <v>0</v>
      </c>
      <c r="X30" t="b">
        <v>1</v>
      </c>
      <c r="Y30">
        <v>1</v>
      </c>
      <c r="Z30">
        <v>1</v>
      </c>
      <c r="AA30" t="s">
        <v>77</v>
      </c>
      <c r="AB30" t="s">
        <v>78</v>
      </c>
      <c r="AC30">
        <v>0.5</v>
      </c>
      <c r="AD30" t="b">
        <v>1</v>
      </c>
      <c r="AE30" t="s">
        <v>36</v>
      </c>
      <c r="AF30">
        <v>10000</v>
      </c>
      <c r="AG30">
        <v>1000</v>
      </c>
      <c r="AH30">
        <v>499</v>
      </c>
      <c r="AI30" t="b">
        <v>1</v>
      </c>
      <c r="AJ30" t="b">
        <v>0</v>
      </c>
      <c r="AK30" t="b">
        <v>1</v>
      </c>
      <c r="AL30" t="b">
        <v>0</v>
      </c>
    </row>
    <row r="31" spans="1:38" x14ac:dyDescent="0.25">
      <c r="A31">
        <v>30</v>
      </c>
      <c r="B31" t="s">
        <v>134</v>
      </c>
      <c r="C31" t="s">
        <v>55</v>
      </c>
      <c r="D31">
        <v>400</v>
      </c>
      <c r="E31">
        <v>2.5000000000000001E-2</v>
      </c>
      <c r="F31" t="s">
        <v>56</v>
      </c>
      <c r="G31" t="s">
        <v>56</v>
      </c>
      <c r="H31" t="s">
        <v>57</v>
      </c>
      <c r="I31" t="s">
        <v>68</v>
      </c>
      <c r="J31">
        <v>3</v>
      </c>
      <c r="K31">
        <v>1</v>
      </c>
      <c r="L31" t="s">
        <v>59</v>
      </c>
      <c r="M31" t="s">
        <v>56</v>
      </c>
      <c r="N31" t="s">
        <v>56</v>
      </c>
      <c r="O31" t="s">
        <v>60</v>
      </c>
      <c r="P31" t="s">
        <v>61</v>
      </c>
      <c r="Q31" t="s">
        <v>62</v>
      </c>
      <c r="R31" t="s">
        <v>63</v>
      </c>
      <c r="S31" t="s">
        <v>64</v>
      </c>
      <c r="T31" t="s">
        <v>65</v>
      </c>
      <c r="U31" t="s">
        <v>97</v>
      </c>
      <c r="V31" t="s">
        <v>67</v>
      </c>
      <c r="W31" t="b">
        <v>0</v>
      </c>
      <c r="X31" t="b">
        <v>1</v>
      </c>
      <c r="Y31">
        <v>1</v>
      </c>
      <c r="Z31">
        <v>1</v>
      </c>
      <c r="AA31" t="s">
        <v>77</v>
      </c>
      <c r="AB31" t="s">
        <v>78</v>
      </c>
      <c r="AC31">
        <v>0.25</v>
      </c>
      <c r="AD31" t="b">
        <v>1</v>
      </c>
      <c r="AE31" t="s">
        <v>36</v>
      </c>
      <c r="AF31">
        <v>10000</v>
      </c>
      <c r="AG31">
        <v>1000</v>
      </c>
      <c r="AH31">
        <v>30953</v>
      </c>
      <c r="AI31" t="b">
        <v>1</v>
      </c>
      <c r="AJ31" t="b">
        <v>0</v>
      </c>
      <c r="AK31" t="b">
        <v>1</v>
      </c>
      <c r="AL31" t="b">
        <v>0</v>
      </c>
    </row>
    <row r="32" spans="1:38" x14ac:dyDescent="0.25">
      <c r="A32">
        <v>31</v>
      </c>
      <c r="B32" t="s">
        <v>137</v>
      </c>
      <c r="C32" t="s">
        <v>55</v>
      </c>
      <c r="D32">
        <v>400</v>
      </c>
      <c r="E32">
        <v>2.5000000000000001E-2</v>
      </c>
      <c r="F32" t="s">
        <v>56</v>
      </c>
      <c r="G32" t="s">
        <v>56</v>
      </c>
      <c r="H32" t="s">
        <v>57</v>
      </c>
      <c r="I32" t="s">
        <v>68</v>
      </c>
      <c r="J32">
        <v>3</v>
      </c>
      <c r="K32">
        <v>1</v>
      </c>
      <c r="L32" t="s">
        <v>59</v>
      </c>
      <c r="M32" t="s">
        <v>56</v>
      </c>
      <c r="N32" t="s">
        <v>56</v>
      </c>
      <c r="O32" t="s">
        <v>60</v>
      </c>
      <c r="P32" t="s">
        <v>61</v>
      </c>
      <c r="Q32" t="s">
        <v>62</v>
      </c>
      <c r="R32" t="s">
        <v>63</v>
      </c>
      <c r="S32" t="s">
        <v>64</v>
      </c>
      <c r="T32" t="s">
        <v>65</v>
      </c>
      <c r="U32" t="s">
        <v>97</v>
      </c>
      <c r="V32" t="s">
        <v>67</v>
      </c>
      <c r="W32" t="b">
        <v>0</v>
      </c>
      <c r="X32" t="b">
        <v>1</v>
      </c>
      <c r="Y32">
        <v>1</v>
      </c>
      <c r="Z32">
        <v>1</v>
      </c>
      <c r="AA32" t="s">
        <v>77</v>
      </c>
      <c r="AB32" t="s">
        <v>73</v>
      </c>
      <c r="AC32">
        <v>1</v>
      </c>
      <c r="AD32" t="b">
        <v>1</v>
      </c>
      <c r="AE32" t="s">
        <v>36</v>
      </c>
      <c r="AF32">
        <v>10000</v>
      </c>
      <c r="AG32">
        <v>1000</v>
      </c>
      <c r="AH32">
        <v>59079</v>
      </c>
      <c r="AI32" t="b">
        <v>1</v>
      </c>
      <c r="AJ32" t="b">
        <v>0</v>
      </c>
      <c r="AK32" t="b">
        <v>1</v>
      </c>
      <c r="AL32" t="b">
        <v>0</v>
      </c>
    </row>
    <row r="33" spans="1:38" x14ac:dyDescent="0.25">
      <c r="A33">
        <v>32</v>
      </c>
      <c r="B33" t="s">
        <v>140</v>
      </c>
      <c r="C33" t="s">
        <v>55</v>
      </c>
      <c r="D33">
        <v>400</v>
      </c>
      <c r="E33">
        <v>2.5000000000000001E-2</v>
      </c>
      <c r="F33" t="s">
        <v>56</v>
      </c>
      <c r="G33" t="s">
        <v>56</v>
      </c>
      <c r="H33" t="s">
        <v>57</v>
      </c>
      <c r="I33" t="s">
        <v>68</v>
      </c>
      <c r="J33">
        <v>3</v>
      </c>
      <c r="K33">
        <v>1</v>
      </c>
      <c r="L33" t="s">
        <v>59</v>
      </c>
      <c r="M33" t="s">
        <v>56</v>
      </c>
      <c r="N33" t="s">
        <v>56</v>
      </c>
      <c r="O33" t="s">
        <v>60</v>
      </c>
      <c r="P33" t="s">
        <v>61</v>
      </c>
      <c r="Q33" t="s">
        <v>62</v>
      </c>
      <c r="R33" t="s">
        <v>63</v>
      </c>
      <c r="S33" t="s">
        <v>64</v>
      </c>
      <c r="T33" t="s">
        <v>65</v>
      </c>
      <c r="U33" t="s">
        <v>97</v>
      </c>
      <c r="V33" t="s">
        <v>67</v>
      </c>
      <c r="W33" t="b">
        <v>0</v>
      </c>
      <c r="X33" t="b">
        <v>1</v>
      </c>
      <c r="Y33">
        <v>1</v>
      </c>
      <c r="Z33">
        <v>1</v>
      </c>
      <c r="AA33" t="s">
        <v>77</v>
      </c>
      <c r="AB33" t="s">
        <v>73</v>
      </c>
      <c r="AC33">
        <v>2</v>
      </c>
      <c r="AD33" t="b">
        <v>1</v>
      </c>
      <c r="AE33" t="s">
        <v>36</v>
      </c>
      <c r="AF33">
        <v>10000</v>
      </c>
      <c r="AG33">
        <v>1000</v>
      </c>
      <c r="AH33">
        <v>58217</v>
      </c>
      <c r="AI33" t="b">
        <v>1</v>
      </c>
      <c r="AJ33" t="b">
        <v>0</v>
      </c>
      <c r="AK33" t="b">
        <v>1</v>
      </c>
      <c r="AL33" t="b">
        <v>0</v>
      </c>
    </row>
    <row r="34" spans="1:38" x14ac:dyDescent="0.25">
      <c r="A34">
        <v>33</v>
      </c>
      <c r="B34" t="s">
        <v>143</v>
      </c>
      <c r="C34" t="s">
        <v>55</v>
      </c>
      <c r="D34">
        <v>600</v>
      </c>
      <c r="E34">
        <v>2.5000000000000001E-2</v>
      </c>
      <c r="F34" t="s">
        <v>56</v>
      </c>
      <c r="G34" t="s">
        <v>56</v>
      </c>
      <c r="H34" t="s">
        <v>57</v>
      </c>
      <c r="I34" t="s">
        <v>58</v>
      </c>
      <c r="J34">
        <v>3</v>
      </c>
      <c r="K34">
        <v>1</v>
      </c>
      <c r="L34" t="s">
        <v>59</v>
      </c>
      <c r="M34" t="s">
        <v>56</v>
      </c>
      <c r="N34" t="s">
        <v>56</v>
      </c>
      <c r="O34" t="s">
        <v>60</v>
      </c>
      <c r="P34" t="s">
        <v>61</v>
      </c>
      <c r="Q34" t="s">
        <v>62</v>
      </c>
      <c r="R34" t="s">
        <v>63</v>
      </c>
      <c r="S34" t="s">
        <v>64</v>
      </c>
      <c r="T34" t="s">
        <v>65</v>
      </c>
      <c r="U34" t="s">
        <v>66</v>
      </c>
      <c r="V34" t="s">
        <v>67</v>
      </c>
      <c r="W34" t="b">
        <v>0</v>
      </c>
      <c r="X34" t="b">
        <v>0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68</v>
      </c>
      <c r="AF34">
        <v>10000</v>
      </c>
      <c r="AG34">
        <v>1000</v>
      </c>
      <c r="AH34">
        <v>64564</v>
      </c>
      <c r="AI34" t="b">
        <v>1</v>
      </c>
      <c r="AJ34" t="b">
        <v>0</v>
      </c>
      <c r="AK34" t="b">
        <v>1</v>
      </c>
      <c r="AL34" t="b">
        <v>1</v>
      </c>
    </row>
    <row r="35" spans="1:38" x14ac:dyDescent="0.25">
      <c r="A35">
        <v>34</v>
      </c>
      <c r="B35" t="s">
        <v>146</v>
      </c>
      <c r="C35" t="s">
        <v>55</v>
      </c>
      <c r="D35">
        <v>600</v>
      </c>
      <c r="E35">
        <v>2.5000000000000001E-2</v>
      </c>
      <c r="F35" t="s">
        <v>56</v>
      </c>
      <c r="G35" t="s">
        <v>56</v>
      </c>
      <c r="H35" t="s">
        <v>57</v>
      </c>
      <c r="I35" t="s">
        <v>58</v>
      </c>
      <c r="J35">
        <v>3</v>
      </c>
      <c r="K35">
        <v>1</v>
      </c>
      <c r="L35" t="s">
        <v>59</v>
      </c>
      <c r="M35" t="s">
        <v>56</v>
      </c>
      <c r="N35" t="s">
        <v>56</v>
      </c>
      <c r="O35" t="s">
        <v>60</v>
      </c>
      <c r="P35" t="s">
        <v>61</v>
      </c>
      <c r="Q35" t="s">
        <v>62</v>
      </c>
      <c r="R35" t="s">
        <v>63</v>
      </c>
      <c r="S35" t="s">
        <v>64</v>
      </c>
      <c r="T35" t="s">
        <v>65</v>
      </c>
      <c r="U35" t="s">
        <v>66</v>
      </c>
      <c r="V35" t="s">
        <v>67</v>
      </c>
      <c r="W35" t="b">
        <v>0</v>
      </c>
      <c r="X35" t="b">
        <v>1</v>
      </c>
      <c r="Y35">
        <v>1</v>
      </c>
      <c r="Z35">
        <v>1</v>
      </c>
      <c r="AA35" t="s">
        <v>72</v>
      </c>
      <c r="AB35" t="s">
        <v>73</v>
      </c>
      <c r="AC35">
        <v>1</v>
      </c>
      <c r="AD35" t="b">
        <v>0</v>
      </c>
      <c r="AE35" t="s">
        <v>68</v>
      </c>
      <c r="AF35">
        <v>10000</v>
      </c>
      <c r="AG35">
        <v>1000</v>
      </c>
      <c r="AH35">
        <v>73236</v>
      </c>
      <c r="AI35" t="b">
        <v>1</v>
      </c>
      <c r="AJ35" t="b">
        <v>0</v>
      </c>
      <c r="AK35" t="b">
        <v>1</v>
      </c>
      <c r="AL35" t="b">
        <v>1</v>
      </c>
    </row>
    <row r="36" spans="1:38" x14ac:dyDescent="0.25">
      <c r="A36">
        <v>35</v>
      </c>
      <c r="B36" t="s">
        <v>149</v>
      </c>
      <c r="C36" t="s">
        <v>55</v>
      </c>
      <c r="D36">
        <v>600</v>
      </c>
      <c r="E36">
        <v>2.5000000000000001E-2</v>
      </c>
      <c r="F36" t="s">
        <v>56</v>
      </c>
      <c r="G36" t="s">
        <v>56</v>
      </c>
      <c r="H36" t="s">
        <v>57</v>
      </c>
      <c r="I36" t="s">
        <v>58</v>
      </c>
      <c r="J36">
        <v>3</v>
      </c>
      <c r="K36">
        <v>1</v>
      </c>
      <c r="L36" t="s">
        <v>59</v>
      </c>
      <c r="M36" t="s">
        <v>56</v>
      </c>
      <c r="N36" t="s">
        <v>56</v>
      </c>
      <c r="O36" t="s">
        <v>60</v>
      </c>
      <c r="P36" t="s">
        <v>61</v>
      </c>
      <c r="Q36" t="s">
        <v>62</v>
      </c>
      <c r="R36" t="s">
        <v>63</v>
      </c>
      <c r="S36" t="s">
        <v>64</v>
      </c>
      <c r="T36" t="s">
        <v>65</v>
      </c>
      <c r="U36" t="s">
        <v>66</v>
      </c>
      <c r="V36" t="s">
        <v>67</v>
      </c>
      <c r="W36" t="b">
        <v>0</v>
      </c>
      <c r="X36" t="b">
        <v>1</v>
      </c>
      <c r="Y36">
        <v>1</v>
      </c>
      <c r="Z36">
        <v>1</v>
      </c>
      <c r="AA36" t="s">
        <v>77</v>
      </c>
      <c r="AB36" t="s">
        <v>78</v>
      </c>
      <c r="AC36">
        <v>0.5</v>
      </c>
      <c r="AD36" t="b">
        <v>0</v>
      </c>
      <c r="AE36" t="s">
        <v>68</v>
      </c>
      <c r="AF36">
        <v>10000</v>
      </c>
      <c r="AG36">
        <v>1000</v>
      </c>
      <c r="AH36">
        <v>11111</v>
      </c>
      <c r="AI36" t="b">
        <v>1</v>
      </c>
      <c r="AJ36" t="b">
        <v>0</v>
      </c>
      <c r="AK36" t="b">
        <v>1</v>
      </c>
      <c r="AL36" t="b">
        <v>1</v>
      </c>
    </row>
    <row r="37" spans="1:38" x14ac:dyDescent="0.25">
      <c r="A37">
        <v>36</v>
      </c>
      <c r="B37" t="s">
        <v>152</v>
      </c>
      <c r="C37" t="s">
        <v>55</v>
      </c>
      <c r="D37">
        <v>600</v>
      </c>
      <c r="E37">
        <v>2.5000000000000001E-2</v>
      </c>
      <c r="F37" t="s">
        <v>56</v>
      </c>
      <c r="G37" t="s">
        <v>56</v>
      </c>
      <c r="H37" t="s">
        <v>57</v>
      </c>
      <c r="I37" t="s">
        <v>58</v>
      </c>
      <c r="J37">
        <v>3</v>
      </c>
      <c r="K37">
        <v>1</v>
      </c>
      <c r="L37" t="s">
        <v>59</v>
      </c>
      <c r="M37" t="s">
        <v>56</v>
      </c>
      <c r="N37" t="s">
        <v>56</v>
      </c>
      <c r="O37" t="s">
        <v>60</v>
      </c>
      <c r="P37" t="s">
        <v>61</v>
      </c>
      <c r="Q37" t="s">
        <v>62</v>
      </c>
      <c r="R37" t="s">
        <v>63</v>
      </c>
      <c r="S37" t="s">
        <v>64</v>
      </c>
      <c r="T37" t="s">
        <v>65</v>
      </c>
      <c r="U37" t="s">
        <v>66</v>
      </c>
      <c r="V37" t="s">
        <v>67</v>
      </c>
      <c r="W37" t="b">
        <v>0</v>
      </c>
      <c r="X37" t="b">
        <v>1</v>
      </c>
      <c r="Y37">
        <v>1</v>
      </c>
      <c r="Z37">
        <v>1</v>
      </c>
      <c r="AA37" t="s">
        <v>77</v>
      </c>
      <c r="AB37" t="s">
        <v>78</v>
      </c>
      <c r="AC37">
        <v>0.75</v>
      </c>
      <c r="AD37" t="b">
        <v>1</v>
      </c>
      <c r="AE37" t="s">
        <v>36</v>
      </c>
      <c r="AF37">
        <v>10000</v>
      </c>
      <c r="AG37">
        <v>1000</v>
      </c>
      <c r="AH37">
        <v>343</v>
      </c>
      <c r="AI37" t="b">
        <v>1</v>
      </c>
      <c r="AJ37" t="b">
        <v>0</v>
      </c>
      <c r="AK37" t="b">
        <v>1</v>
      </c>
      <c r="AL37" t="b">
        <v>1</v>
      </c>
    </row>
    <row r="38" spans="1:38" x14ac:dyDescent="0.25">
      <c r="A38">
        <v>37</v>
      </c>
      <c r="B38" t="s">
        <v>155</v>
      </c>
      <c r="C38" t="s">
        <v>55</v>
      </c>
      <c r="D38">
        <v>600</v>
      </c>
      <c r="E38">
        <v>2.5000000000000001E-2</v>
      </c>
      <c r="F38" t="s">
        <v>56</v>
      </c>
      <c r="G38" t="s">
        <v>56</v>
      </c>
      <c r="H38" t="s">
        <v>57</v>
      </c>
      <c r="I38" t="s">
        <v>58</v>
      </c>
      <c r="J38">
        <v>3</v>
      </c>
      <c r="K38">
        <v>1</v>
      </c>
      <c r="L38" t="s">
        <v>59</v>
      </c>
      <c r="M38" t="s">
        <v>56</v>
      </c>
      <c r="N38" t="s">
        <v>56</v>
      </c>
      <c r="O38" t="s">
        <v>60</v>
      </c>
      <c r="P38" t="s">
        <v>61</v>
      </c>
      <c r="Q38" t="s">
        <v>62</v>
      </c>
      <c r="R38" t="s">
        <v>63</v>
      </c>
      <c r="S38" t="s">
        <v>64</v>
      </c>
      <c r="T38" t="s">
        <v>65</v>
      </c>
      <c r="U38" t="s">
        <v>66</v>
      </c>
      <c r="V38" t="s">
        <v>67</v>
      </c>
      <c r="W38" t="b">
        <v>0</v>
      </c>
      <c r="X38" t="b">
        <v>1</v>
      </c>
      <c r="Y38">
        <v>1</v>
      </c>
      <c r="Z38">
        <v>1</v>
      </c>
      <c r="AA38" t="s">
        <v>77</v>
      </c>
      <c r="AB38" t="s">
        <v>78</v>
      </c>
      <c r="AC38">
        <v>0.5</v>
      </c>
      <c r="AD38" t="b">
        <v>1</v>
      </c>
      <c r="AE38" t="s">
        <v>36</v>
      </c>
      <c r="AF38">
        <v>10000</v>
      </c>
      <c r="AG38">
        <v>1000</v>
      </c>
      <c r="AH38">
        <v>84234</v>
      </c>
      <c r="AI38" t="b">
        <v>1</v>
      </c>
      <c r="AJ38" t="b">
        <v>0</v>
      </c>
      <c r="AK38" t="b">
        <v>1</v>
      </c>
      <c r="AL38" t="b">
        <v>1</v>
      </c>
    </row>
    <row r="39" spans="1:38" x14ac:dyDescent="0.25">
      <c r="A39">
        <v>38</v>
      </c>
      <c r="B39" t="s">
        <v>158</v>
      </c>
      <c r="C39" t="s">
        <v>55</v>
      </c>
      <c r="D39">
        <v>600</v>
      </c>
      <c r="E39">
        <v>2.5000000000000001E-2</v>
      </c>
      <c r="F39" t="s">
        <v>56</v>
      </c>
      <c r="G39" t="s">
        <v>56</v>
      </c>
      <c r="H39" t="s">
        <v>57</v>
      </c>
      <c r="I39" t="s">
        <v>58</v>
      </c>
      <c r="J39">
        <v>3</v>
      </c>
      <c r="K39">
        <v>1</v>
      </c>
      <c r="L39" t="s">
        <v>59</v>
      </c>
      <c r="M39" t="s">
        <v>56</v>
      </c>
      <c r="N39" t="s">
        <v>56</v>
      </c>
      <c r="O39" t="s">
        <v>60</v>
      </c>
      <c r="P39" t="s">
        <v>61</v>
      </c>
      <c r="Q39" t="s">
        <v>62</v>
      </c>
      <c r="R39" t="s">
        <v>63</v>
      </c>
      <c r="S39" t="s">
        <v>64</v>
      </c>
      <c r="T39" t="s">
        <v>65</v>
      </c>
      <c r="U39" t="s">
        <v>66</v>
      </c>
      <c r="V39" t="s">
        <v>67</v>
      </c>
      <c r="W39" t="b">
        <v>0</v>
      </c>
      <c r="X39" t="b">
        <v>1</v>
      </c>
      <c r="Y39">
        <v>1</v>
      </c>
      <c r="Z39">
        <v>1</v>
      </c>
      <c r="AA39" t="s">
        <v>77</v>
      </c>
      <c r="AB39" t="s">
        <v>78</v>
      </c>
      <c r="AC39">
        <v>0.25</v>
      </c>
      <c r="AD39" t="b">
        <v>1</v>
      </c>
      <c r="AE39" t="s">
        <v>36</v>
      </c>
      <c r="AF39">
        <v>10000</v>
      </c>
      <c r="AG39">
        <v>1000</v>
      </c>
      <c r="AH39">
        <v>4346</v>
      </c>
      <c r="AI39" t="b">
        <v>1</v>
      </c>
      <c r="AJ39" t="b">
        <v>0</v>
      </c>
      <c r="AK39" t="b">
        <v>1</v>
      </c>
      <c r="AL39" t="b">
        <v>1</v>
      </c>
    </row>
    <row r="40" spans="1:38" x14ac:dyDescent="0.25">
      <c r="A40">
        <v>39</v>
      </c>
      <c r="B40" t="s">
        <v>161</v>
      </c>
      <c r="C40" t="s">
        <v>55</v>
      </c>
      <c r="D40">
        <v>600</v>
      </c>
      <c r="E40">
        <v>2.5000000000000001E-2</v>
      </c>
      <c r="F40" t="s">
        <v>56</v>
      </c>
      <c r="G40" t="s">
        <v>56</v>
      </c>
      <c r="H40" t="s">
        <v>57</v>
      </c>
      <c r="I40" t="s">
        <v>58</v>
      </c>
      <c r="J40">
        <v>3</v>
      </c>
      <c r="K40">
        <v>1</v>
      </c>
      <c r="L40" t="s">
        <v>59</v>
      </c>
      <c r="M40" t="s">
        <v>56</v>
      </c>
      <c r="N40" t="s">
        <v>56</v>
      </c>
      <c r="O40" t="s">
        <v>60</v>
      </c>
      <c r="P40" t="s">
        <v>61</v>
      </c>
      <c r="Q40" t="s">
        <v>62</v>
      </c>
      <c r="R40" t="s">
        <v>63</v>
      </c>
      <c r="S40" t="s">
        <v>64</v>
      </c>
      <c r="T40" t="s">
        <v>65</v>
      </c>
      <c r="U40" t="s">
        <v>66</v>
      </c>
      <c r="V40" t="s">
        <v>67</v>
      </c>
      <c r="W40" t="b">
        <v>0</v>
      </c>
      <c r="X40" t="b">
        <v>1</v>
      </c>
      <c r="Y40">
        <v>1</v>
      </c>
      <c r="Z40">
        <v>1</v>
      </c>
      <c r="AA40" t="s">
        <v>77</v>
      </c>
      <c r="AB40" t="s">
        <v>73</v>
      </c>
      <c r="AC40">
        <v>1</v>
      </c>
      <c r="AD40" t="b">
        <v>1</v>
      </c>
      <c r="AE40" t="s">
        <v>36</v>
      </c>
      <c r="AF40">
        <v>10000</v>
      </c>
      <c r="AG40">
        <v>1000</v>
      </c>
      <c r="AH40">
        <v>9504</v>
      </c>
      <c r="AI40" t="b">
        <v>1</v>
      </c>
      <c r="AJ40" t="b">
        <v>0</v>
      </c>
      <c r="AK40" t="b">
        <v>1</v>
      </c>
      <c r="AL40" t="b">
        <v>1</v>
      </c>
    </row>
    <row r="41" spans="1:38" x14ac:dyDescent="0.25">
      <c r="A41">
        <v>40</v>
      </c>
      <c r="B41" t="s">
        <v>164</v>
      </c>
      <c r="C41" t="s">
        <v>55</v>
      </c>
      <c r="D41">
        <v>600</v>
      </c>
      <c r="E41">
        <v>2.5000000000000001E-2</v>
      </c>
      <c r="F41" t="s">
        <v>56</v>
      </c>
      <c r="G41" t="s">
        <v>56</v>
      </c>
      <c r="H41" t="s">
        <v>57</v>
      </c>
      <c r="I41" t="s">
        <v>58</v>
      </c>
      <c r="J41">
        <v>3</v>
      </c>
      <c r="K41">
        <v>1</v>
      </c>
      <c r="L41" t="s">
        <v>59</v>
      </c>
      <c r="M41" t="s">
        <v>56</v>
      </c>
      <c r="N41" t="s">
        <v>56</v>
      </c>
      <c r="O41" t="s">
        <v>60</v>
      </c>
      <c r="P41" t="s">
        <v>61</v>
      </c>
      <c r="Q41" t="s">
        <v>62</v>
      </c>
      <c r="R41" t="s">
        <v>63</v>
      </c>
      <c r="S41" t="s">
        <v>64</v>
      </c>
      <c r="T41" t="s">
        <v>65</v>
      </c>
      <c r="U41" t="s">
        <v>66</v>
      </c>
      <c r="V41" t="s">
        <v>67</v>
      </c>
      <c r="W41" t="b">
        <v>0</v>
      </c>
      <c r="X41" t="b">
        <v>1</v>
      </c>
      <c r="Y41">
        <v>1</v>
      </c>
      <c r="Z41">
        <v>1</v>
      </c>
      <c r="AA41" t="s">
        <v>77</v>
      </c>
      <c r="AB41" t="s">
        <v>73</v>
      </c>
      <c r="AC41">
        <v>2</v>
      </c>
      <c r="AD41" t="b">
        <v>1</v>
      </c>
      <c r="AE41" t="s">
        <v>36</v>
      </c>
      <c r="AF41">
        <v>10000</v>
      </c>
      <c r="AG41">
        <v>1000</v>
      </c>
      <c r="AH41">
        <v>2300</v>
      </c>
      <c r="AI41" t="b">
        <v>1</v>
      </c>
      <c r="AJ41" t="b">
        <v>0</v>
      </c>
      <c r="AK41" t="b">
        <v>1</v>
      </c>
      <c r="AL41" t="b">
        <v>1</v>
      </c>
    </row>
    <row r="42" spans="1:38" x14ac:dyDescent="0.25">
      <c r="A42">
        <v>41</v>
      </c>
      <c r="B42" t="s">
        <v>167</v>
      </c>
      <c r="C42" t="s">
        <v>55</v>
      </c>
      <c r="D42">
        <v>400</v>
      </c>
      <c r="E42">
        <v>2.5000000000000001E-2</v>
      </c>
      <c r="F42" t="s">
        <v>56</v>
      </c>
      <c r="G42" t="s">
        <v>56</v>
      </c>
      <c r="H42" t="s">
        <v>57</v>
      </c>
      <c r="I42" t="s">
        <v>58</v>
      </c>
      <c r="J42">
        <v>3</v>
      </c>
      <c r="K42">
        <v>1</v>
      </c>
      <c r="L42" t="s">
        <v>59</v>
      </c>
      <c r="M42" t="s">
        <v>56</v>
      </c>
      <c r="N42" t="s">
        <v>56</v>
      </c>
      <c r="O42" t="s">
        <v>60</v>
      </c>
      <c r="P42" t="s">
        <v>61</v>
      </c>
      <c r="Q42" t="s">
        <v>62</v>
      </c>
      <c r="R42" t="s">
        <v>63</v>
      </c>
      <c r="S42" t="s">
        <v>64</v>
      </c>
      <c r="T42" t="s">
        <v>65</v>
      </c>
      <c r="U42" t="s">
        <v>97</v>
      </c>
      <c r="V42" t="s">
        <v>67</v>
      </c>
      <c r="W42" t="b">
        <v>0</v>
      </c>
      <c r="X42" t="b">
        <v>0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68</v>
      </c>
      <c r="AF42">
        <v>10000</v>
      </c>
      <c r="AG42">
        <v>1000</v>
      </c>
      <c r="AH42">
        <v>97827</v>
      </c>
      <c r="AI42" t="b">
        <v>1</v>
      </c>
      <c r="AJ42" t="b">
        <v>0</v>
      </c>
      <c r="AK42" t="b">
        <v>1</v>
      </c>
      <c r="AL42" t="b">
        <v>1</v>
      </c>
    </row>
    <row r="43" spans="1:38" x14ac:dyDescent="0.25">
      <c r="A43">
        <v>42</v>
      </c>
      <c r="B43" t="s">
        <v>170</v>
      </c>
      <c r="C43" t="s">
        <v>55</v>
      </c>
      <c r="D43">
        <v>400</v>
      </c>
      <c r="E43">
        <v>2.5000000000000001E-2</v>
      </c>
      <c r="F43" t="s">
        <v>56</v>
      </c>
      <c r="G43" t="s">
        <v>56</v>
      </c>
      <c r="H43" t="s">
        <v>57</v>
      </c>
      <c r="I43" t="s">
        <v>58</v>
      </c>
      <c r="J43">
        <v>3</v>
      </c>
      <c r="K43">
        <v>1</v>
      </c>
      <c r="L43" t="s">
        <v>59</v>
      </c>
      <c r="M43" t="s">
        <v>56</v>
      </c>
      <c r="N43" t="s">
        <v>56</v>
      </c>
      <c r="O43" t="s">
        <v>60</v>
      </c>
      <c r="P43" t="s">
        <v>61</v>
      </c>
      <c r="Q43" t="s">
        <v>62</v>
      </c>
      <c r="R43" t="s">
        <v>63</v>
      </c>
      <c r="S43" t="s">
        <v>64</v>
      </c>
      <c r="T43" t="s">
        <v>65</v>
      </c>
      <c r="U43" t="s">
        <v>97</v>
      </c>
      <c r="V43" t="s">
        <v>67</v>
      </c>
      <c r="W43" t="b">
        <v>0</v>
      </c>
      <c r="X43" t="b">
        <v>1</v>
      </c>
      <c r="Y43">
        <v>1</v>
      </c>
      <c r="Z43">
        <v>1</v>
      </c>
      <c r="AA43" t="s">
        <v>72</v>
      </c>
      <c r="AB43" t="s">
        <v>73</v>
      </c>
      <c r="AC43">
        <v>1</v>
      </c>
      <c r="AD43" t="b">
        <v>0</v>
      </c>
      <c r="AE43" t="s">
        <v>68</v>
      </c>
      <c r="AF43">
        <v>10000</v>
      </c>
      <c r="AG43">
        <v>1000</v>
      </c>
      <c r="AH43">
        <v>70743</v>
      </c>
      <c r="AI43" t="b">
        <v>1</v>
      </c>
      <c r="AJ43" t="b">
        <v>0</v>
      </c>
      <c r="AK43" t="b">
        <v>1</v>
      </c>
      <c r="AL43" t="b">
        <v>1</v>
      </c>
    </row>
    <row r="44" spans="1:38" x14ac:dyDescent="0.25">
      <c r="A44">
        <v>43</v>
      </c>
      <c r="B44" t="s">
        <v>173</v>
      </c>
      <c r="C44" t="s">
        <v>55</v>
      </c>
      <c r="D44">
        <v>400</v>
      </c>
      <c r="E44">
        <v>2.5000000000000001E-2</v>
      </c>
      <c r="F44" t="s">
        <v>56</v>
      </c>
      <c r="G44" t="s">
        <v>56</v>
      </c>
      <c r="H44" t="s">
        <v>57</v>
      </c>
      <c r="I44" t="s">
        <v>58</v>
      </c>
      <c r="J44">
        <v>3</v>
      </c>
      <c r="K44">
        <v>1</v>
      </c>
      <c r="L44" t="s">
        <v>59</v>
      </c>
      <c r="M44" t="s">
        <v>56</v>
      </c>
      <c r="N44" t="s">
        <v>56</v>
      </c>
      <c r="O44" t="s">
        <v>60</v>
      </c>
      <c r="P44" t="s">
        <v>61</v>
      </c>
      <c r="Q44" t="s">
        <v>62</v>
      </c>
      <c r="R44" t="s">
        <v>63</v>
      </c>
      <c r="S44" t="s">
        <v>64</v>
      </c>
      <c r="T44" t="s">
        <v>65</v>
      </c>
      <c r="U44" t="s">
        <v>97</v>
      </c>
      <c r="V44" t="s">
        <v>67</v>
      </c>
      <c r="W44" t="b">
        <v>0</v>
      </c>
      <c r="X44" t="b">
        <v>1</v>
      </c>
      <c r="Y44">
        <v>1</v>
      </c>
      <c r="Z44">
        <v>1</v>
      </c>
      <c r="AA44" t="s">
        <v>77</v>
      </c>
      <c r="AB44" t="s">
        <v>78</v>
      </c>
      <c r="AC44">
        <v>0.5</v>
      </c>
      <c r="AD44" t="b">
        <v>0</v>
      </c>
      <c r="AE44" t="s">
        <v>68</v>
      </c>
      <c r="AF44">
        <v>10000</v>
      </c>
      <c r="AG44">
        <v>1000</v>
      </c>
      <c r="AH44">
        <v>2402</v>
      </c>
      <c r="AI44" t="b">
        <v>1</v>
      </c>
      <c r="AJ44" t="b">
        <v>0</v>
      </c>
      <c r="AK44" t="b">
        <v>1</v>
      </c>
      <c r="AL44" t="b">
        <v>1</v>
      </c>
    </row>
    <row r="45" spans="1:38" x14ac:dyDescent="0.25">
      <c r="A45">
        <v>44</v>
      </c>
      <c r="B45" t="s">
        <v>176</v>
      </c>
      <c r="C45" t="s">
        <v>55</v>
      </c>
      <c r="D45">
        <v>400</v>
      </c>
      <c r="E45">
        <v>2.5000000000000001E-2</v>
      </c>
      <c r="F45" t="s">
        <v>56</v>
      </c>
      <c r="G45" t="s">
        <v>56</v>
      </c>
      <c r="H45" t="s">
        <v>57</v>
      </c>
      <c r="I45" t="s">
        <v>58</v>
      </c>
      <c r="J45">
        <v>3</v>
      </c>
      <c r="K45">
        <v>1</v>
      </c>
      <c r="L45" t="s">
        <v>59</v>
      </c>
      <c r="M45" t="s">
        <v>56</v>
      </c>
      <c r="N45" t="s">
        <v>56</v>
      </c>
      <c r="O45" t="s">
        <v>60</v>
      </c>
      <c r="P45" t="s">
        <v>61</v>
      </c>
      <c r="Q45" t="s">
        <v>62</v>
      </c>
      <c r="R45" t="s">
        <v>63</v>
      </c>
      <c r="S45" t="s">
        <v>64</v>
      </c>
      <c r="T45" t="s">
        <v>65</v>
      </c>
      <c r="U45" t="s">
        <v>97</v>
      </c>
      <c r="V45" t="s">
        <v>67</v>
      </c>
      <c r="W45" t="b">
        <v>0</v>
      </c>
      <c r="X45" t="b">
        <v>1</v>
      </c>
      <c r="Y45">
        <v>1</v>
      </c>
      <c r="Z45">
        <v>1</v>
      </c>
      <c r="AA45" t="s">
        <v>77</v>
      </c>
      <c r="AB45" t="s">
        <v>78</v>
      </c>
      <c r="AC45">
        <v>0.75</v>
      </c>
      <c r="AD45" t="b">
        <v>1</v>
      </c>
      <c r="AE45" t="s">
        <v>36</v>
      </c>
      <c r="AF45">
        <v>10000</v>
      </c>
      <c r="AG45">
        <v>1000</v>
      </c>
      <c r="AH45">
        <v>2637</v>
      </c>
      <c r="AI45" t="b">
        <v>1</v>
      </c>
      <c r="AJ45" t="b">
        <v>0</v>
      </c>
      <c r="AK45" t="b">
        <v>1</v>
      </c>
      <c r="AL45" t="b">
        <v>1</v>
      </c>
    </row>
    <row r="46" spans="1:38" x14ac:dyDescent="0.25">
      <c r="A46">
        <v>45</v>
      </c>
      <c r="B46" t="s">
        <v>179</v>
      </c>
      <c r="C46" t="s">
        <v>55</v>
      </c>
      <c r="D46">
        <v>400</v>
      </c>
      <c r="E46">
        <v>2.5000000000000001E-2</v>
      </c>
      <c r="F46" t="s">
        <v>56</v>
      </c>
      <c r="G46" t="s">
        <v>56</v>
      </c>
      <c r="H46" t="s">
        <v>57</v>
      </c>
      <c r="I46" t="s">
        <v>58</v>
      </c>
      <c r="J46">
        <v>3</v>
      </c>
      <c r="K46">
        <v>1</v>
      </c>
      <c r="L46" t="s">
        <v>59</v>
      </c>
      <c r="M46" t="s">
        <v>56</v>
      </c>
      <c r="N46" t="s">
        <v>56</v>
      </c>
      <c r="O46" t="s">
        <v>60</v>
      </c>
      <c r="P46" t="s">
        <v>61</v>
      </c>
      <c r="Q46" t="s">
        <v>62</v>
      </c>
      <c r="R46" t="s">
        <v>63</v>
      </c>
      <c r="S46" t="s">
        <v>64</v>
      </c>
      <c r="T46" t="s">
        <v>65</v>
      </c>
      <c r="U46" t="s">
        <v>97</v>
      </c>
      <c r="V46" t="s">
        <v>67</v>
      </c>
      <c r="W46" t="b">
        <v>0</v>
      </c>
      <c r="X46" t="b">
        <v>1</v>
      </c>
      <c r="Y46">
        <v>1</v>
      </c>
      <c r="Z46">
        <v>1</v>
      </c>
      <c r="AA46" t="s">
        <v>77</v>
      </c>
      <c r="AB46" t="s">
        <v>78</v>
      </c>
      <c r="AC46">
        <v>0.5</v>
      </c>
      <c r="AD46" t="b">
        <v>1</v>
      </c>
      <c r="AE46" t="s">
        <v>36</v>
      </c>
      <c r="AF46">
        <v>10000</v>
      </c>
      <c r="AG46">
        <v>1000</v>
      </c>
      <c r="AH46">
        <v>499</v>
      </c>
      <c r="AI46" t="b">
        <v>1</v>
      </c>
      <c r="AJ46" t="b">
        <v>0</v>
      </c>
      <c r="AK46" t="b">
        <v>1</v>
      </c>
      <c r="AL46" t="b">
        <v>1</v>
      </c>
    </row>
    <row r="47" spans="1:38" x14ac:dyDescent="0.25">
      <c r="A47">
        <v>46</v>
      </c>
      <c r="B47" t="s">
        <v>182</v>
      </c>
      <c r="C47" t="s">
        <v>55</v>
      </c>
      <c r="D47">
        <v>400</v>
      </c>
      <c r="E47">
        <v>2.5000000000000001E-2</v>
      </c>
      <c r="F47" t="s">
        <v>56</v>
      </c>
      <c r="G47" t="s">
        <v>56</v>
      </c>
      <c r="H47" t="s">
        <v>57</v>
      </c>
      <c r="I47" t="s">
        <v>58</v>
      </c>
      <c r="J47">
        <v>3</v>
      </c>
      <c r="K47">
        <v>1</v>
      </c>
      <c r="L47" t="s">
        <v>59</v>
      </c>
      <c r="M47" t="s">
        <v>56</v>
      </c>
      <c r="N47" t="s">
        <v>56</v>
      </c>
      <c r="O47" t="s">
        <v>60</v>
      </c>
      <c r="P47" t="s">
        <v>61</v>
      </c>
      <c r="Q47" t="s">
        <v>62</v>
      </c>
      <c r="R47" t="s">
        <v>63</v>
      </c>
      <c r="S47" t="s">
        <v>64</v>
      </c>
      <c r="T47" t="s">
        <v>65</v>
      </c>
      <c r="U47" t="s">
        <v>97</v>
      </c>
      <c r="V47" t="s">
        <v>67</v>
      </c>
      <c r="W47" t="b">
        <v>0</v>
      </c>
      <c r="X47" t="b">
        <v>1</v>
      </c>
      <c r="Y47">
        <v>1</v>
      </c>
      <c r="Z47">
        <v>1</v>
      </c>
      <c r="AA47" t="s">
        <v>77</v>
      </c>
      <c r="AB47" t="s">
        <v>78</v>
      </c>
      <c r="AC47">
        <v>0.25</v>
      </c>
      <c r="AD47" t="b">
        <v>1</v>
      </c>
      <c r="AE47" t="s">
        <v>36</v>
      </c>
      <c r="AF47">
        <v>10000</v>
      </c>
      <c r="AG47">
        <v>1000</v>
      </c>
      <c r="AH47">
        <v>30953</v>
      </c>
      <c r="AI47" t="b">
        <v>1</v>
      </c>
      <c r="AJ47" t="b">
        <v>0</v>
      </c>
      <c r="AK47" t="b">
        <v>1</v>
      </c>
      <c r="AL47" t="b">
        <v>1</v>
      </c>
    </row>
    <row r="48" spans="1:38" x14ac:dyDescent="0.25">
      <c r="A48">
        <v>47</v>
      </c>
      <c r="B48" t="s">
        <v>185</v>
      </c>
      <c r="C48" t="s">
        <v>55</v>
      </c>
      <c r="D48">
        <v>400</v>
      </c>
      <c r="E48">
        <v>2.5000000000000001E-2</v>
      </c>
      <c r="F48" t="s">
        <v>56</v>
      </c>
      <c r="G48" t="s">
        <v>56</v>
      </c>
      <c r="H48" t="s">
        <v>57</v>
      </c>
      <c r="I48" t="s">
        <v>58</v>
      </c>
      <c r="J48">
        <v>3</v>
      </c>
      <c r="K48">
        <v>1</v>
      </c>
      <c r="L48" t="s">
        <v>59</v>
      </c>
      <c r="M48" t="s">
        <v>56</v>
      </c>
      <c r="N48" t="s">
        <v>56</v>
      </c>
      <c r="O48" t="s">
        <v>60</v>
      </c>
      <c r="P48" t="s">
        <v>61</v>
      </c>
      <c r="Q48" t="s">
        <v>62</v>
      </c>
      <c r="R48" t="s">
        <v>63</v>
      </c>
      <c r="S48" t="s">
        <v>64</v>
      </c>
      <c r="T48" t="s">
        <v>65</v>
      </c>
      <c r="U48" t="s">
        <v>97</v>
      </c>
      <c r="V48" t="s">
        <v>67</v>
      </c>
      <c r="W48" t="b">
        <v>0</v>
      </c>
      <c r="X48" t="b">
        <v>1</v>
      </c>
      <c r="Y48">
        <v>1</v>
      </c>
      <c r="Z48">
        <v>1</v>
      </c>
      <c r="AA48" t="s">
        <v>77</v>
      </c>
      <c r="AB48" t="s">
        <v>73</v>
      </c>
      <c r="AC48">
        <v>1</v>
      </c>
      <c r="AD48" t="b">
        <v>1</v>
      </c>
      <c r="AE48" t="s">
        <v>36</v>
      </c>
      <c r="AF48">
        <v>10000</v>
      </c>
      <c r="AG48">
        <v>1000</v>
      </c>
      <c r="AH48">
        <v>59079</v>
      </c>
      <c r="AI48" t="b">
        <v>1</v>
      </c>
      <c r="AJ48" t="b">
        <v>0</v>
      </c>
      <c r="AK48" t="b">
        <v>1</v>
      </c>
      <c r="AL48" t="b">
        <v>1</v>
      </c>
    </row>
    <row r="49" spans="1:38" x14ac:dyDescent="0.25">
      <c r="A49">
        <v>48</v>
      </c>
      <c r="B49" t="s">
        <v>188</v>
      </c>
      <c r="C49" t="s">
        <v>55</v>
      </c>
      <c r="D49">
        <v>400</v>
      </c>
      <c r="E49">
        <v>2.5000000000000001E-2</v>
      </c>
      <c r="F49" t="s">
        <v>56</v>
      </c>
      <c r="G49" t="s">
        <v>56</v>
      </c>
      <c r="H49" t="s">
        <v>57</v>
      </c>
      <c r="I49" t="s">
        <v>58</v>
      </c>
      <c r="J49">
        <v>3</v>
      </c>
      <c r="K49">
        <v>1</v>
      </c>
      <c r="L49" t="s">
        <v>59</v>
      </c>
      <c r="M49" t="s">
        <v>56</v>
      </c>
      <c r="N49" t="s">
        <v>56</v>
      </c>
      <c r="O49" t="s">
        <v>60</v>
      </c>
      <c r="P49" t="s">
        <v>61</v>
      </c>
      <c r="Q49" t="s">
        <v>62</v>
      </c>
      <c r="R49" t="s">
        <v>63</v>
      </c>
      <c r="S49" t="s">
        <v>64</v>
      </c>
      <c r="T49" t="s">
        <v>65</v>
      </c>
      <c r="U49" t="s">
        <v>97</v>
      </c>
      <c r="V49" t="s">
        <v>67</v>
      </c>
      <c r="W49" t="b">
        <v>0</v>
      </c>
      <c r="X49" t="b">
        <v>1</v>
      </c>
      <c r="Y49">
        <v>1</v>
      </c>
      <c r="Z49">
        <v>1</v>
      </c>
      <c r="AA49" t="s">
        <v>77</v>
      </c>
      <c r="AB49" t="s">
        <v>73</v>
      </c>
      <c r="AC49">
        <v>2</v>
      </c>
      <c r="AD49" t="b">
        <v>1</v>
      </c>
      <c r="AE49" t="s">
        <v>36</v>
      </c>
      <c r="AF49">
        <v>10000</v>
      </c>
      <c r="AG49">
        <v>1000</v>
      </c>
      <c r="AH49">
        <v>58217</v>
      </c>
      <c r="AI49" t="b">
        <v>1</v>
      </c>
      <c r="AJ49" t="b">
        <v>0</v>
      </c>
      <c r="AK49" t="b">
        <v>1</v>
      </c>
      <c r="AL49" t="b">
        <v>1</v>
      </c>
    </row>
    <row r="50" spans="1:38" x14ac:dyDescent="0.25">
      <c r="A50">
        <v>49</v>
      </c>
      <c r="B50" t="s">
        <v>191</v>
      </c>
      <c r="C50" t="s">
        <v>55</v>
      </c>
      <c r="D50">
        <v>400</v>
      </c>
      <c r="E50">
        <v>2.5000000000000001E-2</v>
      </c>
      <c r="F50" t="s">
        <v>56</v>
      </c>
      <c r="G50" t="s">
        <v>56</v>
      </c>
      <c r="H50" t="s">
        <v>57</v>
      </c>
      <c r="I50" t="s">
        <v>68</v>
      </c>
      <c r="J50">
        <v>3</v>
      </c>
      <c r="K50">
        <v>1</v>
      </c>
      <c r="L50" t="s">
        <v>59</v>
      </c>
      <c r="M50" t="s">
        <v>56</v>
      </c>
      <c r="N50" t="s">
        <v>56</v>
      </c>
      <c r="O50" t="s">
        <v>60</v>
      </c>
      <c r="P50" t="s">
        <v>61</v>
      </c>
      <c r="Q50" t="s">
        <v>62</v>
      </c>
      <c r="R50" t="s">
        <v>63</v>
      </c>
      <c r="S50" t="s">
        <v>64</v>
      </c>
      <c r="T50" t="s">
        <v>65</v>
      </c>
      <c r="U50" t="s">
        <v>97</v>
      </c>
      <c r="V50" t="s">
        <v>67</v>
      </c>
      <c r="W50" t="b">
        <v>0</v>
      </c>
      <c r="X50" t="b">
        <v>0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68</v>
      </c>
      <c r="AF50">
        <v>10000</v>
      </c>
      <c r="AG50">
        <v>1000</v>
      </c>
      <c r="AH50">
        <v>97827</v>
      </c>
      <c r="AI50" t="b">
        <v>1</v>
      </c>
      <c r="AJ50" t="b">
        <v>0</v>
      </c>
      <c r="AK50" t="b">
        <v>1</v>
      </c>
      <c r="AL50" t="b">
        <v>1</v>
      </c>
    </row>
    <row r="51" spans="1:38" x14ac:dyDescent="0.25">
      <c r="A51">
        <v>50</v>
      </c>
      <c r="B51" t="s">
        <v>194</v>
      </c>
      <c r="C51" t="s">
        <v>55</v>
      </c>
      <c r="D51">
        <v>400</v>
      </c>
      <c r="E51">
        <v>2.5000000000000001E-2</v>
      </c>
      <c r="F51" t="s">
        <v>56</v>
      </c>
      <c r="G51" t="s">
        <v>56</v>
      </c>
      <c r="H51" t="s">
        <v>57</v>
      </c>
      <c r="I51" t="s">
        <v>68</v>
      </c>
      <c r="J51">
        <v>3</v>
      </c>
      <c r="K51">
        <v>1</v>
      </c>
      <c r="L51" t="s">
        <v>59</v>
      </c>
      <c r="M51" t="s">
        <v>56</v>
      </c>
      <c r="N51" t="s">
        <v>56</v>
      </c>
      <c r="O51" t="s">
        <v>60</v>
      </c>
      <c r="P51" t="s">
        <v>61</v>
      </c>
      <c r="Q51" t="s">
        <v>62</v>
      </c>
      <c r="R51" t="s">
        <v>63</v>
      </c>
      <c r="S51" t="s">
        <v>64</v>
      </c>
      <c r="T51" t="s">
        <v>65</v>
      </c>
      <c r="U51" t="s">
        <v>97</v>
      </c>
      <c r="V51" t="s">
        <v>67</v>
      </c>
      <c r="W51" t="b">
        <v>0</v>
      </c>
      <c r="X51" t="b">
        <v>1</v>
      </c>
      <c r="Y51">
        <v>1</v>
      </c>
      <c r="Z51">
        <v>1</v>
      </c>
      <c r="AA51" t="s">
        <v>72</v>
      </c>
      <c r="AB51" t="s">
        <v>73</v>
      </c>
      <c r="AC51">
        <v>1</v>
      </c>
      <c r="AD51" t="b">
        <v>0</v>
      </c>
      <c r="AE51" t="s">
        <v>68</v>
      </c>
      <c r="AF51">
        <v>10000</v>
      </c>
      <c r="AG51">
        <v>1000</v>
      </c>
      <c r="AH51">
        <v>70743</v>
      </c>
      <c r="AI51" t="b">
        <v>1</v>
      </c>
      <c r="AJ51" t="b">
        <v>0</v>
      </c>
      <c r="AK51" t="b">
        <v>1</v>
      </c>
      <c r="AL51" t="b">
        <v>1</v>
      </c>
    </row>
    <row r="52" spans="1:38" x14ac:dyDescent="0.25">
      <c r="A52">
        <v>51</v>
      </c>
      <c r="B52" t="s">
        <v>197</v>
      </c>
      <c r="C52" t="s">
        <v>55</v>
      </c>
      <c r="D52">
        <v>400</v>
      </c>
      <c r="E52">
        <v>2.5000000000000001E-2</v>
      </c>
      <c r="F52" t="s">
        <v>56</v>
      </c>
      <c r="G52" t="s">
        <v>56</v>
      </c>
      <c r="H52" t="s">
        <v>57</v>
      </c>
      <c r="I52" t="s">
        <v>68</v>
      </c>
      <c r="J52">
        <v>3</v>
      </c>
      <c r="K52">
        <v>1</v>
      </c>
      <c r="L52" t="s">
        <v>59</v>
      </c>
      <c r="M52" t="s">
        <v>56</v>
      </c>
      <c r="N52" t="s">
        <v>56</v>
      </c>
      <c r="O52" t="s">
        <v>60</v>
      </c>
      <c r="P52" t="s">
        <v>61</v>
      </c>
      <c r="Q52" t="s">
        <v>62</v>
      </c>
      <c r="R52" t="s">
        <v>63</v>
      </c>
      <c r="S52" t="s">
        <v>64</v>
      </c>
      <c r="T52" t="s">
        <v>65</v>
      </c>
      <c r="U52" t="s">
        <v>97</v>
      </c>
      <c r="V52" t="s">
        <v>67</v>
      </c>
      <c r="W52" t="b">
        <v>0</v>
      </c>
      <c r="X52" t="b">
        <v>1</v>
      </c>
      <c r="Y52">
        <v>1</v>
      </c>
      <c r="Z52">
        <v>1</v>
      </c>
      <c r="AA52" t="s">
        <v>77</v>
      </c>
      <c r="AB52" t="s">
        <v>78</v>
      </c>
      <c r="AC52">
        <v>0.5</v>
      </c>
      <c r="AD52" t="b">
        <v>0</v>
      </c>
      <c r="AE52" t="s">
        <v>68</v>
      </c>
      <c r="AF52">
        <v>10000</v>
      </c>
      <c r="AG52">
        <v>1000</v>
      </c>
      <c r="AH52">
        <v>2402</v>
      </c>
      <c r="AI52" t="b">
        <v>1</v>
      </c>
      <c r="AJ52" t="b">
        <v>0</v>
      </c>
      <c r="AK52" t="b">
        <v>1</v>
      </c>
      <c r="AL52" t="b">
        <v>1</v>
      </c>
    </row>
    <row r="53" spans="1:38" x14ac:dyDescent="0.25">
      <c r="A53">
        <v>52</v>
      </c>
      <c r="B53" t="s">
        <v>200</v>
      </c>
      <c r="C53" t="s">
        <v>55</v>
      </c>
      <c r="D53">
        <v>400</v>
      </c>
      <c r="E53">
        <v>2.5000000000000001E-2</v>
      </c>
      <c r="F53" t="s">
        <v>56</v>
      </c>
      <c r="G53" t="s">
        <v>56</v>
      </c>
      <c r="H53" t="s">
        <v>57</v>
      </c>
      <c r="I53" t="s">
        <v>68</v>
      </c>
      <c r="J53">
        <v>3</v>
      </c>
      <c r="K53">
        <v>1</v>
      </c>
      <c r="L53" t="s">
        <v>59</v>
      </c>
      <c r="M53" t="s">
        <v>56</v>
      </c>
      <c r="N53" t="s">
        <v>56</v>
      </c>
      <c r="O53" t="s">
        <v>60</v>
      </c>
      <c r="P53" t="s">
        <v>61</v>
      </c>
      <c r="Q53" t="s">
        <v>62</v>
      </c>
      <c r="R53" t="s">
        <v>63</v>
      </c>
      <c r="S53" t="s">
        <v>64</v>
      </c>
      <c r="T53" t="s">
        <v>65</v>
      </c>
      <c r="U53" t="s">
        <v>97</v>
      </c>
      <c r="V53" t="s">
        <v>67</v>
      </c>
      <c r="W53" t="b">
        <v>0</v>
      </c>
      <c r="X53" t="b">
        <v>1</v>
      </c>
      <c r="Y53">
        <v>1</v>
      </c>
      <c r="Z53">
        <v>1</v>
      </c>
      <c r="AA53" t="s">
        <v>77</v>
      </c>
      <c r="AB53" t="s">
        <v>78</v>
      </c>
      <c r="AC53">
        <v>0.75</v>
      </c>
      <c r="AD53" t="b">
        <v>1</v>
      </c>
      <c r="AE53" t="s">
        <v>36</v>
      </c>
      <c r="AF53">
        <v>10000</v>
      </c>
      <c r="AG53">
        <v>1000</v>
      </c>
      <c r="AH53">
        <v>2637</v>
      </c>
      <c r="AI53" t="b">
        <v>1</v>
      </c>
      <c r="AJ53" t="b">
        <v>0</v>
      </c>
      <c r="AK53" t="b">
        <v>1</v>
      </c>
      <c r="AL53" t="b">
        <v>1</v>
      </c>
    </row>
    <row r="54" spans="1:38" x14ac:dyDescent="0.25">
      <c r="A54">
        <v>53</v>
      </c>
      <c r="B54" t="s">
        <v>202</v>
      </c>
      <c r="C54" t="s">
        <v>55</v>
      </c>
      <c r="D54">
        <v>400</v>
      </c>
      <c r="E54">
        <v>2.5000000000000001E-2</v>
      </c>
      <c r="F54" t="s">
        <v>56</v>
      </c>
      <c r="G54" t="s">
        <v>56</v>
      </c>
      <c r="H54" t="s">
        <v>57</v>
      </c>
      <c r="I54" t="s">
        <v>68</v>
      </c>
      <c r="J54">
        <v>3</v>
      </c>
      <c r="K54">
        <v>1</v>
      </c>
      <c r="L54" t="s">
        <v>59</v>
      </c>
      <c r="M54" t="s">
        <v>56</v>
      </c>
      <c r="N54" t="s">
        <v>56</v>
      </c>
      <c r="O54" t="s">
        <v>60</v>
      </c>
      <c r="P54" t="s">
        <v>61</v>
      </c>
      <c r="Q54" t="s">
        <v>62</v>
      </c>
      <c r="R54" t="s">
        <v>63</v>
      </c>
      <c r="S54" t="s">
        <v>64</v>
      </c>
      <c r="T54" t="s">
        <v>65</v>
      </c>
      <c r="U54" t="s">
        <v>97</v>
      </c>
      <c r="V54" t="s">
        <v>67</v>
      </c>
      <c r="W54" t="b">
        <v>0</v>
      </c>
      <c r="X54" t="b">
        <v>1</v>
      </c>
      <c r="Y54">
        <v>1</v>
      </c>
      <c r="Z54">
        <v>1</v>
      </c>
      <c r="AA54" t="s">
        <v>77</v>
      </c>
      <c r="AB54" t="s">
        <v>78</v>
      </c>
      <c r="AC54">
        <v>0.5</v>
      </c>
      <c r="AD54" t="b">
        <v>1</v>
      </c>
      <c r="AE54" t="s">
        <v>36</v>
      </c>
      <c r="AF54">
        <v>10000</v>
      </c>
      <c r="AG54">
        <v>1000</v>
      </c>
      <c r="AH54">
        <v>499</v>
      </c>
      <c r="AI54" t="b">
        <v>1</v>
      </c>
      <c r="AJ54" t="b">
        <v>0</v>
      </c>
      <c r="AK54" t="b">
        <v>1</v>
      </c>
      <c r="AL54" t="b">
        <v>1</v>
      </c>
    </row>
    <row r="55" spans="1:38" x14ac:dyDescent="0.25">
      <c r="A55">
        <v>54</v>
      </c>
      <c r="B55" t="s">
        <v>205</v>
      </c>
      <c r="C55" t="s">
        <v>55</v>
      </c>
      <c r="D55">
        <v>400</v>
      </c>
      <c r="E55">
        <v>2.5000000000000001E-2</v>
      </c>
      <c r="F55" t="s">
        <v>56</v>
      </c>
      <c r="G55" t="s">
        <v>56</v>
      </c>
      <c r="H55" t="s">
        <v>57</v>
      </c>
      <c r="I55" t="s">
        <v>68</v>
      </c>
      <c r="J55">
        <v>3</v>
      </c>
      <c r="K55">
        <v>1</v>
      </c>
      <c r="L55" t="s">
        <v>59</v>
      </c>
      <c r="M55" t="s">
        <v>56</v>
      </c>
      <c r="N55" t="s">
        <v>56</v>
      </c>
      <c r="O55" t="s">
        <v>60</v>
      </c>
      <c r="P55" t="s">
        <v>61</v>
      </c>
      <c r="Q55" t="s">
        <v>62</v>
      </c>
      <c r="R55" t="s">
        <v>63</v>
      </c>
      <c r="S55" t="s">
        <v>64</v>
      </c>
      <c r="T55" t="s">
        <v>65</v>
      </c>
      <c r="U55" t="s">
        <v>97</v>
      </c>
      <c r="V55" t="s">
        <v>67</v>
      </c>
      <c r="W55" t="b">
        <v>0</v>
      </c>
      <c r="X55" t="b">
        <v>1</v>
      </c>
      <c r="Y55">
        <v>1</v>
      </c>
      <c r="Z55">
        <v>1</v>
      </c>
      <c r="AA55" t="s">
        <v>77</v>
      </c>
      <c r="AB55" t="s">
        <v>78</v>
      </c>
      <c r="AC55">
        <v>0.25</v>
      </c>
      <c r="AD55" t="b">
        <v>1</v>
      </c>
      <c r="AE55" t="s">
        <v>36</v>
      </c>
      <c r="AF55">
        <v>10000</v>
      </c>
      <c r="AG55">
        <v>1000</v>
      </c>
      <c r="AH55">
        <v>30953</v>
      </c>
      <c r="AI55" t="b">
        <v>1</v>
      </c>
      <c r="AJ55" t="b">
        <v>0</v>
      </c>
      <c r="AK55" t="b">
        <v>1</v>
      </c>
      <c r="AL55" t="b">
        <v>1</v>
      </c>
    </row>
    <row r="56" spans="1:38" x14ac:dyDescent="0.25">
      <c r="A56">
        <v>55</v>
      </c>
      <c r="B56" t="s">
        <v>208</v>
      </c>
      <c r="C56" t="s">
        <v>55</v>
      </c>
      <c r="D56">
        <v>400</v>
      </c>
      <c r="E56">
        <v>2.5000000000000001E-2</v>
      </c>
      <c r="F56" t="s">
        <v>56</v>
      </c>
      <c r="G56" t="s">
        <v>56</v>
      </c>
      <c r="H56" t="s">
        <v>57</v>
      </c>
      <c r="I56" t="s">
        <v>68</v>
      </c>
      <c r="J56">
        <v>3</v>
      </c>
      <c r="K56">
        <v>1</v>
      </c>
      <c r="L56" t="s">
        <v>59</v>
      </c>
      <c r="M56" t="s">
        <v>56</v>
      </c>
      <c r="N56" t="s">
        <v>56</v>
      </c>
      <c r="O56" t="s">
        <v>60</v>
      </c>
      <c r="P56" t="s">
        <v>61</v>
      </c>
      <c r="Q56" t="s">
        <v>62</v>
      </c>
      <c r="R56" t="s">
        <v>63</v>
      </c>
      <c r="S56" t="s">
        <v>64</v>
      </c>
      <c r="T56" t="s">
        <v>65</v>
      </c>
      <c r="U56" t="s">
        <v>97</v>
      </c>
      <c r="V56" t="s">
        <v>67</v>
      </c>
      <c r="W56" t="b">
        <v>0</v>
      </c>
      <c r="X56" t="b">
        <v>1</v>
      </c>
      <c r="Y56">
        <v>1</v>
      </c>
      <c r="Z56">
        <v>1</v>
      </c>
      <c r="AA56" t="s">
        <v>77</v>
      </c>
      <c r="AB56" t="s">
        <v>73</v>
      </c>
      <c r="AC56">
        <v>1</v>
      </c>
      <c r="AD56" t="b">
        <v>1</v>
      </c>
      <c r="AE56" t="s">
        <v>36</v>
      </c>
      <c r="AF56">
        <v>10000</v>
      </c>
      <c r="AG56">
        <v>1000</v>
      </c>
      <c r="AH56">
        <v>59079</v>
      </c>
      <c r="AI56" t="b">
        <v>1</v>
      </c>
      <c r="AJ56" t="b">
        <v>0</v>
      </c>
      <c r="AK56" t="b">
        <v>1</v>
      </c>
      <c r="AL56" t="b">
        <v>1</v>
      </c>
    </row>
    <row r="57" spans="1:38" x14ac:dyDescent="0.25">
      <c r="A57">
        <v>56</v>
      </c>
      <c r="B57" t="s">
        <v>211</v>
      </c>
      <c r="C57" t="s">
        <v>55</v>
      </c>
      <c r="D57">
        <v>400</v>
      </c>
      <c r="E57">
        <v>2.5000000000000001E-2</v>
      </c>
      <c r="F57" t="s">
        <v>56</v>
      </c>
      <c r="G57" t="s">
        <v>56</v>
      </c>
      <c r="H57" t="s">
        <v>57</v>
      </c>
      <c r="I57" t="s">
        <v>68</v>
      </c>
      <c r="J57">
        <v>3</v>
      </c>
      <c r="K57">
        <v>1</v>
      </c>
      <c r="L57" t="s">
        <v>59</v>
      </c>
      <c r="M57" t="s">
        <v>56</v>
      </c>
      <c r="N57" t="s">
        <v>56</v>
      </c>
      <c r="O57" t="s">
        <v>60</v>
      </c>
      <c r="P57" t="s">
        <v>61</v>
      </c>
      <c r="Q57" t="s">
        <v>62</v>
      </c>
      <c r="R57" t="s">
        <v>63</v>
      </c>
      <c r="S57" t="s">
        <v>64</v>
      </c>
      <c r="T57" t="s">
        <v>65</v>
      </c>
      <c r="U57" t="s">
        <v>97</v>
      </c>
      <c r="V57" t="s">
        <v>67</v>
      </c>
      <c r="W57" t="b">
        <v>0</v>
      </c>
      <c r="X57" t="b">
        <v>1</v>
      </c>
      <c r="Y57">
        <v>1</v>
      </c>
      <c r="Z57">
        <v>1</v>
      </c>
      <c r="AA57" t="s">
        <v>77</v>
      </c>
      <c r="AB57" t="s">
        <v>73</v>
      </c>
      <c r="AC57">
        <v>2</v>
      </c>
      <c r="AD57" t="b">
        <v>1</v>
      </c>
      <c r="AE57" t="s">
        <v>36</v>
      </c>
      <c r="AF57">
        <v>10000</v>
      </c>
      <c r="AG57">
        <v>1000</v>
      </c>
      <c r="AH57">
        <v>58217</v>
      </c>
      <c r="AI57" t="b">
        <v>1</v>
      </c>
      <c r="AJ57" t="b">
        <v>0</v>
      </c>
      <c r="AK57" t="b">
        <v>1</v>
      </c>
      <c r="AL5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D72E-3760-477A-A344-41E2FE373A46}">
  <dimension ref="A2:AZ51"/>
  <sheetViews>
    <sheetView topLeftCell="A22" zoomScaleNormal="100" workbookViewId="0">
      <selection activeCell="O28" sqref="O28"/>
    </sheetView>
  </sheetViews>
  <sheetFormatPr defaultRowHeight="15" x14ac:dyDescent="0.25"/>
  <cols>
    <col min="1" max="1" width="10.5703125" bestFit="1" customWidth="1"/>
    <col min="2" max="2" width="86.7109375" bestFit="1" customWidth="1"/>
    <col min="3" max="3" width="7.42578125" customWidth="1"/>
    <col min="4" max="4" width="15.140625" customWidth="1"/>
    <col min="5" max="5" width="19.85546875" customWidth="1"/>
    <col min="6" max="6" width="19.140625" customWidth="1"/>
    <col min="7" max="7" width="10" bestFit="1" customWidth="1"/>
    <col min="8" max="8" width="24.85546875" customWidth="1"/>
    <col min="9" max="9" width="29.42578125" customWidth="1"/>
    <col min="10" max="10" width="28.85546875" customWidth="1"/>
    <col min="11" max="11" width="17.5703125" customWidth="1"/>
    <col min="12" max="12" width="26.5703125" customWidth="1"/>
    <col min="13" max="13" width="31.28515625" customWidth="1"/>
    <col min="14" max="14" width="13.85546875" customWidth="1"/>
    <col min="15" max="15" width="7.85546875" customWidth="1"/>
    <col min="16" max="16" width="9.85546875" customWidth="1"/>
    <col min="17" max="17" width="13.28515625" bestFit="1" customWidth="1"/>
    <col min="18" max="18" width="8.42578125" customWidth="1"/>
    <col min="19" max="19" width="14.140625" customWidth="1"/>
    <col min="20" max="20" width="17.28515625" customWidth="1"/>
    <col min="21" max="21" width="13" customWidth="1"/>
    <col min="22" max="22" width="16.140625" bestFit="1" customWidth="1"/>
    <col min="23" max="23" width="9" customWidth="1"/>
    <col min="24" max="24" width="7.5703125" customWidth="1"/>
    <col min="25" max="25" width="17.7109375" customWidth="1"/>
    <col min="26" max="26" width="13.28515625" customWidth="1"/>
    <col min="27" max="27" width="14.7109375" customWidth="1"/>
    <col min="28" max="28" width="23.5703125" customWidth="1"/>
    <col min="29" max="29" width="17.7109375" customWidth="1"/>
    <col min="30" max="30" width="9.7109375" customWidth="1"/>
    <col min="31" max="31" width="12" customWidth="1"/>
    <col min="32" max="32" width="25.140625" customWidth="1"/>
    <col min="33" max="33" width="10.7109375" customWidth="1"/>
    <col min="34" max="34" width="11" bestFit="1" customWidth="1"/>
    <col min="35" max="35" width="14.85546875" customWidth="1"/>
    <col min="36" max="36" width="17.85546875" customWidth="1"/>
    <col min="37" max="37" width="11.28515625" bestFit="1" customWidth="1"/>
    <col min="38" max="38" width="15.5703125" customWidth="1"/>
    <col min="39" max="39" width="16.42578125" customWidth="1"/>
    <col min="40" max="40" width="16.140625" bestFit="1" customWidth="1"/>
    <col min="41" max="41" width="19" bestFit="1" customWidth="1"/>
    <col min="42" max="42" width="19.5703125" bestFit="1" customWidth="1"/>
    <col min="43" max="43" width="20.7109375" bestFit="1" customWidth="1"/>
    <col min="44" max="44" width="13.140625" bestFit="1" customWidth="1"/>
    <col min="45" max="45" width="14" customWidth="1"/>
    <col min="46" max="46" width="20.85546875" customWidth="1"/>
    <col min="47" max="47" width="8.28515625" customWidth="1"/>
    <col min="48" max="48" width="14.85546875" customWidth="1"/>
    <col min="49" max="49" width="13.140625" customWidth="1"/>
    <col min="50" max="50" width="10.140625" customWidth="1"/>
    <col min="51" max="51" width="8.85546875" bestFit="1" customWidth="1"/>
  </cols>
  <sheetData>
    <row r="2" spans="1:52" x14ac:dyDescent="0.25">
      <c r="G2" s="2" t="s">
        <v>217</v>
      </c>
      <c r="O2" t="s">
        <v>217</v>
      </c>
      <c r="Q2" s="3" t="s">
        <v>217</v>
      </c>
      <c r="V2" s="3" t="s">
        <v>217</v>
      </c>
      <c r="AH2" s="3" t="s">
        <v>217</v>
      </c>
      <c r="AK2" s="3" t="s">
        <v>217</v>
      </c>
      <c r="AN2" s="3" t="s">
        <v>217</v>
      </c>
      <c r="AO2" s="3" t="s">
        <v>217</v>
      </c>
      <c r="AP2" s="3" t="s">
        <v>217</v>
      </c>
      <c r="AQ2" s="3" t="s">
        <v>217</v>
      </c>
      <c r="AR2" s="3" t="s">
        <v>217</v>
      </c>
      <c r="AY2" s="3" t="s">
        <v>217</v>
      </c>
      <c r="AZ2" s="2" t="s">
        <v>215</v>
      </c>
    </row>
    <row r="3" spans="1:5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214</v>
      </c>
      <c r="AV3" t="s">
        <v>46</v>
      </c>
      <c r="AW3" t="s">
        <v>47</v>
      </c>
      <c r="AX3" t="s">
        <v>48</v>
      </c>
      <c r="AY3" t="s">
        <v>49</v>
      </c>
      <c r="AZ3" t="s">
        <v>216</v>
      </c>
    </row>
    <row r="4" spans="1:52" x14ac:dyDescent="0.25">
      <c r="A4">
        <v>9</v>
      </c>
      <c r="B4" t="s">
        <v>50</v>
      </c>
      <c r="C4">
        <v>64564</v>
      </c>
      <c r="D4">
        <v>2.9327499999999999E-2</v>
      </c>
      <c r="E4">
        <v>0</v>
      </c>
      <c r="F4">
        <v>0</v>
      </c>
      <c r="G4">
        <v>2.9327499999999999E-2</v>
      </c>
      <c r="H4" t="s">
        <v>51</v>
      </c>
      <c r="I4" t="s">
        <v>52</v>
      </c>
      <c r="J4" t="s">
        <v>52</v>
      </c>
      <c r="K4" t="s">
        <v>51</v>
      </c>
      <c r="L4" s="1">
        <v>138158</v>
      </c>
      <c r="M4" t="s">
        <v>53</v>
      </c>
      <c r="N4">
        <v>0.52662981192270897</v>
      </c>
      <c r="O4" t="s">
        <v>54</v>
      </c>
      <c r="P4" t="s">
        <v>55</v>
      </c>
      <c r="Q4">
        <v>600</v>
      </c>
      <c r="R4">
        <v>2.5000000000000001E-2</v>
      </c>
      <c r="S4" t="s">
        <v>56</v>
      </c>
      <c r="T4" t="s">
        <v>56</v>
      </c>
      <c r="U4" t="s">
        <v>57</v>
      </c>
      <c r="V4" t="s">
        <v>58</v>
      </c>
      <c r="W4">
        <v>3</v>
      </c>
      <c r="X4">
        <v>1</v>
      </c>
      <c r="Y4" t="s">
        <v>59</v>
      </c>
      <c r="Z4" t="s">
        <v>56</v>
      </c>
      <c r="AA4" t="s">
        <v>56</v>
      </c>
      <c r="AB4" t="s">
        <v>60</v>
      </c>
      <c r="AC4" t="s">
        <v>61</v>
      </c>
      <c r="AD4" t="s">
        <v>62</v>
      </c>
      <c r="AE4" t="s">
        <v>63</v>
      </c>
      <c r="AF4" t="s">
        <v>64</v>
      </c>
      <c r="AG4" t="s">
        <v>65</v>
      </c>
      <c r="AH4" t="s">
        <v>66</v>
      </c>
      <c r="AI4" t="s">
        <v>67</v>
      </c>
      <c r="AJ4" t="b">
        <v>0</v>
      </c>
      <c r="AK4" t="b">
        <v>0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68</v>
      </c>
      <c r="AS4">
        <v>10000</v>
      </c>
      <c r="AT4">
        <v>1000</v>
      </c>
      <c r="AU4">
        <v>64564</v>
      </c>
      <c r="AV4" t="b">
        <v>1</v>
      </c>
      <c r="AW4" t="b">
        <v>0</v>
      </c>
      <c r="AX4" t="b">
        <v>1</v>
      </c>
      <c r="AY4" t="b">
        <v>0</v>
      </c>
      <c r="AZ4">
        <v>0</v>
      </c>
    </row>
    <row r="5" spans="1:52" x14ac:dyDescent="0.25">
      <c r="A5">
        <v>10</v>
      </c>
      <c r="B5" t="s">
        <v>69</v>
      </c>
      <c r="C5">
        <v>73236</v>
      </c>
      <c r="D5">
        <v>2.34749E-2</v>
      </c>
      <c r="E5">
        <v>0</v>
      </c>
      <c r="F5">
        <v>0</v>
      </c>
      <c r="G5">
        <v>2.34749E-2</v>
      </c>
      <c r="H5" t="s">
        <v>70</v>
      </c>
      <c r="I5" t="s">
        <v>52</v>
      </c>
      <c r="J5" t="s">
        <v>52</v>
      </c>
      <c r="K5" t="s">
        <v>70</v>
      </c>
      <c r="L5" s="1">
        <v>90158</v>
      </c>
      <c r="M5" t="s">
        <v>71</v>
      </c>
      <c r="N5">
        <v>0.43923632416460301</v>
      </c>
      <c r="O5" t="s">
        <v>54</v>
      </c>
      <c r="P5" t="s">
        <v>55</v>
      </c>
      <c r="Q5">
        <v>600</v>
      </c>
      <c r="R5">
        <v>2.5000000000000001E-2</v>
      </c>
      <c r="S5" t="s">
        <v>56</v>
      </c>
      <c r="T5" t="s">
        <v>56</v>
      </c>
      <c r="U5" t="s">
        <v>57</v>
      </c>
      <c r="V5" t="s">
        <v>58</v>
      </c>
      <c r="W5">
        <v>3</v>
      </c>
      <c r="X5">
        <v>1</v>
      </c>
      <c r="Y5" t="s">
        <v>59</v>
      </c>
      <c r="Z5" t="s">
        <v>56</v>
      </c>
      <c r="AA5" t="s">
        <v>56</v>
      </c>
      <c r="AB5" t="s">
        <v>60</v>
      </c>
      <c r="AC5" t="s">
        <v>61</v>
      </c>
      <c r="AD5" t="s">
        <v>62</v>
      </c>
      <c r="AE5" t="s">
        <v>63</v>
      </c>
      <c r="AF5" t="s">
        <v>64</v>
      </c>
      <c r="AG5" t="s">
        <v>65</v>
      </c>
      <c r="AH5" t="s">
        <v>66</v>
      </c>
      <c r="AI5" t="s">
        <v>67</v>
      </c>
      <c r="AJ5" t="b">
        <v>0</v>
      </c>
      <c r="AK5" t="b">
        <v>1</v>
      </c>
      <c r="AL5">
        <v>1</v>
      </c>
      <c r="AM5">
        <v>1</v>
      </c>
      <c r="AN5" t="s">
        <v>72</v>
      </c>
      <c r="AO5" t="s">
        <v>73</v>
      </c>
      <c r="AP5">
        <v>1</v>
      </c>
      <c r="AQ5" t="b">
        <v>0</v>
      </c>
      <c r="AR5" t="s">
        <v>68</v>
      </c>
      <c r="AS5">
        <v>10000</v>
      </c>
      <c r="AT5">
        <v>1000</v>
      </c>
      <c r="AU5">
        <v>73236</v>
      </c>
      <c r="AV5" t="b">
        <v>1</v>
      </c>
      <c r="AW5" t="b">
        <v>0</v>
      </c>
      <c r="AX5" t="b">
        <v>1</v>
      </c>
      <c r="AY5" t="b">
        <v>0</v>
      </c>
      <c r="AZ5">
        <v>1</v>
      </c>
    </row>
    <row r="6" spans="1:52" x14ac:dyDescent="0.25">
      <c r="A6">
        <v>11</v>
      </c>
      <c r="B6" t="s">
        <v>74</v>
      </c>
      <c r="C6">
        <v>11111</v>
      </c>
      <c r="D6">
        <v>2.64368E-2</v>
      </c>
      <c r="E6">
        <v>0</v>
      </c>
      <c r="F6">
        <v>0</v>
      </c>
      <c r="G6">
        <v>2.64368E-2</v>
      </c>
      <c r="H6" t="s">
        <v>75</v>
      </c>
      <c r="I6" t="s">
        <v>52</v>
      </c>
      <c r="J6" t="s">
        <v>52</v>
      </c>
      <c r="K6" t="s">
        <v>75</v>
      </c>
      <c r="L6" s="1">
        <v>109148</v>
      </c>
      <c r="M6" t="s">
        <v>76</v>
      </c>
      <c r="N6">
        <v>0.31035773336887401</v>
      </c>
      <c r="O6" t="s">
        <v>54</v>
      </c>
      <c r="P6" t="s">
        <v>55</v>
      </c>
      <c r="Q6">
        <v>600</v>
      </c>
      <c r="R6">
        <v>2.5000000000000001E-2</v>
      </c>
      <c r="S6" t="s">
        <v>56</v>
      </c>
      <c r="T6" t="s">
        <v>56</v>
      </c>
      <c r="U6" t="s">
        <v>57</v>
      </c>
      <c r="V6" t="s">
        <v>58</v>
      </c>
      <c r="W6">
        <v>3</v>
      </c>
      <c r="X6">
        <v>1</v>
      </c>
      <c r="Y6" t="s">
        <v>59</v>
      </c>
      <c r="Z6" t="s">
        <v>56</v>
      </c>
      <c r="AA6" t="s">
        <v>56</v>
      </c>
      <c r="AB6" t="s">
        <v>60</v>
      </c>
      <c r="AC6" t="s">
        <v>61</v>
      </c>
      <c r="AD6" t="s">
        <v>62</v>
      </c>
      <c r="AE6" t="s">
        <v>63</v>
      </c>
      <c r="AF6" t="s">
        <v>64</v>
      </c>
      <c r="AG6" t="s">
        <v>65</v>
      </c>
      <c r="AH6" t="s">
        <v>66</v>
      </c>
      <c r="AI6" t="s">
        <v>67</v>
      </c>
      <c r="AJ6" t="b">
        <v>0</v>
      </c>
      <c r="AK6" t="b">
        <v>1</v>
      </c>
      <c r="AL6">
        <v>1</v>
      </c>
      <c r="AM6">
        <v>1</v>
      </c>
      <c r="AN6" t="s">
        <v>77</v>
      </c>
      <c r="AO6" t="s">
        <v>78</v>
      </c>
      <c r="AP6">
        <v>0.5</v>
      </c>
      <c r="AQ6" t="b">
        <v>0</v>
      </c>
      <c r="AR6" t="s">
        <v>68</v>
      </c>
      <c r="AS6">
        <v>10000</v>
      </c>
      <c r="AT6">
        <v>1000</v>
      </c>
      <c r="AU6">
        <v>11111</v>
      </c>
      <c r="AV6" t="b">
        <v>1</v>
      </c>
      <c r="AW6" t="b">
        <v>0</v>
      </c>
      <c r="AX6" t="b">
        <v>1</v>
      </c>
      <c r="AY6" t="b">
        <v>0</v>
      </c>
      <c r="AZ6">
        <v>0</v>
      </c>
    </row>
    <row r="7" spans="1:52" x14ac:dyDescent="0.25">
      <c r="A7">
        <v>12</v>
      </c>
      <c r="B7" t="s">
        <v>79</v>
      </c>
      <c r="C7">
        <v>343</v>
      </c>
      <c r="D7">
        <v>2.8061699999999998E-2</v>
      </c>
      <c r="E7">
        <v>0</v>
      </c>
      <c r="F7">
        <v>0</v>
      </c>
      <c r="G7">
        <v>2.8061699999999998E-2</v>
      </c>
      <c r="H7" t="s">
        <v>80</v>
      </c>
      <c r="I7" t="s">
        <v>52</v>
      </c>
      <c r="J7" t="s">
        <v>52</v>
      </c>
      <c r="K7" t="s">
        <v>80</v>
      </c>
      <c r="L7" s="1">
        <v>121148</v>
      </c>
      <c r="M7" t="s">
        <v>81</v>
      </c>
      <c r="N7">
        <v>0.40154920915762599</v>
      </c>
      <c r="O7" t="s">
        <v>54</v>
      </c>
      <c r="P7" t="s">
        <v>55</v>
      </c>
      <c r="Q7">
        <v>600</v>
      </c>
      <c r="R7">
        <v>2.5000000000000001E-2</v>
      </c>
      <c r="S7" t="s">
        <v>56</v>
      </c>
      <c r="T7" t="s">
        <v>56</v>
      </c>
      <c r="U7" t="s">
        <v>57</v>
      </c>
      <c r="V7" t="s">
        <v>58</v>
      </c>
      <c r="W7">
        <v>3</v>
      </c>
      <c r="X7">
        <v>1</v>
      </c>
      <c r="Y7" t="s">
        <v>59</v>
      </c>
      <c r="Z7" t="s">
        <v>56</v>
      </c>
      <c r="AA7" t="s">
        <v>56</v>
      </c>
      <c r="AB7" t="s">
        <v>60</v>
      </c>
      <c r="AC7" t="s">
        <v>61</v>
      </c>
      <c r="AD7" t="s">
        <v>62</v>
      </c>
      <c r="AE7" t="s">
        <v>63</v>
      </c>
      <c r="AF7" t="s">
        <v>64</v>
      </c>
      <c r="AG7" t="s">
        <v>65</v>
      </c>
      <c r="AH7" t="s">
        <v>66</v>
      </c>
      <c r="AI7" t="s">
        <v>67</v>
      </c>
      <c r="AJ7" t="b">
        <v>0</v>
      </c>
      <c r="AK7" t="b">
        <v>1</v>
      </c>
      <c r="AL7">
        <v>1</v>
      </c>
      <c r="AM7">
        <v>1</v>
      </c>
      <c r="AN7" t="s">
        <v>77</v>
      </c>
      <c r="AO7" t="s">
        <v>78</v>
      </c>
      <c r="AP7">
        <v>0.75</v>
      </c>
      <c r="AQ7" t="b">
        <v>1</v>
      </c>
      <c r="AR7" t="s">
        <v>36</v>
      </c>
      <c r="AS7">
        <v>10000</v>
      </c>
      <c r="AT7">
        <v>1000</v>
      </c>
      <c r="AU7">
        <v>343</v>
      </c>
      <c r="AV7" t="b">
        <v>1</v>
      </c>
      <c r="AW7" t="b">
        <v>0</v>
      </c>
      <c r="AX7" t="b">
        <v>1</v>
      </c>
      <c r="AY7" t="b">
        <v>0</v>
      </c>
      <c r="AZ7">
        <v>0</v>
      </c>
    </row>
    <row r="8" spans="1:52" x14ac:dyDescent="0.25">
      <c r="A8">
        <v>13</v>
      </c>
      <c r="B8" t="s">
        <v>82</v>
      </c>
      <c r="C8">
        <v>84234</v>
      </c>
      <c r="D8">
        <v>2.62318E-2</v>
      </c>
      <c r="E8">
        <v>0</v>
      </c>
      <c r="F8">
        <v>0</v>
      </c>
      <c r="G8">
        <v>2.62318E-2</v>
      </c>
      <c r="H8" t="s">
        <v>83</v>
      </c>
      <c r="I8" t="s">
        <v>52</v>
      </c>
      <c r="J8" t="s">
        <v>52</v>
      </c>
      <c r="K8" t="s">
        <v>83</v>
      </c>
      <c r="L8" s="1">
        <v>101170</v>
      </c>
      <c r="M8" t="s">
        <v>84</v>
      </c>
      <c r="N8">
        <v>0.31512181831730701</v>
      </c>
      <c r="O8" t="s">
        <v>54</v>
      </c>
      <c r="P8" t="s">
        <v>55</v>
      </c>
      <c r="Q8">
        <v>600</v>
      </c>
      <c r="R8">
        <v>2.5000000000000001E-2</v>
      </c>
      <c r="S8" t="s">
        <v>56</v>
      </c>
      <c r="T8" t="s">
        <v>56</v>
      </c>
      <c r="U8" t="s">
        <v>57</v>
      </c>
      <c r="V8" t="s">
        <v>58</v>
      </c>
      <c r="W8">
        <v>3</v>
      </c>
      <c r="X8">
        <v>1</v>
      </c>
      <c r="Y8" t="s">
        <v>59</v>
      </c>
      <c r="Z8" t="s">
        <v>56</v>
      </c>
      <c r="AA8" t="s">
        <v>56</v>
      </c>
      <c r="AB8" t="s">
        <v>60</v>
      </c>
      <c r="AC8" t="s">
        <v>61</v>
      </c>
      <c r="AD8" t="s">
        <v>62</v>
      </c>
      <c r="AE8" t="s">
        <v>63</v>
      </c>
      <c r="AF8" t="s">
        <v>64</v>
      </c>
      <c r="AG8" t="s">
        <v>65</v>
      </c>
      <c r="AH8" t="s">
        <v>66</v>
      </c>
      <c r="AI8" t="s">
        <v>67</v>
      </c>
      <c r="AJ8" t="b">
        <v>0</v>
      </c>
      <c r="AK8" t="b">
        <v>1</v>
      </c>
      <c r="AL8">
        <v>1</v>
      </c>
      <c r="AM8">
        <v>1</v>
      </c>
      <c r="AN8" t="s">
        <v>77</v>
      </c>
      <c r="AO8" t="s">
        <v>78</v>
      </c>
      <c r="AP8">
        <v>0.5</v>
      </c>
      <c r="AQ8" t="b">
        <v>1</v>
      </c>
      <c r="AR8" t="s">
        <v>36</v>
      </c>
      <c r="AS8">
        <v>10000</v>
      </c>
      <c r="AT8">
        <v>1000</v>
      </c>
      <c r="AU8">
        <v>84234</v>
      </c>
      <c r="AV8" t="b">
        <v>1</v>
      </c>
      <c r="AW8" t="b">
        <v>0</v>
      </c>
      <c r="AX8" t="b">
        <v>1</v>
      </c>
      <c r="AY8" t="b">
        <v>0</v>
      </c>
      <c r="AZ8">
        <v>0</v>
      </c>
    </row>
    <row r="9" spans="1:52" x14ac:dyDescent="0.25">
      <c r="A9">
        <v>14</v>
      </c>
      <c r="B9" t="s">
        <v>85</v>
      </c>
      <c r="C9">
        <v>4346</v>
      </c>
      <c r="D9">
        <v>2.7538900000000002E-2</v>
      </c>
      <c r="E9">
        <v>0</v>
      </c>
      <c r="F9">
        <v>0</v>
      </c>
      <c r="G9">
        <v>2.7538900000000002E-2</v>
      </c>
      <c r="H9" t="s">
        <v>86</v>
      </c>
      <c r="I9" t="s">
        <v>52</v>
      </c>
      <c r="J9" t="s">
        <v>52</v>
      </c>
      <c r="K9" t="s">
        <v>86</v>
      </c>
      <c r="L9" s="1">
        <v>114150</v>
      </c>
      <c r="M9" t="s">
        <v>87</v>
      </c>
      <c r="N9">
        <v>0.18133888112174101</v>
      </c>
      <c r="O9" t="s">
        <v>54</v>
      </c>
      <c r="P9" t="s">
        <v>55</v>
      </c>
      <c r="Q9">
        <v>600</v>
      </c>
      <c r="R9">
        <v>2.5000000000000001E-2</v>
      </c>
      <c r="S9" t="s">
        <v>56</v>
      </c>
      <c r="T9" t="s">
        <v>56</v>
      </c>
      <c r="U9" t="s">
        <v>57</v>
      </c>
      <c r="V9" t="s">
        <v>58</v>
      </c>
      <c r="W9">
        <v>3</v>
      </c>
      <c r="X9">
        <v>1</v>
      </c>
      <c r="Y9" t="s">
        <v>59</v>
      </c>
      <c r="Z9" t="s">
        <v>56</v>
      </c>
      <c r="AA9" t="s">
        <v>56</v>
      </c>
      <c r="AB9" t="s">
        <v>60</v>
      </c>
      <c r="AC9" t="s">
        <v>61</v>
      </c>
      <c r="AD9" t="s">
        <v>62</v>
      </c>
      <c r="AE9" t="s">
        <v>63</v>
      </c>
      <c r="AF9" t="s">
        <v>64</v>
      </c>
      <c r="AG9" t="s">
        <v>65</v>
      </c>
      <c r="AH9" t="s">
        <v>66</v>
      </c>
      <c r="AI9" t="s">
        <v>67</v>
      </c>
      <c r="AJ9" t="b">
        <v>0</v>
      </c>
      <c r="AK9" t="b">
        <v>1</v>
      </c>
      <c r="AL9">
        <v>1</v>
      </c>
      <c r="AM9">
        <v>1</v>
      </c>
      <c r="AN9" t="s">
        <v>77</v>
      </c>
      <c r="AO9" t="s">
        <v>78</v>
      </c>
      <c r="AP9">
        <v>0.25</v>
      </c>
      <c r="AQ9" t="b">
        <v>1</v>
      </c>
      <c r="AR9" t="s">
        <v>36</v>
      </c>
      <c r="AS9">
        <v>10000</v>
      </c>
      <c r="AT9">
        <v>1000</v>
      </c>
      <c r="AU9">
        <v>4346</v>
      </c>
      <c r="AV9" t="b">
        <v>1</v>
      </c>
      <c r="AW9" t="b">
        <v>0</v>
      </c>
      <c r="AX9" t="b">
        <v>1</v>
      </c>
      <c r="AY9" t="b">
        <v>0</v>
      </c>
      <c r="AZ9">
        <v>0</v>
      </c>
    </row>
    <row r="10" spans="1:52" x14ac:dyDescent="0.25">
      <c r="A10">
        <v>15</v>
      </c>
      <c r="B10" t="s">
        <v>88</v>
      </c>
      <c r="C10">
        <v>9504</v>
      </c>
      <c r="D10">
        <v>2.6602399999999998E-2</v>
      </c>
      <c r="E10">
        <v>0</v>
      </c>
      <c r="F10">
        <v>0</v>
      </c>
      <c r="G10">
        <v>2.6602399999999998E-2</v>
      </c>
      <c r="H10" t="s">
        <v>89</v>
      </c>
      <c r="I10" t="s">
        <v>52</v>
      </c>
      <c r="J10" t="s">
        <v>52</v>
      </c>
      <c r="K10" t="s">
        <v>89</v>
      </c>
      <c r="L10" s="1">
        <v>112153</v>
      </c>
      <c r="M10" t="s">
        <v>90</v>
      </c>
      <c r="N10">
        <v>0.40835035529401598</v>
      </c>
      <c r="O10" t="s">
        <v>54</v>
      </c>
      <c r="P10" t="s">
        <v>55</v>
      </c>
      <c r="Q10">
        <v>600</v>
      </c>
      <c r="R10">
        <v>2.5000000000000001E-2</v>
      </c>
      <c r="S10" t="s">
        <v>56</v>
      </c>
      <c r="T10" t="s">
        <v>56</v>
      </c>
      <c r="U10" t="s">
        <v>57</v>
      </c>
      <c r="V10" t="s">
        <v>58</v>
      </c>
      <c r="W10">
        <v>3</v>
      </c>
      <c r="X10">
        <v>1</v>
      </c>
      <c r="Y10" t="s">
        <v>59</v>
      </c>
      <c r="Z10" t="s">
        <v>56</v>
      </c>
      <c r="AA10" t="s">
        <v>56</v>
      </c>
      <c r="AB10" t="s">
        <v>60</v>
      </c>
      <c r="AC10" t="s">
        <v>61</v>
      </c>
      <c r="AD10" t="s">
        <v>62</v>
      </c>
      <c r="AE10" t="s">
        <v>63</v>
      </c>
      <c r="AF10" t="s">
        <v>64</v>
      </c>
      <c r="AG10" t="s">
        <v>65</v>
      </c>
      <c r="AH10" t="s">
        <v>66</v>
      </c>
      <c r="AI10" t="s">
        <v>67</v>
      </c>
      <c r="AJ10" t="b">
        <v>0</v>
      </c>
      <c r="AK10" t="b">
        <v>1</v>
      </c>
      <c r="AL10">
        <v>1</v>
      </c>
      <c r="AM10">
        <v>1</v>
      </c>
      <c r="AN10" t="s">
        <v>77</v>
      </c>
      <c r="AO10" t="s">
        <v>73</v>
      </c>
      <c r="AP10">
        <v>1</v>
      </c>
      <c r="AQ10" t="b">
        <v>1</v>
      </c>
      <c r="AR10" t="s">
        <v>36</v>
      </c>
      <c r="AS10">
        <v>10000</v>
      </c>
      <c r="AT10">
        <v>1000</v>
      </c>
      <c r="AU10">
        <v>9504</v>
      </c>
      <c r="AV10" t="b">
        <v>1</v>
      </c>
      <c r="AW10" t="b">
        <v>0</v>
      </c>
      <c r="AX10" t="b">
        <v>1</v>
      </c>
      <c r="AY10" t="b">
        <v>0</v>
      </c>
      <c r="AZ10">
        <v>0</v>
      </c>
    </row>
    <row r="11" spans="1:52" x14ac:dyDescent="0.25">
      <c r="A11">
        <v>16</v>
      </c>
      <c r="B11" t="s">
        <v>91</v>
      </c>
      <c r="C11">
        <v>2300</v>
      </c>
      <c r="D11">
        <v>2.8512200000000001E-2</v>
      </c>
      <c r="E11">
        <v>0</v>
      </c>
      <c r="F11">
        <v>0</v>
      </c>
      <c r="G11">
        <v>2.8512200000000001E-2</v>
      </c>
      <c r="H11" t="s">
        <v>92</v>
      </c>
      <c r="I11" t="s">
        <v>52</v>
      </c>
      <c r="J11" t="s">
        <v>52</v>
      </c>
      <c r="K11" t="s">
        <v>92</v>
      </c>
      <c r="L11" s="1">
        <v>119165</v>
      </c>
      <c r="M11" t="s">
        <v>93</v>
      </c>
      <c r="N11">
        <v>0.48178002973397599</v>
      </c>
      <c r="O11" t="s">
        <v>54</v>
      </c>
      <c r="P11" t="s">
        <v>55</v>
      </c>
      <c r="Q11">
        <v>600</v>
      </c>
      <c r="R11">
        <v>2.5000000000000001E-2</v>
      </c>
      <c r="S11" t="s">
        <v>56</v>
      </c>
      <c r="T11" t="s">
        <v>56</v>
      </c>
      <c r="U11" t="s">
        <v>57</v>
      </c>
      <c r="V11" t="s">
        <v>58</v>
      </c>
      <c r="W11">
        <v>3</v>
      </c>
      <c r="X11">
        <v>1</v>
      </c>
      <c r="Y11" t="s">
        <v>59</v>
      </c>
      <c r="Z11" t="s">
        <v>56</v>
      </c>
      <c r="AA11" t="s">
        <v>56</v>
      </c>
      <c r="AB11" t="s">
        <v>60</v>
      </c>
      <c r="AC11" t="s">
        <v>61</v>
      </c>
      <c r="AD11" t="s">
        <v>62</v>
      </c>
      <c r="AE11" t="s">
        <v>63</v>
      </c>
      <c r="AF11" t="s">
        <v>64</v>
      </c>
      <c r="AG11" t="s">
        <v>65</v>
      </c>
      <c r="AH11" t="s">
        <v>66</v>
      </c>
      <c r="AI11" t="s">
        <v>67</v>
      </c>
      <c r="AJ11" t="b">
        <v>0</v>
      </c>
      <c r="AK11" t="b">
        <v>1</v>
      </c>
      <c r="AL11">
        <v>1</v>
      </c>
      <c r="AM11">
        <v>1</v>
      </c>
      <c r="AN11" t="s">
        <v>77</v>
      </c>
      <c r="AO11" t="s">
        <v>73</v>
      </c>
      <c r="AP11">
        <v>2</v>
      </c>
      <c r="AQ11" t="b">
        <v>1</v>
      </c>
      <c r="AR11" t="s">
        <v>36</v>
      </c>
      <c r="AS11">
        <v>10000</v>
      </c>
      <c r="AT11">
        <v>1000</v>
      </c>
      <c r="AU11">
        <v>2300</v>
      </c>
      <c r="AV11" t="b">
        <v>1</v>
      </c>
      <c r="AW11" t="b">
        <v>0</v>
      </c>
      <c r="AX11" t="b">
        <v>1</v>
      </c>
      <c r="AY11" t="b">
        <v>0</v>
      </c>
      <c r="AZ11">
        <v>0</v>
      </c>
    </row>
    <row r="12" spans="1:52" x14ac:dyDescent="0.25">
      <c r="A12">
        <v>17</v>
      </c>
      <c r="B12" t="s">
        <v>94</v>
      </c>
      <c r="C12">
        <v>97827</v>
      </c>
      <c r="D12">
        <v>2.76181E-2</v>
      </c>
      <c r="E12">
        <v>0</v>
      </c>
      <c r="F12">
        <v>0</v>
      </c>
      <c r="G12">
        <v>2.76181E-2</v>
      </c>
      <c r="H12" t="s">
        <v>95</v>
      </c>
      <c r="I12" t="s">
        <v>52</v>
      </c>
      <c r="J12" t="s">
        <v>52</v>
      </c>
      <c r="K12" t="s">
        <v>95</v>
      </c>
      <c r="L12" s="1">
        <v>17251</v>
      </c>
      <c r="M12" t="s">
        <v>96</v>
      </c>
      <c r="N12">
        <v>0.49427091611756202</v>
      </c>
      <c r="O12" t="s">
        <v>54</v>
      </c>
      <c r="P12" t="s">
        <v>55</v>
      </c>
      <c r="Q12">
        <v>400</v>
      </c>
      <c r="R12">
        <v>2.5000000000000001E-2</v>
      </c>
      <c r="S12" t="s">
        <v>56</v>
      </c>
      <c r="T12" t="s">
        <v>56</v>
      </c>
      <c r="U12" t="s">
        <v>57</v>
      </c>
      <c r="V12" t="s">
        <v>58</v>
      </c>
      <c r="W12">
        <v>3</v>
      </c>
      <c r="X12">
        <v>1</v>
      </c>
      <c r="Y12" t="s">
        <v>59</v>
      </c>
      <c r="Z12" t="s">
        <v>56</v>
      </c>
      <c r="AA12" t="s">
        <v>56</v>
      </c>
      <c r="AB12" t="s">
        <v>60</v>
      </c>
      <c r="AC12" t="s">
        <v>61</v>
      </c>
      <c r="AD12" t="s">
        <v>62</v>
      </c>
      <c r="AE12" t="s">
        <v>63</v>
      </c>
      <c r="AF12" t="s">
        <v>64</v>
      </c>
      <c r="AG12" t="s">
        <v>65</v>
      </c>
      <c r="AH12" t="s">
        <v>97</v>
      </c>
      <c r="AI12" t="s">
        <v>67</v>
      </c>
      <c r="AJ12" t="b">
        <v>0</v>
      </c>
      <c r="AK12" t="b">
        <v>0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68</v>
      </c>
      <c r="AS12">
        <v>10000</v>
      </c>
      <c r="AT12">
        <v>1000</v>
      </c>
      <c r="AU12">
        <v>97827</v>
      </c>
      <c r="AV12" t="b">
        <v>1</v>
      </c>
      <c r="AW12" t="b">
        <v>0</v>
      </c>
      <c r="AX12" t="b">
        <v>1</v>
      </c>
      <c r="AY12" t="b">
        <v>0</v>
      </c>
      <c r="AZ12">
        <v>0</v>
      </c>
    </row>
    <row r="13" spans="1:52" x14ac:dyDescent="0.25">
      <c r="A13">
        <v>18</v>
      </c>
      <c r="B13" t="s">
        <v>98</v>
      </c>
      <c r="C13">
        <v>70743</v>
      </c>
      <c r="D13">
        <v>2.6753900000000001E-2</v>
      </c>
      <c r="E13">
        <v>0</v>
      </c>
      <c r="F13">
        <v>0</v>
      </c>
      <c r="G13">
        <v>2.6753900000000001E-2</v>
      </c>
      <c r="H13" t="s">
        <v>99</v>
      </c>
      <c r="I13" t="s">
        <v>52</v>
      </c>
      <c r="J13" t="s">
        <v>52</v>
      </c>
      <c r="K13" t="s">
        <v>99</v>
      </c>
      <c r="L13" s="1">
        <v>18231</v>
      </c>
      <c r="M13" t="s">
        <v>100</v>
      </c>
      <c r="N13">
        <v>0.401345216963026</v>
      </c>
      <c r="O13" t="s">
        <v>54</v>
      </c>
      <c r="P13" t="s">
        <v>55</v>
      </c>
      <c r="Q13">
        <v>400</v>
      </c>
      <c r="R13">
        <v>2.5000000000000001E-2</v>
      </c>
      <c r="S13" t="s">
        <v>56</v>
      </c>
      <c r="T13" t="s">
        <v>56</v>
      </c>
      <c r="U13" t="s">
        <v>57</v>
      </c>
      <c r="V13" t="s">
        <v>58</v>
      </c>
      <c r="W13">
        <v>3</v>
      </c>
      <c r="X13">
        <v>1</v>
      </c>
      <c r="Y13" t="s">
        <v>59</v>
      </c>
      <c r="Z13" t="s">
        <v>56</v>
      </c>
      <c r="AA13" t="s">
        <v>56</v>
      </c>
      <c r="AB13" t="s">
        <v>60</v>
      </c>
      <c r="AC13" t="s">
        <v>61</v>
      </c>
      <c r="AD13" t="s">
        <v>62</v>
      </c>
      <c r="AE13" t="s">
        <v>63</v>
      </c>
      <c r="AF13" t="s">
        <v>64</v>
      </c>
      <c r="AG13" t="s">
        <v>65</v>
      </c>
      <c r="AH13" t="s">
        <v>97</v>
      </c>
      <c r="AI13" t="s">
        <v>67</v>
      </c>
      <c r="AJ13" t="b">
        <v>0</v>
      </c>
      <c r="AK13" t="b">
        <v>1</v>
      </c>
      <c r="AL13">
        <v>1</v>
      </c>
      <c r="AM13">
        <v>1</v>
      </c>
      <c r="AN13" t="s">
        <v>72</v>
      </c>
      <c r="AO13" t="s">
        <v>73</v>
      </c>
      <c r="AP13">
        <v>1</v>
      </c>
      <c r="AQ13" t="b">
        <v>0</v>
      </c>
      <c r="AR13" t="s">
        <v>68</v>
      </c>
      <c r="AS13">
        <v>10000</v>
      </c>
      <c r="AT13">
        <v>1000</v>
      </c>
      <c r="AU13">
        <v>70743</v>
      </c>
      <c r="AV13" t="b">
        <v>1</v>
      </c>
      <c r="AW13" t="b">
        <v>0</v>
      </c>
      <c r="AX13" t="b">
        <v>1</v>
      </c>
      <c r="AY13" t="b">
        <v>0</v>
      </c>
      <c r="AZ13">
        <v>0</v>
      </c>
    </row>
    <row r="14" spans="1:52" x14ac:dyDescent="0.25">
      <c r="A14">
        <v>19</v>
      </c>
      <c r="B14" t="s">
        <v>101</v>
      </c>
      <c r="C14">
        <v>2402</v>
      </c>
      <c r="D14">
        <v>2.7951400000000001E-2</v>
      </c>
      <c r="E14">
        <v>0</v>
      </c>
      <c r="F14">
        <v>0</v>
      </c>
      <c r="G14">
        <v>2.7951400000000001E-2</v>
      </c>
      <c r="H14" t="s">
        <v>102</v>
      </c>
      <c r="I14" t="s">
        <v>52</v>
      </c>
      <c r="J14" t="s">
        <v>52</v>
      </c>
      <c r="K14" t="s">
        <v>102</v>
      </c>
      <c r="L14" s="1">
        <v>26253</v>
      </c>
      <c r="M14" t="s">
        <v>103</v>
      </c>
      <c r="N14">
        <v>0.31265914168622799</v>
      </c>
      <c r="O14" t="s">
        <v>54</v>
      </c>
      <c r="P14" t="s">
        <v>55</v>
      </c>
      <c r="Q14">
        <v>400</v>
      </c>
      <c r="R14">
        <v>2.5000000000000001E-2</v>
      </c>
      <c r="S14" t="s">
        <v>56</v>
      </c>
      <c r="T14" t="s">
        <v>56</v>
      </c>
      <c r="U14" t="s">
        <v>57</v>
      </c>
      <c r="V14" t="s">
        <v>58</v>
      </c>
      <c r="W14">
        <v>3</v>
      </c>
      <c r="X14">
        <v>1</v>
      </c>
      <c r="Y14" t="s">
        <v>59</v>
      </c>
      <c r="Z14" t="s">
        <v>56</v>
      </c>
      <c r="AA14" t="s">
        <v>56</v>
      </c>
      <c r="AB14" t="s">
        <v>60</v>
      </c>
      <c r="AC14" t="s">
        <v>61</v>
      </c>
      <c r="AD14" t="s">
        <v>62</v>
      </c>
      <c r="AE14" t="s">
        <v>63</v>
      </c>
      <c r="AF14" t="s">
        <v>64</v>
      </c>
      <c r="AG14" t="s">
        <v>65</v>
      </c>
      <c r="AH14" t="s">
        <v>97</v>
      </c>
      <c r="AI14" t="s">
        <v>67</v>
      </c>
      <c r="AJ14" t="b">
        <v>0</v>
      </c>
      <c r="AK14" t="b">
        <v>1</v>
      </c>
      <c r="AL14">
        <v>1</v>
      </c>
      <c r="AM14">
        <v>1</v>
      </c>
      <c r="AN14" t="s">
        <v>77</v>
      </c>
      <c r="AO14" t="s">
        <v>78</v>
      </c>
      <c r="AP14">
        <v>0.5</v>
      </c>
      <c r="AQ14" t="b">
        <v>0</v>
      </c>
      <c r="AR14" t="s">
        <v>68</v>
      </c>
      <c r="AS14">
        <v>10000</v>
      </c>
      <c r="AT14">
        <v>1000</v>
      </c>
      <c r="AU14">
        <v>2402</v>
      </c>
      <c r="AV14" t="b">
        <v>1</v>
      </c>
      <c r="AW14" t="b">
        <v>0</v>
      </c>
      <c r="AX14" t="b">
        <v>1</v>
      </c>
      <c r="AY14" t="b">
        <v>0</v>
      </c>
      <c r="AZ14">
        <v>0</v>
      </c>
    </row>
    <row r="15" spans="1:52" x14ac:dyDescent="0.25">
      <c r="A15">
        <v>20</v>
      </c>
      <c r="B15" t="s">
        <v>104</v>
      </c>
      <c r="C15">
        <v>2637</v>
      </c>
      <c r="D15">
        <v>2.8054099999999998E-2</v>
      </c>
      <c r="E15">
        <v>0</v>
      </c>
      <c r="F15">
        <v>0</v>
      </c>
      <c r="G15">
        <v>2.8054099999999998E-2</v>
      </c>
      <c r="H15" t="s">
        <v>105</v>
      </c>
      <c r="I15" t="s">
        <v>52</v>
      </c>
      <c r="J15" t="s">
        <v>52</v>
      </c>
      <c r="K15" t="s">
        <v>105</v>
      </c>
      <c r="L15" s="1">
        <v>26256</v>
      </c>
      <c r="M15" t="s">
        <v>106</v>
      </c>
      <c r="N15">
        <v>0.40626117083761398</v>
      </c>
      <c r="O15" t="s">
        <v>54</v>
      </c>
      <c r="P15" t="s">
        <v>55</v>
      </c>
      <c r="Q15">
        <v>400</v>
      </c>
      <c r="R15">
        <v>2.5000000000000001E-2</v>
      </c>
      <c r="S15" t="s">
        <v>56</v>
      </c>
      <c r="T15" t="s">
        <v>56</v>
      </c>
      <c r="U15" t="s">
        <v>57</v>
      </c>
      <c r="V15" t="s">
        <v>58</v>
      </c>
      <c r="W15">
        <v>3</v>
      </c>
      <c r="X15">
        <v>1</v>
      </c>
      <c r="Y15" t="s">
        <v>59</v>
      </c>
      <c r="Z15" t="s">
        <v>56</v>
      </c>
      <c r="AA15" t="s">
        <v>56</v>
      </c>
      <c r="AB15" t="s">
        <v>60</v>
      </c>
      <c r="AC15" t="s">
        <v>61</v>
      </c>
      <c r="AD15" t="s">
        <v>62</v>
      </c>
      <c r="AE15" t="s">
        <v>63</v>
      </c>
      <c r="AF15" t="s">
        <v>64</v>
      </c>
      <c r="AG15" t="s">
        <v>65</v>
      </c>
      <c r="AH15" t="s">
        <v>97</v>
      </c>
      <c r="AI15" t="s">
        <v>67</v>
      </c>
      <c r="AJ15" t="b">
        <v>0</v>
      </c>
      <c r="AK15" t="b">
        <v>1</v>
      </c>
      <c r="AL15">
        <v>1</v>
      </c>
      <c r="AM15">
        <v>1</v>
      </c>
      <c r="AN15" t="s">
        <v>77</v>
      </c>
      <c r="AO15" t="s">
        <v>78</v>
      </c>
      <c r="AP15">
        <v>0.75</v>
      </c>
      <c r="AQ15" t="b">
        <v>1</v>
      </c>
      <c r="AR15" t="s">
        <v>36</v>
      </c>
      <c r="AS15">
        <v>10000</v>
      </c>
      <c r="AT15">
        <v>1000</v>
      </c>
      <c r="AU15">
        <v>2637</v>
      </c>
      <c r="AV15" t="b">
        <v>1</v>
      </c>
      <c r="AW15" t="b">
        <v>0</v>
      </c>
      <c r="AX15" t="b">
        <v>1</v>
      </c>
      <c r="AY15" t="b">
        <v>0</v>
      </c>
      <c r="AZ15">
        <v>0</v>
      </c>
    </row>
    <row r="16" spans="1:52" x14ac:dyDescent="0.25">
      <c r="A16">
        <v>21</v>
      </c>
      <c r="B16" t="s">
        <v>107</v>
      </c>
      <c r="C16">
        <v>499</v>
      </c>
      <c r="D16">
        <v>2.76753E-2</v>
      </c>
      <c r="E16">
        <v>0</v>
      </c>
      <c r="F16">
        <v>0</v>
      </c>
      <c r="G16">
        <v>2.76753E-2</v>
      </c>
      <c r="H16" t="s">
        <v>108</v>
      </c>
      <c r="I16" t="s">
        <v>52</v>
      </c>
      <c r="J16" t="s">
        <v>52</v>
      </c>
      <c r="K16" t="s">
        <v>108</v>
      </c>
      <c r="L16" s="1">
        <v>25256</v>
      </c>
      <c r="M16" t="s">
        <v>109</v>
      </c>
      <c r="N16">
        <v>0.31058361722363398</v>
      </c>
      <c r="O16" t="s">
        <v>54</v>
      </c>
      <c r="P16" t="s">
        <v>55</v>
      </c>
      <c r="Q16">
        <v>400</v>
      </c>
      <c r="R16">
        <v>2.5000000000000001E-2</v>
      </c>
      <c r="S16" t="s">
        <v>56</v>
      </c>
      <c r="T16" t="s">
        <v>56</v>
      </c>
      <c r="U16" t="s">
        <v>57</v>
      </c>
      <c r="V16" t="s">
        <v>58</v>
      </c>
      <c r="W16">
        <v>3</v>
      </c>
      <c r="X16">
        <v>1</v>
      </c>
      <c r="Y16" t="s">
        <v>59</v>
      </c>
      <c r="Z16" t="s">
        <v>56</v>
      </c>
      <c r="AA16" t="s">
        <v>56</v>
      </c>
      <c r="AB16" t="s">
        <v>60</v>
      </c>
      <c r="AC16" t="s">
        <v>61</v>
      </c>
      <c r="AD16" t="s">
        <v>62</v>
      </c>
      <c r="AE16" t="s">
        <v>63</v>
      </c>
      <c r="AF16" t="s">
        <v>64</v>
      </c>
      <c r="AG16" t="s">
        <v>65</v>
      </c>
      <c r="AH16" t="s">
        <v>97</v>
      </c>
      <c r="AI16" t="s">
        <v>67</v>
      </c>
      <c r="AJ16" t="b">
        <v>0</v>
      </c>
      <c r="AK16" t="b">
        <v>1</v>
      </c>
      <c r="AL16">
        <v>1</v>
      </c>
      <c r="AM16">
        <v>1</v>
      </c>
      <c r="AN16" t="s">
        <v>77</v>
      </c>
      <c r="AO16" t="s">
        <v>78</v>
      </c>
      <c r="AP16">
        <v>0.5</v>
      </c>
      <c r="AQ16" t="b">
        <v>1</v>
      </c>
      <c r="AR16" t="s">
        <v>36</v>
      </c>
      <c r="AS16">
        <v>10000</v>
      </c>
      <c r="AT16">
        <v>1000</v>
      </c>
      <c r="AU16">
        <v>499</v>
      </c>
      <c r="AV16" t="b">
        <v>1</v>
      </c>
      <c r="AW16" t="b">
        <v>0</v>
      </c>
      <c r="AX16" t="b">
        <v>1</v>
      </c>
      <c r="AY16" t="b">
        <v>0</v>
      </c>
      <c r="AZ16">
        <v>0</v>
      </c>
    </row>
    <row r="17" spans="1:52" x14ac:dyDescent="0.25">
      <c r="A17">
        <v>22</v>
      </c>
      <c r="B17" t="s">
        <v>110</v>
      </c>
      <c r="C17">
        <v>30953</v>
      </c>
      <c r="D17">
        <v>2.5810699999999999E-2</v>
      </c>
      <c r="E17">
        <v>0</v>
      </c>
      <c r="F17">
        <v>0</v>
      </c>
      <c r="G17">
        <v>2.5810699999999999E-2</v>
      </c>
      <c r="H17" t="s">
        <v>111</v>
      </c>
      <c r="I17" t="s">
        <v>52</v>
      </c>
      <c r="J17" t="s">
        <v>52</v>
      </c>
      <c r="K17" t="s">
        <v>111</v>
      </c>
      <c r="L17" s="1">
        <v>23223</v>
      </c>
      <c r="M17" t="s">
        <v>112</v>
      </c>
      <c r="N17">
        <v>0.18854299697611099</v>
      </c>
      <c r="O17" t="s">
        <v>54</v>
      </c>
      <c r="P17" t="s">
        <v>55</v>
      </c>
      <c r="Q17">
        <v>400</v>
      </c>
      <c r="R17">
        <v>2.5000000000000001E-2</v>
      </c>
      <c r="S17" t="s">
        <v>56</v>
      </c>
      <c r="T17" t="s">
        <v>56</v>
      </c>
      <c r="U17" t="s">
        <v>57</v>
      </c>
      <c r="V17" t="s">
        <v>58</v>
      </c>
      <c r="W17">
        <v>3</v>
      </c>
      <c r="X17">
        <v>1</v>
      </c>
      <c r="Y17" t="s">
        <v>59</v>
      </c>
      <c r="Z17" t="s">
        <v>56</v>
      </c>
      <c r="AA17" t="s">
        <v>56</v>
      </c>
      <c r="AB17" t="s">
        <v>60</v>
      </c>
      <c r="AC17" t="s">
        <v>61</v>
      </c>
      <c r="AD17" t="s">
        <v>62</v>
      </c>
      <c r="AE17" t="s">
        <v>63</v>
      </c>
      <c r="AF17" t="s">
        <v>64</v>
      </c>
      <c r="AG17" t="s">
        <v>65</v>
      </c>
      <c r="AH17" t="s">
        <v>97</v>
      </c>
      <c r="AI17" t="s">
        <v>67</v>
      </c>
      <c r="AJ17" t="b">
        <v>0</v>
      </c>
      <c r="AK17" t="b">
        <v>1</v>
      </c>
      <c r="AL17">
        <v>1</v>
      </c>
      <c r="AM17">
        <v>1</v>
      </c>
      <c r="AN17" t="s">
        <v>77</v>
      </c>
      <c r="AO17" t="s">
        <v>78</v>
      </c>
      <c r="AP17">
        <v>0.25</v>
      </c>
      <c r="AQ17" t="b">
        <v>1</v>
      </c>
      <c r="AR17" t="s">
        <v>36</v>
      </c>
      <c r="AS17">
        <v>10000</v>
      </c>
      <c r="AT17">
        <v>1000</v>
      </c>
      <c r="AU17">
        <v>30953</v>
      </c>
      <c r="AV17" t="b">
        <v>1</v>
      </c>
      <c r="AW17" t="b">
        <v>0</v>
      </c>
      <c r="AX17" t="b">
        <v>1</v>
      </c>
      <c r="AY17" t="b">
        <v>0</v>
      </c>
      <c r="AZ17">
        <v>0</v>
      </c>
    </row>
    <row r="18" spans="1:52" x14ac:dyDescent="0.25">
      <c r="A18">
        <v>23</v>
      </c>
      <c r="B18" t="s">
        <v>113</v>
      </c>
      <c r="C18">
        <v>59079</v>
      </c>
      <c r="D18">
        <v>2.69053E-2</v>
      </c>
      <c r="E18">
        <v>0</v>
      </c>
      <c r="F18">
        <v>0</v>
      </c>
      <c r="G18">
        <v>2.69053E-2</v>
      </c>
      <c r="H18" t="s">
        <v>114</v>
      </c>
      <c r="I18" t="s">
        <v>52</v>
      </c>
      <c r="J18" t="s">
        <v>52</v>
      </c>
      <c r="K18" t="s">
        <v>114</v>
      </c>
      <c r="L18" s="1">
        <v>17249</v>
      </c>
      <c r="M18" t="s">
        <v>115</v>
      </c>
      <c r="N18">
        <v>0.40371846112940002</v>
      </c>
      <c r="O18" t="s">
        <v>54</v>
      </c>
      <c r="P18" t="s">
        <v>55</v>
      </c>
      <c r="Q18">
        <v>400</v>
      </c>
      <c r="R18">
        <v>2.5000000000000001E-2</v>
      </c>
      <c r="S18" t="s">
        <v>56</v>
      </c>
      <c r="T18" t="s">
        <v>56</v>
      </c>
      <c r="U18" t="s">
        <v>57</v>
      </c>
      <c r="V18" t="s">
        <v>58</v>
      </c>
      <c r="W18">
        <v>3</v>
      </c>
      <c r="X18">
        <v>1</v>
      </c>
      <c r="Y18" t="s">
        <v>59</v>
      </c>
      <c r="Z18" t="s">
        <v>56</v>
      </c>
      <c r="AA18" t="s">
        <v>56</v>
      </c>
      <c r="AB18" t="s">
        <v>60</v>
      </c>
      <c r="AC18" t="s">
        <v>61</v>
      </c>
      <c r="AD18" t="s">
        <v>62</v>
      </c>
      <c r="AE18" t="s">
        <v>63</v>
      </c>
      <c r="AF18" t="s">
        <v>64</v>
      </c>
      <c r="AG18" t="s">
        <v>65</v>
      </c>
      <c r="AH18" t="s">
        <v>97</v>
      </c>
      <c r="AI18" t="s">
        <v>67</v>
      </c>
      <c r="AJ18" t="b">
        <v>0</v>
      </c>
      <c r="AK18" t="b">
        <v>1</v>
      </c>
      <c r="AL18">
        <v>1</v>
      </c>
      <c r="AM18">
        <v>1</v>
      </c>
      <c r="AN18" t="s">
        <v>77</v>
      </c>
      <c r="AO18" t="s">
        <v>73</v>
      </c>
      <c r="AP18">
        <v>1</v>
      </c>
      <c r="AQ18" t="b">
        <v>1</v>
      </c>
      <c r="AR18" t="s">
        <v>36</v>
      </c>
      <c r="AS18">
        <v>10000</v>
      </c>
      <c r="AT18">
        <v>1000</v>
      </c>
      <c r="AU18">
        <v>59079</v>
      </c>
      <c r="AV18" t="b">
        <v>1</v>
      </c>
      <c r="AW18" t="b">
        <v>0</v>
      </c>
      <c r="AX18" t="b">
        <v>1</v>
      </c>
      <c r="AY18" t="b">
        <v>0</v>
      </c>
      <c r="AZ18">
        <v>0</v>
      </c>
    </row>
    <row r="19" spans="1:52" x14ac:dyDescent="0.25">
      <c r="A19">
        <v>24</v>
      </c>
      <c r="B19" t="s">
        <v>116</v>
      </c>
      <c r="C19">
        <v>58217</v>
      </c>
      <c r="D19">
        <v>2.7331899999999999E-2</v>
      </c>
      <c r="E19">
        <v>0</v>
      </c>
      <c r="F19">
        <v>0</v>
      </c>
      <c r="G19">
        <v>2.7331899999999999E-2</v>
      </c>
      <c r="H19" t="s">
        <v>117</v>
      </c>
      <c r="I19" t="s">
        <v>52</v>
      </c>
      <c r="J19" t="s">
        <v>52</v>
      </c>
      <c r="K19" t="s">
        <v>117</v>
      </c>
      <c r="L19" s="1">
        <v>15255</v>
      </c>
      <c r="M19" t="s">
        <v>118</v>
      </c>
      <c r="N19">
        <v>0.48231559554735798</v>
      </c>
      <c r="O19" t="s">
        <v>54</v>
      </c>
      <c r="P19" t="s">
        <v>55</v>
      </c>
      <c r="Q19">
        <v>400</v>
      </c>
      <c r="R19">
        <v>2.5000000000000001E-2</v>
      </c>
      <c r="S19" t="s">
        <v>56</v>
      </c>
      <c r="T19" t="s">
        <v>56</v>
      </c>
      <c r="U19" t="s">
        <v>57</v>
      </c>
      <c r="V19" t="s">
        <v>58</v>
      </c>
      <c r="W19">
        <v>3</v>
      </c>
      <c r="X19">
        <v>1</v>
      </c>
      <c r="Y19" t="s">
        <v>59</v>
      </c>
      <c r="Z19" t="s">
        <v>56</v>
      </c>
      <c r="AA19" t="s">
        <v>56</v>
      </c>
      <c r="AB19" t="s">
        <v>60</v>
      </c>
      <c r="AC19" t="s">
        <v>61</v>
      </c>
      <c r="AD19" t="s">
        <v>62</v>
      </c>
      <c r="AE19" t="s">
        <v>63</v>
      </c>
      <c r="AF19" t="s">
        <v>64</v>
      </c>
      <c r="AG19" t="s">
        <v>65</v>
      </c>
      <c r="AH19" t="s">
        <v>97</v>
      </c>
      <c r="AI19" t="s">
        <v>67</v>
      </c>
      <c r="AJ19" t="b">
        <v>0</v>
      </c>
      <c r="AK19" t="b">
        <v>1</v>
      </c>
      <c r="AL19">
        <v>1</v>
      </c>
      <c r="AM19">
        <v>1</v>
      </c>
      <c r="AN19" t="s">
        <v>77</v>
      </c>
      <c r="AO19" t="s">
        <v>73</v>
      </c>
      <c r="AP19">
        <v>2</v>
      </c>
      <c r="AQ19" t="b">
        <v>1</v>
      </c>
      <c r="AR19" t="s">
        <v>36</v>
      </c>
      <c r="AS19">
        <v>10000</v>
      </c>
      <c r="AT19">
        <v>1000</v>
      </c>
      <c r="AU19">
        <v>58217</v>
      </c>
      <c r="AV19" t="b">
        <v>1</v>
      </c>
      <c r="AW19" t="b">
        <v>0</v>
      </c>
      <c r="AX19" t="b">
        <v>1</v>
      </c>
      <c r="AY19" t="b">
        <v>0</v>
      </c>
      <c r="AZ19">
        <v>0</v>
      </c>
    </row>
    <row r="20" spans="1:52" x14ac:dyDescent="0.25">
      <c r="A20">
        <v>25</v>
      </c>
      <c r="B20" t="s">
        <v>119</v>
      </c>
      <c r="C20">
        <v>97827</v>
      </c>
      <c r="D20">
        <v>2.6464499999999998E-2</v>
      </c>
      <c r="E20">
        <v>0</v>
      </c>
      <c r="F20">
        <v>0</v>
      </c>
      <c r="G20">
        <v>2.6464499999999998E-2</v>
      </c>
      <c r="H20" t="s">
        <v>120</v>
      </c>
      <c r="I20" t="s">
        <v>52</v>
      </c>
      <c r="J20" t="s">
        <v>52</v>
      </c>
      <c r="K20" t="s">
        <v>120</v>
      </c>
      <c r="L20" s="1">
        <v>17242</v>
      </c>
      <c r="M20" t="s">
        <v>121</v>
      </c>
      <c r="N20">
        <v>0.53759001718627097</v>
      </c>
      <c r="O20" t="s">
        <v>54</v>
      </c>
      <c r="P20" t="s">
        <v>55</v>
      </c>
      <c r="Q20">
        <v>400</v>
      </c>
      <c r="R20">
        <v>2.5000000000000001E-2</v>
      </c>
      <c r="S20" t="s">
        <v>56</v>
      </c>
      <c r="T20" t="s">
        <v>56</v>
      </c>
      <c r="U20" t="s">
        <v>57</v>
      </c>
      <c r="V20" t="s">
        <v>68</v>
      </c>
      <c r="W20">
        <v>3</v>
      </c>
      <c r="X20">
        <v>1</v>
      </c>
      <c r="Y20" t="s">
        <v>59</v>
      </c>
      <c r="Z20" t="s">
        <v>56</v>
      </c>
      <c r="AA20" t="s">
        <v>56</v>
      </c>
      <c r="AB20" t="s">
        <v>60</v>
      </c>
      <c r="AC20" t="s">
        <v>61</v>
      </c>
      <c r="AD20" t="s">
        <v>62</v>
      </c>
      <c r="AE20" t="s">
        <v>63</v>
      </c>
      <c r="AF20" t="s">
        <v>64</v>
      </c>
      <c r="AG20" t="s">
        <v>65</v>
      </c>
      <c r="AH20" t="s">
        <v>97</v>
      </c>
      <c r="AI20" t="s">
        <v>67</v>
      </c>
      <c r="AJ20" t="b">
        <v>0</v>
      </c>
      <c r="AK20" t="b">
        <v>0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68</v>
      </c>
      <c r="AS20">
        <v>10000</v>
      </c>
      <c r="AT20">
        <v>1000</v>
      </c>
      <c r="AU20">
        <v>97827</v>
      </c>
      <c r="AV20" t="b">
        <v>1</v>
      </c>
      <c r="AW20" t="b">
        <v>0</v>
      </c>
      <c r="AX20" t="b">
        <v>1</v>
      </c>
      <c r="AY20" t="b">
        <v>0</v>
      </c>
      <c r="AZ20">
        <v>0</v>
      </c>
    </row>
    <row r="21" spans="1:52" x14ac:dyDescent="0.25">
      <c r="A21">
        <v>26</v>
      </c>
      <c r="B21" t="s">
        <v>122</v>
      </c>
      <c r="C21">
        <v>70743</v>
      </c>
      <c r="D21">
        <v>2.5788599999999998E-2</v>
      </c>
      <c r="E21">
        <v>0</v>
      </c>
      <c r="F21">
        <v>0</v>
      </c>
      <c r="G21">
        <v>2.5788599999999998E-2</v>
      </c>
      <c r="H21" t="s">
        <v>123</v>
      </c>
      <c r="I21" t="s">
        <v>52</v>
      </c>
      <c r="J21" t="s">
        <v>52</v>
      </c>
      <c r="K21" t="s">
        <v>123</v>
      </c>
      <c r="L21" s="1">
        <v>18217</v>
      </c>
      <c r="M21" t="s">
        <v>124</v>
      </c>
      <c r="N21">
        <v>0.427678671942817</v>
      </c>
      <c r="O21" t="s">
        <v>54</v>
      </c>
      <c r="P21" t="s">
        <v>55</v>
      </c>
      <c r="Q21">
        <v>400</v>
      </c>
      <c r="R21">
        <v>2.5000000000000001E-2</v>
      </c>
      <c r="S21" t="s">
        <v>56</v>
      </c>
      <c r="T21" t="s">
        <v>56</v>
      </c>
      <c r="U21" t="s">
        <v>57</v>
      </c>
      <c r="V21" t="s">
        <v>68</v>
      </c>
      <c r="W21">
        <v>3</v>
      </c>
      <c r="X21">
        <v>1</v>
      </c>
      <c r="Y21" t="s">
        <v>59</v>
      </c>
      <c r="Z21" t="s">
        <v>56</v>
      </c>
      <c r="AA21" t="s">
        <v>56</v>
      </c>
      <c r="AB21" t="s">
        <v>60</v>
      </c>
      <c r="AC21" t="s">
        <v>61</v>
      </c>
      <c r="AD21" t="s">
        <v>62</v>
      </c>
      <c r="AE21" t="s">
        <v>63</v>
      </c>
      <c r="AF21" t="s">
        <v>64</v>
      </c>
      <c r="AG21" t="s">
        <v>65</v>
      </c>
      <c r="AH21" t="s">
        <v>97</v>
      </c>
      <c r="AI21" t="s">
        <v>67</v>
      </c>
      <c r="AJ21" t="b">
        <v>0</v>
      </c>
      <c r="AK21" t="b">
        <v>1</v>
      </c>
      <c r="AL21">
        <v>1</v>
      </c>
      <c r="AM21">
        <v>1</v>
      </c>
      <c r="AN21" t="s">
        <v>72</v>
      </c>
      <c r="AO21" t="s">
        <v>73</v>
      </c>
      <c r="AP21">
        <v>1</v>
      </c>
      <c r="AQ21" t="b">
        <v>0</v>
      </c>
      <c r="AR21" t="s">
        <v>68</v>
      </c>
      <c r="AS21">
        <v>10000</v>
      </c>
      <c r="AT21">
        <v>1000</v>
      </c>
      <c r="AU21">
        <v>70743</v>
      </c>
      <c r="AV21" t="b">
        <v>1</v>
      </c>
      <c r="AW21" t="b">
        <v>0</v>
      </c>
      <c r="AX21" t="b">
        <v>1</v>
      </c>
      <c r="AY21" t="b">
        <v>0</v>
      </c>
      <c r="AZ21">
        <v>0</v>
      </c>
    </row>
    <row r="22" spans="1:52" x14ac:dyDescent="0.25">
      <c r="A22">
        <v>27</v>
      </c>
      <c r="B22" t="s">
        <v>125</v>
      </c>
      <c r="C22">
        <v>2402</v>
      </c>
      <c r="D22">
        <v>2.7101799999999999E-2</v>
      </c>
      <c r="E22">
        <v>0</v>
      </c>
      <c r="F22">
        <v>0</v>
      </c>
      <c r="G22">
        <v>2.7101799999999999E-2</v>
      </c>
      <c r="H22" t="s">
        <v>126</v>
      </c>
      <c r="I22" t="s">
        <v>52</v>
      </c>
      <c r="J22" t="s">
        <v>52</v>
      </c>
      <c r="K22" t="s">
        <v>126</v>
      </c>
      <c r="L22" s="1">
        <v>26241</v>
      </c>
      <c r="M22" t="s">
        <v>127</v>
      </c>
      <c r="N22">
        <v>0.33808735774623</v>
      </c>
      <c r="O22" t="s">
        <v>54</v>
      </c>
      <c r="P22" t="s">
        <v>55</v>
      </c>
      <c r="Q22">
        <v>400</v>
      </c>
      <c r="R22">
        <v>2.5000000000000001E-2</v>
      </c>
      <c r="S22" t="s">
        <v>56</v>
      </c>
      <c r="T22" t="s">
        <v>56</v>
      </c>
      <c r="U22" t="s">
        <v>57</v>
      </c>
      <c r="V22" t="s">
        <v>68</v>
      </c>
      <c r="W22">
        <v>3</v>
      </c>
      <c r="X22">
        <v>1</v>
      </c>
      <c r="Y22" t="s">
        <v>59</v>
      </c>
      <c r="Z22" t="s">
        <v>56</v>
      </c>
      <c r="AA22" t="s">
        <v>56</v>
      </c>
      <c r="AB22" t="s">
        <v>60</v>
      </c>
      <c r="AC22" t="s">
        <v>61</v>
      </c>
      <c r="AD22" t="s">
        <v>62</v>
      </c>
      <c r="AE22" t="s">
        <v>63</v>
      </c>
      <c r="AF22" t="s">
        <v>64</v>
      </c>
      <c r="AG22" t="s">
        <v>65</v>
      </c>
      <c r="AH22" t="s">
        <v>97</v>
      </c>
      <c r="AI22" t="s">
        <v>67</v>
      </c>
      <c r="AJ22" t="b">
        <v>0</v>
      </c>
      <c r="AK22" t="b">
        <v>1</v>
      </c>
      <c r="AL22">
        <v>1</v>
      </c>
      <c r="AM22">
        <v>1</v>
      </c>
      <c r="AN22" t="s">
        <v>77</v>
      </c>
      <c r="AO22" t="s">
        <v>78</v>
      </c>
      <c r="AP22">
        <v>0.5</v>
      </c>
      <c r="AQ22" t="b">
        <v>0</v>
      </c>
      <c r="AR22" t="s">
        <v>68</v>
      </c>
      <c r="AS22">
        <v>10000</v>
      </c>
      <c r="AT22">
        <v>1000</v>
      </c>
      <c r="AU22">
        <v>2402</v>
      </c>
      <c r="AV22" t="b">
        <v>1</v>
      </c>
      <c r="AW22" t="b">
        <v>0</v>
      </c>
      <c r="AX22" t="b">
        <v>1</v>
      </c>
      <c r="AY22" t="b">
        <v>0</v>
      </c>
      <c r="AZ22">
        <v>0</v>
      </c>
    </row>
    <row r="23" spans="1:52" x14ac:dyDescent="0.25">
      <c r="A23">
        <v>28</v>
      </c>
      <c r="B23" t="s">
        <v>128</v>
      </c>
      <c r="C23">
        <v>2637</v>
      </c>
      <c r="D23">
        <v>2.7215199999999998E-2</v>
      </c>
      <c r="E23">
        <v>0</v>
      </c>
      <c r="F23">
        <v>0</v>
      </c>
      <c r="G23">
        <v>2.7215199999999998E-2</v>
      </c>
      <c r="H23" t="s">
        <v>129</v>
      </c>
      <c r="I23" t="s">
        <v>52</v>
      </c>
      <c r="J23" t="s">
        <v>52</v>
      </c>
      <c r="K23" t="s">
        <v>129</v>
      </c>
      <c r="L23" s="1">
        <v>26244</v>
      </c>
      <c r="M23" t="s">
        <v>130</v>
      </c>
      <c r="N23">
        <v>0.443563080562486</v>
      </c>
      <c r="O23" t="s">
        <v>54</v>
      </c>
      <c r="P23" t="s">
        <v>55</v>
      </c>
      <c r="Q23">
        <v>400</v>
      </c>
      <c r="R23">
        <v>2.5000000000000001E-2</v>
      </c>
      <c r="S23" t="s">
        <v>56</v>
      </c>
      <c r="T23" t="s">
        <v>56</v>
      </c>
      <c r="U23" t="s">
        <v>57</v>
      </c>
      <c r="V23" t="s">
        <v>68</v>
      </c>
      <c r="W23">
        <v>3</v>
      </c>
      <c r="X23">
        <v>1</v>
      </c>
      <c r="Y23" t="s">
        <v>59</v>
      </c>
      <c r="Z23" t="s">
        <v>56</v>
      </c>
      <c r="AA23" t="s">
        <v>56</v>
      </c>
      <c r="AB23" t="s">
        <v>60</v>
      </c>
      <c r="AC23" t="s">
        <v>61</v>
      </c>
      <c r="AD23" t="s">
        <v>62</v>
      </c>
      <c r="AE23" t="s">
        <v>63</v>
      </c>
      <c r="AF23" t="s">
        <v>64</v>
      </c>
      <c r="AG23" t="s">
        <v>65</v>
      </c>
      <c r="AH23" t="s">
        <v>97</v>
      </c>
      <c r="AI23" t="s">
        <v>67</v>
      </c>
      <c r="AJ23" t="b">
        <v>0</v>
      </c>
      <c r="AK23" t="b">
        <v>1</v>
      </c>
      <c r="AL23">
        <v>1</v>
      </c>
      <c r="AM23">
        <v>1</v>
      </c>
      <c r="AN23" t="s">
        <v>77</v>
      </c>
      <c r="AO23" t="s">
        <v>78</v>
      </c>
      <c r="AP23">
        <v>0.75</v>
      </c>
      <c r="AQ23" t="b">
        <v>1</v>
      </c>
      <c r="AR23" t="s">
        <v>36</v>
      </c>
      <c r="AS23">
        <v>10000</v>
      </c>
      <c r="AT23">
        <v>1000</v>
      </c>
      <c r="AU23">
        <v>2637</v>
      </c>
      <c r="AV23" t="b">
        <v>1</v>
      </c>
      <c r="AW23" t="b">
        <v>0</v>
      </c>
      <c r="AX23" t="b">
        <v>1</v>
      </c>
      <c r="AY23" t="b">
        <v>0</v>
      </c>
      <c r="AZ23">
        <v>0</v>
      </c>
    </row>
    <row r="24" spans="1:52" x14ac:dyDescent="0.25">
      <c r="A24">
        <v>29</v>
      </c>
      <c r="B24" t="s">
        <v>131</v>
      </c>
      <c r="C24">
        <v>499</v>
      </c>
      <c r="D24">
        <v>2.6939999999999999E-2</v>
      </c>
      <c r="E24">
        <v>0</v>
      </c>
      <c r="F24">
        <v>0</v>
      </c>
      <c r="G24">
        <v>2.6939999999999999E-2</v>
      </c>
      <c r="H24" t="s">
        <v>132</v>
      </c>
      <c r="I24" t="s">
        <v>52</v>
      </c>
      <c r="J24" t="s">
        <v>52</v>
      </c>
      <c r="K24" t="s">
        <v>132</v>
      </c>
      <c r="L24" s="1">
        <v>25246</v>
      </c>
      <c r="M24" t="s">
        <v>133</v>
      </c>
      <c r="N24">
        <v>0.34065521167384299</v>
      </c>
      <c r="O24" t="s">
        <v>54</v>
      </c>
      <c r="P24" t="s">
        <v>55</v>
      </c>
      <c r="Q24">
        <v>400</v>
      </c>
      <c r="R24">
        <v>2.5000000000000001E-2</v>
      </c>
      <c r="S24" t="s">
        <v>56</v>
      </c>
      <c r="T24" t="s">
        <v>56</v>
      </c>
      <c r="U24" t="s">
        <v>57</v>
      </c>
      <c r="V24" t="s">
        <v>68</v>
      </c>
      <c r="W24">
        <v>3</v>
      </c>
      <c r="X24">
        <v>1</v>
      </c>
      <c r="Y24" t="s">
        <v>59</v>
      </c>
      <c r="Z24" t="s">
        <v>56</v>
      </c>
      <c r="AA24" t="s">
        <v>56</v>
      </c>
      <c r="AB24" t="s">
        <v>60</v>
      </c>
      <c r="AC24" t="s">
        <v>61</v>
      </c>
      <c r="AD24" t="s">
        <v>62</v>
      </c>
      <c r="AE24" t="s">
        <v>63</v>
      </c>
      <c r="AF24" t="s">
        <v>64</v>
      </c>
      <c r="AG24" t="s">
        <v>65</v>
      </c>
      <c r="AH24" t="s">
        <v>97</v>
      </c>
      <c r="AI24" t="s">
        <v>67</v>
      </c>
      <c r="AJ24" t="b">
        <v>0</v>
      </c>
      <c r="AK24" t="b">
        <v>1</v>
      </c>
      <c r="AL24">
        <v>1</v>
      </c>
      <c r="AM24">
        <v>1</v>
      </c>
      <c r="AN24" t="s">
        <v>77</v>
      </c>
      <c r="AO24" t="s">
        <v>78</v>
      </c>
      <c r="AP24">
        <v>0.5</v>
      </c>
      <c r="AQ24" t="b">
        <v>1</v>
      </c>
      <c r="AR24" t="s">
        <v>36</v>
      </c>
      <c r="AS24">
        <v>10000</v>
      </c>
      <c r="AT24">
        <v>1000</v>
      </c>
      <c r="AU24">
        <v>499</v>
      </c>
      <c r="AV24" t="b">
        <v>1</v>
      </c>
      <c r="AW24" t="b">
        <v>0</v>
      </c>
      <c r="AX24" t="b">
        <v>1</v>
      </c>
      <c r="AY24" t="b">
        <v>0</v>
      </c>
      <c r="AZ24">
        <v>0</v>
      </c>
    </row>
    <row r="25" spans="1:52" x14ac:dyDescent="0.25">
      <c r="A25">
        <v>30</v>
      </c>
      <c r="B25" t="s">
        <v>134</v>
      </c>
      <c r="C25">
        <v>30953</v>
      </c>
      <c r="D25">
        <v>2.53111E-2</v>
      </c>
      <c r="E25">
        <v>0</v>
      </c>
      <c r="F25">
        <v>0</v>
      </c>
      <c r="G25">
        <v>2.53111E-2</v>
      </c>
      <c r="H25" t="s">
        <v>135</v>
      </c>
      <c r="I25" t="s">
        <v>52</v>
      </c>
      <c r="J25" t="s">
        <v>52</v>
      </c>
      <c r="K25" t="s">
        <v>135</v>
      </c>
      <c r="L25" s="1">
        <v>23218</v>
      </c>
      <c r="M25" t="s">
        <v>136</v>
      </c>
      <c r="N25">
        <v>0.204602145221498</v>
      </c>
      <c r="O25" t="s">
        <v>54</v>
      </c>
      <c r="P25" t="s">
        <v>55</v>
      </c>
      <c r="Q25">
        <v>400</v>
      </c>
      <c r="R25">
        <v>2.5000000000000001E-2</v>
      </c>
      <c r="S25" t="s">
        <v>56</v>
      </c>
      <c r="T25" t="s">
        <v>56</v>
      </c>
      <c r="U25" t="s">
        <v>57</v>
      </c>
      <c r="V25" t="s">
        <v>68</v>
      </c>
      <c r="W25">
        <v>3</v>
      </c>
      <c r="X25">
        <v>1</v>
      </c>
      <c r="Y25" t="s">
        <v>59</v>
      </c>
      <c r="Z25" t="s">
        <v>56</v>
      </c>
      <c r="AA25" t="s">
        <v>56</v>
      </c>
      <c r="AB25" t="s">
        <v>60</v>
      </c>
      <c r="AC25" t="s">
        <v>61</v>
      </c>
      <c r="AD25" t="s">
        <v>62</v>
      </c>
      <c r="AE25" t="s">
        <v>63</v>
      </c>
      <c r="AF25" t="s">
        <v>64</v>
      </c>
      <c r="AG25" t="s">
        <v>65</v>
      </c>
      <c r="AH25" t="s">
        <v>97</v>
      </c>
      <c r="AI25" t="s">
        <v>67</v>
      </c>
      <c r="AJ25" t="b">
        <v>0</v>
      </c>
      <c r="AK25" t="b">
        <v>1</v>
      </c>
      <c r="AL25">
        <v>1</v>
      </c>
      <c r="AM25">
        <v>1</v>
      </c>
      <c r="AN25" t="s">
        <v>77</v>
      </c>
      <c r="AO25" t="s">
        <v>78</v>
      </c>
      <c r="AP25">
        <v>0.25</v>
      </c>
      <c r="AQ25" t="b">
        <v>1</v>
      </c>
      <c r="AR25" t="s">
        <v>36</v>
      </c>
      <c r="AS25">
        <v>10000</v>
      </c>
      <c r="AT25">
        <v>1000</v>
      </c>
      <c r="AU25">
        <v>30953</v>
      </c>
      <c r="AV25" t="b">
        <v>1</v>
      </c>
      <c r="AW25" t="b">
        <v>0</v>
      </c>
      <c r="AX25" t="b">
        <v>1</v>
      </c>
      <c r="AY25" t="b">
        <v>0</v>
      </c>
      <c r="AZ25">
        <v>0</v>
      </c>
    </row>
    <row r="26" spans="1:52" x14ac:dyDescent="0.25">
      <c r="A26">
        <v>31</v>
      </c>
      <c r="B26" t="s">
        <v>137</v>
      </c>
      <c r="C26">
        <v>59079</v>
      </c>
      <c r="D26">
        <v>2.6077599999999999E-2</v>
      </c>
      <c r="E26">
        <v>0</v>
      </c>
      <c r="F26">
        <v>0</v>
      </c>
      <c r="G26">
        <v>2.6077599999999999E-2</v>
      </c>
      <c r="H26" t="s">
        <v>138</v>
      </c>
      <c r="I26" t="s">
        <v>52</v>
      </c>
      <c r="J26" t="s">
        <v>52</v>
      </c>
      <c r="K26" t="s">
        <v>138</v>
      </c>
      <c r="L26" s="1">
        <v>17240</v>
      </c>
      <c r="M26" t="s">
        <v>139</v>
      </c>
      <c r="N26">
        <v>0.43762330445978398</v>
      </c>
      <c r="O26" t="s">
        <v>54</v>
      </c>
      <c r="P26" t="s">
        <v>55</v>
      </c>
      <c r="Q26">
        <v>400</v>
      </c>
      <c r="R26">
        <v>2.5000000000000001E-2</v>
      </c>
      <c r="S26" t="s">
        <v>56</v>
      </c>
      <c r="T26" t="s">
        <v>56</v>
      </c>
      <c r="U26" t="s">
        <v>57</v>
      </c>
      <c r="V26" t="s">
        <v>68</v>
      </c>
      <c r="W26">
        <v>3</v>
      </c>
      <c r="X26">
        <v>1</v>
      </c>
      <c r="Y26" t="s">
        <v>59</v>
      </c>
      <c r="Z26" t="s">
        <v>56</v>
      </c>
      <c r="AA26" t="s">
        <v>56</v>
      </c>
      <c r="AB26" t="s">
        <v>60</v>
      </c>
      <c r="AC26" t="s">
        <v>61</v>
      </c>
      <c r="AD26" t="s">
        <v>62</v>
      </c>
      <c r="AE26" t="s">
        <v>63</v>
      </c>
      <c r="AF26" t="s">
        <v>64</v>
      </c>
      <c r="AG26" t="s">
        <v>65</v>
      </c>
      <c r="AH26" t="s">
        <v>97</v>
      </c>
      <c r="AI26" t="s">
        <v>67</v>
      </c>
      <c r="AJ26" t="b">
        <v>0</v>
      </c>
      <c r="AK26" t="b">
        <v>1</v>
      </c>
      <c r="AL26">
        <v>1</v>
      </c>
      <c r="AM26">
        <v>1</v>
      </c>
      <c r="AN26" t="s">
        <v>77</v>
      </c>
      <c r="AO26" t="s">
        <v>73</v>
      </c>
      <c r="AP26">
        <v>1</v>
      </c>
      <c r="AQ26" t="b">
        <v>1</v>
      </c>
      <c r="AR26" t="s">
        <v>36</v>
      </c>
      <c r="AS26">
        <v>10000</v>
      </c>
      <c r="AT26">
        <v>1000</v>
      </c>
      <c r="AU26">
        <v>59079</v>
      </c>
      <c r="AV26" t="b">
        <v>1</v>
      </c>
      <c r="AW26" t="b">
        <v>0</v>
      </c>
      <c r="AX26" t="b">
        <v>1</v>
      </c>
      <c r="AY26" t="b">
        <v>0</v>
      </c>
      <c r="AZ26">
        <v>0</v>
      </c>
    </row>
    <row r="27" spans="1:52" x14ac:dyDescent="0.25">
      <c r="A27">
        <v>32</v>
      </c>
      <c r="B27" t="s">
        <v>140</v>
      </c>
      <c r="C27">
        <v>58217</v>
      </c>
      <c r="D27">
        <v>2.6402200000000001E-2</v>
      </c>
      <c r="E27">
        <v>0</v>
      </c>
      <c r="F27">
        <v>0</v>
      </c>
      <c r="G27">
        <v>2.6402200000000001E-2</v>
      </c>
      <c r="H27" t="s">
        <v>141</v>
      </c>
      <c r="I27" t="s">
        <v>52</v>
      </c>
      <c r="J27" t="s">
        <v>52</v>
      </c>
      <c r="K27" t="s">
        <v>141</v>
      </c>
      <c r="L27" s="1">
        <v>15244</v>
      </c>
      <c r="M27" t="s">
        <v>142</v>
      </c>
      <c r="N27">
        <v>0.522002159489526</v>
      </c>
      <c r="O27" t="s">
        <v>54</v>
      </c>
      <c r="P27" t="s">
        <v>55</v>
      </c>
      <c r="Q27">
        <v>400</v>
      </c>
      <c r="R27">
        <v>2.5000000000000001E-2</v>
      </c>
      <c r="S27" t="s">
        <v>56</v>
      </c>
      <c r="T27" t="s">
        <v>56</v>
      </c>
      <c r="U27" t="s">
        <v>57</v>
      </c>
      <c r="V27" t="s">
        <v>68</v>
      </c>
      <c r="W27">
        <v>3</v>
      </c>
      <c r="X27">
        <v>1</v>
      </c>
      <c r="Y27" t="s">
        <v>59</v>
      </c>
      <c r="Z27" t="s">
        <v>56</v>
      </c>
      <c r="AA27" t="s">
        <v>56</v>
      </c>
      <c r="AB27" t="s">
        <v>60</v>
      </c>
      <c r="AC27" t="s">
        <v>61</v>
      </c>
      <c r="AD27" t="s">
        <v>62</v>
      </c>
      <c r="AE27" t="s">
        <v>63</v>
      </c>
      <c r="AF27" t="s">
        <v>64</v>
      </c>
      <c r="AG27" t="s">
        <v>65</v>
      </c>
      <c r="AH27" t="s">
        <v>97</v>
      </c>
      <c r="AI27" t="s">
        <v>67</v>
      </c>
      <c r="AJ27" t="b">
        <v>0</v>
      </c>
      <c r="AK27" t="b">
        <v>1</v>
      </c>
      <c r="AL27">
        <v>1</v>
      </c>
      <c r="AM27">
        <v>1</v>
      </c>
      <c r="AN27" t="s">
        <v>77</v>
      </c>
      <c r="AO27" t="s">
        <v>73</v>
      </c>
      <c r="AP27">
        <v>2</v>
      </c>
      <c r="AQ27" t="b">
        <v>1</v>
      </c>
      <c r="AR27" t="s">
        <v>36</v>
      </c>
      <c r="AS27">
        <v>10000</v>
      </c>
      <c r="AT27">
        <v>1000</v>
      </c>
      <c r="AU27">
        <v>58217</v>
      </c>
      <c r="AV27" t="b">
        <v>1</v>
      </c>
      <c r="AW27" t="b">
        <v>0</v>
      </c>
      <c r="AX27" t="b">
        <v>1</v>
      </c>
      <c r="AY27" t="b">
        <v>0</v>
      </c>
      <c r="AZ27">
        <v>0</v>
      </c>
    </row>
    <row r="28" spans="1:52" x14ac:dyDescent="0.25">
      <c r="A28">
        <v>33</v>
      </c>
      <c r="B28" t="s">
        <v>143</v>
      </c>
      <c r="C28">
        <v>64564</v>
      </c>
      <c r="D28">
        <v>2.71547E-2</v>
      </c>
      <c r="E28">
        <v>0</v>
      </c>
      <c r="F28">
        <v>0</v>
      </c>
      <c r="G28">
        <v>2.71547E-2</v>
      </c>
      <c r="H28" t="s">
        <v>144</v>
      </c>
      <c r="I28" t="s">
        <v>52</v>
      </c>
      <c r="J28" t="s">
        <v>52</v>
      </c>
      <c r="K28" t="s">
        <v>144</v>
      </c>
      <c r="L28" s="1">
        <v>127146</v>
      </c>
      <c r="M28" t="s">
        <v>145</v>
      </c>
      <c r="N28">
        <v>0.49432706892490402</v>
      </c>
      <c r="O28" t="s">
        <v>54</v>
      </c>
      <c r="P28" t="s">
        <v>55</v>
      </c>
      <c r="Q28">
        <v>600</v>
      </c>
      <c r="R28">
        <v>2.5000000000000001E-2</v>
      </c>
      <c r="S28" t="s">
        <v>56</v>
      </c>
      <c r="T28" t="s">
        <v>56</v>
      </c>
      <c r="U28" t="s">
        <v>57</v>
      </c>
      <c r="V28" t="s">
        <v>58</v>
      </c>
      <c r="W28">
        <v>3</v>
      </c>
      <c r="X28">
        <v>1</v>
      </c>
      <c r="Y28" t="s">
        <v>59</v>
      </c>
      <c r="Z28" t="s">
        <v>56</v>
      </c>
      <c r="AA28" t="s">
        <v>56</v>
      </c>
      <c r="AB28" t="s">
        <v>60</v>
      </c>
      <c r="AC28" t="s">
        <v>61</v>
      </c>
      <c r="AD28" t="s">
        <v>62</v>
      </c>
      <c r="AE28" t="s">
        <v>63</v>
      </c>
      <c r="AF28" t="s">
        <v>64</v>
      </c>
      <c r="AG28" t="s">
        <v>65</v>
      </c>
      <c r="AH28" t="s">
        <v>66</v>
      </c>
      <c r="AI28" t="s">
        <v>67</v>
      </c>
      <c r="AJ28" t="b">
        <v>0</v>
      </c>
      <c r="AK28" t="b">
        <v>0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68</v>
      </c>
      <c r="AS28">
        <v>10000</v>
      </c>
      <c r="AT28">
        <v>1000</v>
      </c>
      <c r="AU28">
        <v>64564</v>
      </c>
      <c r="AV28" t="b">
        <v>1</v>
      </c>
      <c r="AW28" t="b">
        <v>0</v>
      </c>
      <c r="AX28" t="b">
        <v>1</v>
      </c>
      <c r="AY28" t="b">
        <v>1</v>
      </c>
      <c r="AZ28">
        <v>0</v>
      </c>
    </row>
    <row r="29" spans="1:52" x14ac:dyDescent="0.25">
      <c r="A29">
        <v>34</v>
      </c>
      <c r="B29" t="s">
        <v>146</v>
      </c>
      <c r="C29">
        <v>73236</v>
      </c>
      <c r="D29">
        <v>2.1980300000000001E-2</v>
      </c>
      <c r="E29">
        <v>0</v>
      </c>
      <c r="F29">
        <v>0</v>
      </c>
      <c r="G29">
        <v>2.1980300000000001E-2</v>
      </c>
      <c r="H29" t="s">
        <v>147</v>
      </c>
      <c r="I29" t="s">
        <v>52</v>
      </c>
      <c r="J29" t="s">
        <v>52</v>
      </c>
      <c r="K29" t="s">
        <v>147</v>
      </c>
      <c r="L29" s="1">
        <v>88142</v>
      </c>
      <c r="M29" t="s">
        <v>148</v>
      </c>
      <c r="N29">
        <v>0.41498524665832498</v>
      </c>
      <c r="O29" t="s">
        <v>54</v>
      </c>
      <c r="P29" t="s">
        <v>55</v>
      </c>
      <c r="Q29">
        <v>600</v>
      </c>
      <c r="R29">
        <v>2.5000000000000001E-2</v>
      </c>
      <c r="S29" t="s">
        <v>56</v>
      </c>
      <c r="T29" t="s">
        <v>56</v>
      </c>
      <c r="U29" t="s">
        <v>57</v>
      </c>
      <c r="V29" t="s">
        <v>58</v>
      </c>
      <c r="W29">
        <v>3</v>
      </c>
      <c r="X29">
        <v>1</v>
      </c>
      <c r="Y29" t="s">
        <v>59</v>
      </c>
      <c r="Z29" t="s">
        <v>56</v>
      </c>
      <c r="AA29" t="s">
        <v>56</v>
      </c>
      <c r="AB29" t="s">
        <v>60</v>
      </c>
      <c r="AC29" t="s">
        <v>61</v>
      </c>
      <c r="AD29" t="s">
        <v>62</v>
      </c>
      <c r="AE29" t="s">
        <v>63</v>
      </c>
      <c r="AF29" t="s">
        <v>64</v>
      </c>
      <c r="AG29" t="s">
        <v>65</v>
      </c>
      <c r="AH29" t="s">
        <v>66</v>
      </c>
      <c r="AI29" t="s">
        <v>67</v>
      </c>
      <c r="AJ29" t="b">
        <v>0</v>
      </c>
      <c r="AK29" t="b">
        <v>1</v>
      </c>
      <c r="AL29">
        <v>1</v>
      </c>
      <c r="AM29">
        <v>1</v>
      </c>
      <c r="AN29" t="s">
        <v>72</v>
      </c>
      <c r="AO29" t="s">
        <v>73</v>
      </c>
      <c r="AP29">
        <v>1</v>
      </c>
      <c r="AQ29" t="b">
        <v>0</v>
      </c>
      <c r="AR29" t="s">
        <v>68</v>
      </c>
      <c r="AS29">
        <v>10000</v>
      </c>
      <c r="AT29">
        <v>1000</v>
      </c>
      <c r="AU29">
        <v>73236</v>
      </c>
      <c r="AV29" t="b">
        <v>1</v>
      </c>
      <c r="AW29" t="b">
        <v>0</v>
      </c>
      <c r="AX29" t="b">
        <v>1</v>
      </c>
      <c r="AY29" t="b">
        <v>1</v>
      </c>
      <c r="AZ29">
        <v>1</v>
      </c>
    </row>
    <row r="30" spans="1:52" x14ac:dyDescent="0.25">
      <c r="A30">
        <v>35</v>
      </c>
      <c r="B30" t="s">
        <v>149</v>
      </c>
      <c r="C30">
        <v>11111</v>
      </c>
      <c r="D30">
        <v>2.4547800000000002E-2</v>
      </c>
      <c r="E30">
        <v>0</v>
      </c>
      <c r="F30">
        <v>0</v>
      </c>
      <c r="G30">
        <v>2.4547800000000002E-2</v>
      </c>
      <c r="H30" t="s">
        <v>150</v>
      </c>
      <c r="I30" t="s">
        <v>52</v>
      </c>
      <c r="J30" t="s">
        <v>52</v>
      </c>
      <c r="K30" t="s">
        <v>150</v>
      </c>
      <c r="L30" s="1">
        <v>106130</v>
      </c>
      <c r="M30" t="s">
        <v>151</v>
      </c>
      <c r="N30">
        <v>0.31611529641681202</v>
      </c>
      <c r="O30" t="s">
        <v>54</v>
      </c>
      <c r="P30" t="s">
        <v>55</v>
      </c>
      <c r="Q30">
        <v>600</v>
      </c>
      <c r="R30">
        <v>2.5000000000000001E-2</v>
      </c>
      <c r="S30" t="s">
        <v>56</v>
      </c>
      <c r="T30" t="s">
        <v>56</v>
      </c>
      <c r="U30" t="s">
        <v>57</v>
      </c>
      <c r="V30" t="s">
        <v>58</v>
      </c>
      <c r="W30">
        <v>3</v>
      </c>
      <c r="X30">
        <v>1</v>
      </c>
      <c r="Y30" t="s">
        <v>59</v>
      </c>
      <c r="Z30" t="s">
        <v>56</v>
      </c>
      <c r="AA30" t="s">
        <v>56</v>
      </c>
      <c r="AB30" t="s">
        <v>60</v>
      </c>
      <c r="AC30" t="s">
        <v>61</v>
      </c>
      <c r="AD30" t="s">
        <v>62</v>
      </c>
      <c r="AE30" t="s">
        <v>63</v>
      </c>
      <c r="AF30" t="s">
        <v>64</v>
      </c>
      <c r="AG30" t="s">
        <v>65</v>
      </c>
      <c r="AH30" t="s">
        <v>66</v>
      </c>
      <c r="AI30" t="s">
        <v>67</v>
      </c>
      <c r="AJ30" t="b">
        <v>0</v>
      </c>
      <c r="AK30" t="b">
        <v>1</v>
      </c>
      <c r="AL30">
        <v>1</v>
      </c>
      <c r="AM30">
        <v>1</v>
      </c>
      <c r="AN30" t="s">
        <v>77</v>
      </c>
      <c r="AO30" t="s">
        <v>78</v>
      </c>
      <c r="AP30">
        <v>0.5</v>
      </c>
      <c r="AQ30" t="b">
        <v>0</v>
      </c>
      <c r="AR30" t="s">
        <v>68</v>
      </c>
      <c r="AS30">
        <v>10000</v>
      </c>
      <c r="AT30">
        <v>1000</v>
      </c>
      <c r="AU30">
        <v>11111</v>
      </c>
      <c r="AV30" t="b">
        <v>1</v>
      </c>
      <c r="AW30" t="b">
        <v>0</v>
      </c>
      <c r="AX30" t="b">
        <v>1</v>
      </c>
      <c r="AY30" t="b">
        <v>1</v>
      </c>
      <c r="AZ30">
        <v>1</v>
      </c>
    </row>
    <row r="31" spans="1:52" x14ac:dyDescent="0.25">
      <c r="A31">
        <v>36</v>
      </c>
      <c r="B31" t="s">
        <v>152</v>
      </c>
      <c r="C31">
        <v>343</v>
      </c>
      <c r="D31">
        <v>2.6209799999999998E-2</v>
      </c>
      <c r="E31">
        <v>0</v>
      </c>
      <c r="F31">
        <v>0</v>
      </c>
      <c r="G31">
        <v>2.6209799999999998E-2</v>
      </c>
      <c r="H31" t="s">
        <v>153</v>
      </c>
      <c r="I31" t="s">
        <v>52</v>
      </c>
      <c r="J31" t="s">
        <v>52</v>
      </c>
      <c r="K31" t="s">
        <v>153</v>
      </c>
      <c r="L31" s="1">
        <v>117131</v>
      </c>
      <c r="M31" t="s">
        <v>154</v>
      </c>
      <c r="N31">
        <v>0.412236529456245</v>
      </c>
      <c r="O31" t="s">
        <v>54</v>
      </c>
      <c r="P31" t="s">
        <v>55</v>
      </c>
      <c r="Q31">
        <v>600</v>
      </c>
      <c r="R31">
        <v>2.5000000000000001E-2</v>
      </c>
      <c r="S31" t="s">
        <v>56</v>
      </c>
      <c r="T31" t="s">
        <v>56</v>
      </c>
      <c r="U31" t="s">
        <v>57</v>
      </c>
      <c r="V31" t="s">
        <v>58</v>
      </c>
      <c r="W31">
        <v>3</v>
      </c>
      <c r="X31">
        <v>1</v>
      </c>
      <c r="Y31" t="s">
        <v>59</v>
      </c>
      <c r="Z31" t="s">
        <v>56</v>
      </c>
      <c r="AA31" t="s">
        <v>56</v>
      </c>
      <c r="AB31" t="s">
        <v>60</v>
      </c>
      <c r="AC31" t="s">
        <v>61</v>
      </c>
      <c r="AD31" t="s">
        <v>62</v>
      </c>
      <c r="AE31" t="s">
        <v>63</v>
      </c>
      <c r="AF31" t="s">
        <v>64</v>
      </c>
      <c r="AG31" t="s">
        <v>65</v>
      </c>
      <c r="AH31" t="s">
        <v>66</v>
      </c>
      <c r="AI31" t="s">
        <v>67</v>
      </c>
      <c r="AJ31" t="b">
        <v>0</v>
      </c>
      <c r="AK31" t="b">
        <v>1</v>
      </c>
      <c r="AL31">
        <v>1</v>
      </c>
      <c r="AM31">
        <v>1</v>
      </c>
      <c r="AN31" t="s">
        <v>77</v>
      </c>
      <c r="AO31" t="s">
        <v>78</v>
      </c>
      <c r="AP31">
        <v>0.75</v>
      </c>
      <c r="AQ31" t="b">
        <v>1</v>
      </c>
      <c r="AR31" t="s">
        <v>36</v>
      </c>
      <c r="AS31">
        <v>10000</v>
      </c>
      <c r="AT31">
        <v>1000</v>
      </c>
      <c r="AU31">
        <v>343</v>
      </c>
      <c r="AV31" t="b">
        <v>1</v>
      </c>
      <c r="AW31" t="b">
        <v>0</v>
      </c>
      <c r="AX31" t="b">
        <v>1</v>
      </c>
      <c r="AY31" t="b">
        <v>1</v>
      </c>
      <c r="AZ31">
        <v>0</v>
      </c>
    </row>
    <row r="32" spans="1:52" x14ac:dyDescent="0.25">
      <c r="A32">
        <v>37</v>
      </c>
      <c r="B32" t="s">
        <v>155</v>
      </c>
      <c r="C32">
        <v>84234</v>
      </c>
      <c r="D32">
        <v>2.4305899999999998E-2</v>
      </c>
      <c r="E32">
        <v>0</v>
      </c>
      <c r="F32">
        <v>0</v>
      </c>
      <c r="G32">
        <v>2.4305899999999998E-2</v>
      </c>
      <c r="H32" t="s">
        <v>156</v>
      </c>
      <c r="I32" t="s">
        <v>52</v>
      </c>
      <c r="J32" t="s">
        <v>52</v>
      </c>
      <c r="K32" t="s">
        <v>156</v>
      </c>
      <c r="L32" s="1">
        <v>97152</v>
      </c>
      <c r="M32" t="s">
        <v>157</v>
      </c>
      <c r="N32">
        <v>0.31648878720071599</v>
      </c>
      <c r="O32" t="s">
        <v>54</v>
      </c>
      <c r="P32" t="s">
        <v>55</v>
      </c>
      <c r="Q32">
        <v>600</v>
      </c>
      <c r="R32">
        <v>2.5000000000000001E-2</v>
      </c>
      <c r="S32" t="s">
        <v>56</v>
      </c>
      <c r="T32" t="s">
        <v>56</v>
      </c>
      <c r="U32" t="s">
        <v>57</v>
      </c>
      <c r="V32" t="s">
        <v>58</v>
      </c>
      <c r="W32">
        <v>3</v>
      </c>
      <c r="X32">
        <v>1</v>
      </c>
      <c r="Y32" t="s">
        <v>59</v>
      </c>
      <c r="Z32" t="s">
        <v>56</v>
      </c>
      <c r="AA32" t="s">
        <v>56</v>
      </c>
      <c r="AB32" t="s">
        <v>60</v>
      </c>
      <c r="AC32" t="s">
        <v>61</v>
      </c>
      <c r="AD32" t="s">
        <v>62</v>
      </c>
      <c r="AE32" t="s">
        <v>63</v>
      </c>
      <c r="AF32" t="s">
        <v>64</v>
      </c>
      <c r="AG32" t="s">
        <v>65</v>
      </c>
      <c r="AH32" t="s">
        <v>66</v>
      </c>
      <c r="AI32" t="s">
        <v>67</v>
      </c>
      <c r="AJ32" t="b">
        <v>0</v>
      </c>
      <c r="AK32" t="b">
        <v>1</v>
      </c>
      <c r="AL32">
        <v>1</v>
      </c>
      <c r="AM32">
        <v>1</v>
      </c>
      <c r="AN32" t="s">
        <v>77</v>
      </c>
      <c r="AO32" t="s">
        <v>78</v>
      </c>
      <c r="AP32">
        <v>0.5</v>
      </c>
      <c r="AQ32" t="b">
        <v>1</v>
      </c>
      <c r="AR32" t="s">
        <v>36</v>
      </c>
      <c r="AS32">
        <v>10000</v>
      </c>
      <c r="AT32">
        <v>1000</v>
      </c>
      <c r="AU32">
        <v>84234</v>
      </c>
      <c r="AV32" t="b">
        <v>1</v>
      </c>
      <c r="AW32" t="b">
        <v>0</v>
      </c>
      <c r="AX32" t="b">
        <v>1</v>
      </c>
      <c r="AY32" t="b">
        <v>1</v>
      </c>
      <c r="AZ32">
        <v>1</v>
      </c>
    </row>
    <row r="33" spans="1:52" x14ac:dyDescent="0.25">
      <c r="A33">
        <v>38</v>
      </c>
      <c r="B33" t="s">
        <v>158</v>
      </c>
      <c r="C33">
        <v>4346</v>
      </c>
      <c r="D33">
        <v>2.5780600000000001E-2</v>
      </c>
      <c r="E33">
        <v>0</v>
      </c>
      <c r="F33">
        <v>0</v>
      </c>
      <c r="G33">
        <v>2.5780600000000001E-2</v>
      </c>
      <c r="H33" t="s">
        <v>159</v>
      </c>
      <c r="I33" t="s">
        <v>52</v>
      </c>
      <c r="J33" t="s">
        <v>52</v>
      </c>
      <c r="K33" t="s">
        <v>159</v>
      </c>
      <c r="L33" s="1">
        <v>109138</v>
      </c>
      <c r="M33" t="s">
        <v>160</v>
      </c>
      <c r="N33">
        <v>0.18557304528024501</v>
      </c>
      <c r="O33" t="s">
        <v>54</v>
      </c>
      <c r="P33" t="s">
        <v>55</v>
      </c>
      <c r="Q33">
        <v>600</v>
      </c>
      <c r="R33">
        <v>2.5000000000000001E-2</v>
      </c>
      <c r="S33" t="s">
        <v>56</v>
      </c>
      <c r="T33" t="s">
        <v>56</v>
      </c>
      <c r="U33" t="s">
        <v>57</v>
      </c>
      <c r="V33" t="s">
        <v>58</v>
      </c>
      <c r="W33">
        <v>3</v>
      </c>
      <c r="X33">
        <v>1</v>
      </c>
      <c r="Y33" t="s">
        <v>59</v>
      </c>
      <c r="Z33" t="s">
        <v>56</v>
      </c>
      <c r="AA33" t="s">
        <v>56</v>
      </c>
      <c r="AB33" t="s">
        <v>60</v>
      </c>
      <c r="AC33" t="s">
        <v>61</v>
      </c>
      <c r="AD33" t="s">
        <v>62</v>
      </c>
      <c r="AE33" t="s">
        <v>63</v>
      </c>
      <c r="AF33" t="s">
        <v>64</v>
      </c>
      <c r="AG33" t="s">
        <v>65</v>
      </c>
      <c r="AH33" t="s">
        <v>66</v>
      </c>
      <c r="AI33" t="s">
        <v>67</v>
      </c>
      <c r="AJ33" t="b">
        <v>0</v>
      </c>
      <c r="AK33" t="b">
        <v>1</v>
      </c>
      <c r="AL33">
        <v>1</v>
      </c>
      <c r="AM33">
        <v>1</v>
      </c>
      <c r="AN33" t="s">
        <v>77</v>
      </c>
      <c r="AO33" t="s">
        <v>78</v>
      </c>
      <c r="AP33">
        <v>0.25</v>
      </c>
      <c r="AQ33" t="b">
        <v>1</v>
      </c>
      <c r="AR33" t="s">
        <v>36</v>
      </c>
      <c r="AS33">
        <v>10000</v>
      </c>
      <c r="AT33">
        <v>1000</v>
      </c>
      <c r="AU33">
        <v>4346</v>
      </c>
      <c r="AV33" t="b">
        <v>1</v>
      </c>
      <c r="AW33" t="b">
        <v>0</v>
      </c>
      <c r="AX33" t="b">
        <v>1</v>
      </c>
      <c r="AY33" t="b">
        <v>1</v>
      </c>
      <c r="AZ33">
        <v>0</v>
      </c>
    </row>
    <row r="34" spans="1:52" x14ac:dyDescent="0.25">
      <c r="A34">
        <v>39</v>
      </c>
      <c r="B34" t="s">
        <v>161</v>
      </c>
      <c r="C34">
        <v>9504</v>
      </c>
      <c r="D34">
        <v>2.5461500000000001E-2</v>
      </c>
      <c r="E34">
        <v>0</v>
      </c>
      <c r="F34">
        <v>0</v>
      </c>
      <c r="G34">
        <v>2.5461500000000001E-2</v>
      </c>
      <c r="H34" t="s">
        <v>162</v>
      </c>
      <c r="I34" t="s">
        <v>52</v>
      </c>
      <c r="J34" t="s">
        <v>52</v>
      </c>
      <c r="K34" t="s">
        <v>162</v>
      </c>
      <c r="L34" s="1">
        <v>108142</v>
      </c>
      <c r="M34" t="s">
        <v>163</v>
      </c>
      <c r="N34">
        <v>0.41557102329201201</v>
      </c>
      <c r="O34" t="s">
        <v>54</v>
      </c>
      <c r="P34" t="s">
        <v>55</v>
      </c>
      <c r="Q34">
        <v>600</v>
      </c>
      <c r="R34">
        <v>2.5000000000000001E-2</v>
      </c>
      <c r="S34" t="s">
        <v>56</v>
      </c>
      <c r="T34" t="s">
        <v>56</v>
      </c>
      <c r="U34" t="s">
        <v>57</v>
      </c>
      <c r="V34" t="s">
        <v>58</v>
      </c>
      <c r="W34">
        <v>3</v>
      </c>
      <c r="X34">
        <v>1</v>
      </c>
      <c r="Y34" t="s">
        <v>59</v>
      </c>
      <c r="Z34" t="s">
        <v>56</v>
      </c>
      <c r="AA34" t="s">
        <v>56</v>
      </c>
      <c r="AB34" t="s">
        <v>60</v>
      </c>
      <c r="AC34" t="s">
        <v>61</v>
      </c>
      <c r="AD34" t="s">
        <v>62</v>
      </c>
      <c r="AE34" t="s">
        <v>63</v>
      </c>
      <c r="AF34" t="s">
        <v>64</v>
      </c>
      <c r="AG34" t="s">
        <v>65</v>
      </c>
      <c r="AH34" t="s">
        <v>66</v>
      </c>
      <c r="AI34" t="s">
        <v>67</v>
      </c>
      <c r="AJ34" t="b">
        <v>0</v>
      </c>
      <c r="AK34" t="b">
        <v>1</v>
      </c>
      <c r="AL34">
        <v>1</v>
      </c>
      <c r="AM34">
        <v>1</v>
      </c>
      <c r="AN34" t="s">
        <v>77</v>
      </c>
      <c r="AO34" t="s">
        <v>73</v>
      </c>
      <c r="AP34">
        <v>1</v>
      </c>
      <c r="AQ34" t="b">
        <v>1</v>
      </c>
      <c r="AR34" t="s">
        <v>36</v>
      </c>
      <c r="AS34">
        <v>10000</v>
      </c>
      <c r="AT34">
        <v>1000</v>
      </c>
      <c r="AU34">
        <v>9504</v>
      </c>
      <c r="AV34" t="b">
        <v>1</v>
      </c>
      <c r="AW34" t="b">
        <v>0</v>
      </c>
      <c r="AX34" t="b">
        <v>1</v>
      </c>
      <c r="AY34" t="b">
        <v>1</v>
      </c>
      <c r="AZ34">
        <v>0</v>
      </c>
    </row>
    <row r="35" spans="1:52" x14ac:dyDescent="0.25">
      <c r="A35">
        <v>40</v>
      </c>
      <c r="B35" t="s">
        <v>164</v>
      </c>
      <c r="C35">
        <v>2300</v>
      </c>
      <c r="D35">
        <v>2.64572E-2</v>
      </c>
      <c r="E35">
        <v>0</v>
      </c>
      <c r="F35">
        <v>0</v>
      </c>
      <c r="G35">
        <v>2.64572E-2</v>
      </c>
      <c r="H35" t="s">
        <v>165</v>
      </c>
      <c r="I35" t="s">
        <v>52</v>
      </c>
      <c r="J35" t="s">
        <v>52</v>
      </c>
      <c r="K35" t="s">
        <v>165</v>
      </c>
      <c r="L35" s="1">
        <v>113152</v>
      </c>
      <c r="M35" t="s">
        <v>166</v>
      </c>
      <c r="N35">
        <v>0.48262190421422302</v>
      </c>
      <c r="O35" t="s">
        <v>54</v>
      </c>
      <c r="P35" t="s">
        <v>55</v>
      </c>
      <c r="Q35">
        <v>600</v>
      </c>
      <c r="R35">
        <v>2.5000000000000001E-2</v>
      </c>
      <c r="S35" t="s">
        <v>56</v>
      </c>
      <c r="T35" t="s">
        <v>56</v>
      </c>
      <c r="U35" t="s">
        <v>57</v>
      </c>
      <c r="V35" t="s">
        <v>58</v>
      </c>
      <c r="W35">
        <v>3</v>
      </c>
      <c r="X35">
        <v>1</v>
      </c>
      <c r="Y35" t="s">
        <v>59</v>
      </c>
      <c r="Z35" t="s">
        <v>56</v>
      </c>
      <c r="AA35" t="s">
        <v>56</v>
      </c>
      <c r="AB35" t="s">
        <v>60</v>
      </c>
      <c r="AC35" t="s">
        <v>61</v>
      </c>
      <c r="AD35" t="s">
        <v>62</v>
      </c>
      <c r="AE35" t="s">
        <v>63</v>
      </c>
      <c r="AF35" t="s">
        <v>64</v>
      </c>
      <c r="AG35" t="s">
        <v>65</v>
      </c>
      <c r="AH35" t="s">
        <v>66</v>
      </c>
      <c r="AI35" t="s">
        <v>67</v>
      </c>
      <c r="AJ35" t="b">
        <v>0</v>
      </c>
      <c r="AK35" t="b">
        <v>1</v>
      </c>
      <c r="AL35">
        <v>1</v>
      </c>
      <c r="AM35">
        <v>1</v>
      </c>
      <c r="AN35" t="s">
        <v>77</v>
      </c>
      <c r="AO35" t="s">
        <v>73</v>
      </c>
      <c r="AP35">
        <v>2</v>
      </c>
      <c r="AQ35" t="b">
        <v>1</v>
      </c>
      <c r="AR35" t="s">
        <v>36</v>
      </c>
      <c r="AS35">
        <v>10000</v>
      </c>
      <c r="AT35">
        <v>1000</v>
      </c>
      <c r="AU35">
        <v>2300</v>
      </c>
      <c r="AV35" t="b">
        <v>1</v>
      </c>
      <c r="AW35" t="b">
        <v>0</v>
      </c>
      <c r="AX35" t="b">
        <v>1</v>
      </c>
      <c r="AY35" t="b">
        <v>1</v>
      </c>
      <c r="AZ35">
        <v>0</v>
      </c>
    </row>
    <row r="36" spans="1:52" x14ac:dyDescent="0.25">
      <c r="A36">
        <v>41</v>
      </c>
      <c r="B36" t="s">
        <v>167</v>
      </c>
      <c r="C36">
        <v>97827</v>
      </c>
      <c r="D36">
        <v>2.5337599999999998E-2</v>
      </c>
      <c r="E36">
        <v>0</v>
      </c>
      <c r="F36">
        <v>0</v>
      </c>
      <c r="G36">
        <v>2.5337599999999998E-2</v>
      </c>
      <c r="H36" t="s">
        <v>168</v>
      </c>
      <c r="I36" t="s">
        <v>52</v>
      </c>
      <c r="J36" t="s">
        <v>52</v>
      </c>
      <c r="K36" t="s">
        <v>168</v>
      </c>
      <c r="L36" s="1">
        <v>14232</v>
      </c>
      <c r="M36" t="s">
        <v>169</v>
      </c>
      <c r="N36">
        <v>0.50311535941229901</v>
      </c>
      <c r="O36" t="s">
        <v>54</v>
      </c>
      <c r="P36" t="s">
        <v>55</v>
      </c>
      <c r="Q36">
        <v>400</v>
      </c>
      <c r="R36">
        <v>2.5000000000000001E-2</v>
      </c>
      <c r="S36" t="s">
        <v>56</v>
      </c>
      <c r="T36" t="s">
        <v>56</v>
      </c>
      <c r="U36" t="s">
        <v>57</v>
      </c>
      <c r="V36" t="s">
        <v>58</v>
      </c>
      <c r="W36">
        <v>3</v>
      </c>
      <c r="X36">
        <v>1</v>
      </c>
      <c r="Y36" t="s">
        <v>59</v>
      </c>
      <c r="Z36" t="s">
        <v>56</v>
      </c>
      <c r="AA36" t="s">
        <v>56</v>
      </c>
      <c r="AB36" t="s">
        <v>60</v>
      </c>
      <c r="AC36" t="s">
        <v>61</v>
      </c>
      <c r="AD36" t="s">
        <v>62</v>
      </c>
      <c r="AE36" t="s">
        <v>63</v>
      </c>
      <c r="AF36" t="s">
        <v>64</v>
      </c>
      <c r="AG36" t="s">
        <v>65</v>
      </c>
      <c r="AH36" t="s">
        <v>97</v>
      </c>
      <c r="AI36" t="s">
        <v>67</v>
      </c>
      <c r="AJ36" t="b">
        <v>0</v>
      </c>
      <c r="AK36" t="b">
        <v>0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68</v>
      </c>
      <c r="AS36">
        <v>10000</v>
      </c>
      <c r="AT36">
        <v>1000</v>
      </c>
      <c r="AU36">
        <v>97827</v>
      </c>
      <c r="AV36" t="b">
        <v>1</v>
      </c>
      <c r="AW36" t="b">
        <v>0</v>
      </c>
      <c r="AX36" t="b">
        <v>1</v>
      </c>
      <c r="AY36" t="b">
        <v>1</v>
      </c>
      <c r="AZ36">
        <v>0</v>
      </c>
    </row>
    <row r="37" spans="1:52" x14ac:dyDescent="0.25">
      <c r="A37">
        <v>42</v>
      </c>
      <c r="B37" t="s">
        <v>170</v>
      </c>
      <c r="C37">
        <v>70743</v>
      </c>
      <c r="D37">
        <v>2.4609300000000001E-2</v>
      </c>
      <c r="E37">
        <v>0</v>
      </c>
      <c r="F37">
        <v>0</v>
      </c>
      <c r="G37">
        <v>2.4609300000000001E-2</v>
      </c>
      <c r="H37" t="s">
        <v>171</v>
      </c>
      <c r="I37" t="s">
        <v>52</v>
      </c>
      <c r="J37" t="s">
        <v>52</v>
      </c>
      <c r="K37" t="s">
        <v>171</v>
      </c>
      <c r="L37" s="1">
        <v>15206</v>
      </c>
      <c r="M37" t="s">
        <v>172</v>
      </c>
      <c r="N37">
        <v>0.409016712241703</v>
      </c>
      <c r="O37" t="s">
        <v>54</v>
      </c>
      <c r="P37" t="s">
        <v>55</v>
      </c>
      <c r="Q37">
        <v>400</v>
      </c>
      <c r="R37">
        <v>2.5000000000000001E-2</v>
      </c>
      <c r="S37" t="s">
        <v>56</v>
      </c>
      <c r="T37" t="s">
        <v>56</v>
      </c>
      <c r="U37" t="s">
        <v>57</v>
      </c>
      <c r="V37" t="s">
        <v>58</v>
      </c>
      <c r="W37">
        <v>3</v>
      </c>
      <c r="X37">
        <v>1</v>
      </c>
      <c r="Y37" t="s">
        <v>59</v>
      </c>
      <c r="Z37" t="s">
        <v>56</v>
      </c>
      <c r="AA37" t="s">
        <v>56</v>
      </c>
      <c r="AB37" t="s">
        <v>60</v>
      </c>
      <c r="AC37" t="s">
        <v>61</v>
      </c>
      <c r="AD37" t="s">
        <v>62</v>
      </c>
      <c r="AE37" t="s">
        <v>63</v>
      </c>
      <c r="AF37" t="s">
        <v>64</v>
      </c>
      <c r="AG37" t="s">
        <v>65</v>
      </c>
      <c r="AH37" t="s">
        <v>97</v>
      </c>
      <c r="AI37" t="s">
        <v>67</v>
      </c>
      <c r="AJ37" t="b">
        <v>0</v>
      </c>
      <c r="AK37" t="b">
        <v>1</v>
      </c>
      <c r="AL37">
        <v>1</v>
      </c>
      <c r="AM37">
        <v>1</v>
      </c>
      <c r="AN37" t="s">
        <v>72</v>
      </c>
      <c r="AO37" t="s">
        <v>73</v>
      </c>
      <c r="AP37">
        <v>1</v>
      </c>
      <c r="AQ37" t="b">
        <v>0</v>
      </c>
      <c r="AR37" t="s">
        <v>68</v>
      </c>
      <c r="AS37">
        <v>10000</v>
      </c>
      <c r="AT37">
        <v>1000</v>
      </c>
      <c r="AU37">
        <v>70743</v>
      </c>
      <c r="AV37" t="b">
        <v>1</v>
      </c>
      <c r="AW37" t="b">
        <v>0</v>
      </c>
      <c r="AX37" t="b">
        <v>1</v>
      </c>
      <c r="AY37" t="b">
        <v>1</v>
      </c>
      <c r="AZ37">
        <v>1</v>
      </c>
    </row>
    <row r="38" spans="1:52" x14ac:dyDescent="0.25">
      <c r="A38">
        <v>43</v>
      </c>
      <c r="B38" t="s">
        <v>173</v>
      </c>
      <c r="C38">
        <v>2402</v>
      </c>
      <c r="D38">
        <v>2.55775E-2</v>
      </c>
      <c r="E38">
        <v>0</v>
      </c>
      <c r="F38">
        <v>0</v>
      </c>
      <c r="G38">
        <v>2.55775E-2</v>
      </c>
      <c r="H38" t="s">
        <v>174</v>
      </c>
      <c r="I38" t="s">
        <v>52</v>
      </c>
      <c r="J38" t="s">
        <v>52</v>
      </c>
      <c r="K38" t="s">
        <v>174</v>
      </c>
      <c r="L38" s="1">
        <v>21239</v>
      </c>
      <c r="M38" t="s">
        <v>175</v>
      </c>
      <c r="N38">
        <v>0.31583988805611901</v>
      </c>
      <c r="O38" t="s">
        <v>54</v>
      </c>
      <c r="P38" t="s">
        <v>55</v>
      </c>
      <c r="Q38">
        <v>400</v>
      </c>
      <c r="R38">
        <v>2.5000000000000001E-2</v>
      </c>
      <c r="S38" t="s">
        <v>56</v>
      </c>
      <c r="T38" t="s">
        <v>56</v>
      </c>
      <c r="U38" t="s">
        <v>57</v>
      </c>
      <c r="V38" t="s">
        <v>58</v>
      </c>
      <c r="W38">
        <v>3</v>
      </c>
      <c r="X38">
        <v>1</v>
      </c>
      <c r="Y38" t="s">
        <v>59</v>
      </c>
      <c r="Z38" t="s">
        <v>56</v>
      </c>
      <c r="AA38" t="s">
        <v>56</v>
      </c>
      <c r="AB38" t="s">
        <v>60</v>
      </c>
      <c r="AC38" t="s">
        <v>61</v>
      </c>
      <c r="AD38" t="s">
        <v>62</v>
      </c>
      <c r="AE38" t="s">
        <v>63</v>
      </c>
      <c r="AF38" t="s">
        <v>64</v>
      </c>
      <c r="AG38" t="s">
        <v>65</v>
      </c>
      <c r="AH38" t="s">
        <v>97</v>
      </c>
      <c r="AI38" t="s">
        <v>67</v>
      </c>
      <c r="AJ38" t="b">
        <v>0</v>
      </c>
      <c r="AK38" t="b">
        <v>1</v>
      </c>
      <c r="AL38">
        <v>1</v>
      </c>
      <c r="AM38">
        <v>1</v>
      </c>
      <c r="AN38" t="s">
        <v>77</v>
      </c>
      <c r="AO38" t="s">
        <v>78</v>
      </c>
      <c r="AP38">
        <v>0.5</v>
      </c>
      <c r="AQ38" t="b">
        <v>0</v>
      </c>
      <c r="AR38" t="s">
        <v>68</v>
      </c>
      <c r="AS38">
        <v>10000</v>
      </c>
      <c r="AT38">
        <v>1000</v>
      </c>
      <c r="AU38">
        <v>2402</v>
      </c>
      <c r="AV38" t="b">
        <v>1</v>
      </c>
      <c r="AW38" t="b">
        <v>0</v>
      </c>
      <c r="AX38" t="b">
        <v>1</v>
      </c>
      <c r="AY38" t="b">
        <v>1</v>
      </c>
      <c r="AZ38">
        <v>0</v>
      </c>
    </row>
    <row r="39" spans="1:52" x14ac:dyDescent="0.25">
      <c r="A39">
        <v>44</v>
      </c>
      <c r="B39" t="s">
        <v>176</v>
      </c>
      <c r="C39">
        <v>2637</v>
      </c>
      <c r="D39">
        <v>2.56914E-2</v>
      </c>
      <c r="E39">
        <v>0</v>
      </c>
      <c r="F39">
        <v>0</v>
      </c>
      <c r="G39">
        <v>2.56914E-2</v>
      </c>
      <c r="H39" t="s">
        <v>177</v>
      </c>
      <c r="I39" t="s">
        <v>52</v>
      </c>
      <c r="J39" t="s">
        <v>52</v>
      </c>
      <c r="K39" t="s">
        <v>177</v>
      </c>
      <c r="L39" s="1">
        <v>21241</v>
      </c>
      <c r="M39" t="s">
        <v>178</v>
      </c>
      <c r="N39">
        <v>0.41663615359200401</v>
      </c>
      <c r="O39" t="s">
        <v>54</v>
      </c>
      <c r="P39" t="s">
        <v>55</v>
      </c>
      <c r="Q39">
        <v>400</v>
      </c>
      <c r="R39">
        <v>2.5000000000000001E-2</v>
      </c>
      <c r="S39" t="s">
        <v>56</v>
      </c>
      <c r="T39" t="s">
        <v>56</v>
      </c>
      <c r="U39" t="s">
        <v>57</v>
      </c>
      <c r="V39" t="s">
        <v>58</v>
      </c>
      <c r="W39">
        <v>3</v>
      </c>
      <c r="X39">
        <v>1</v>
      </c>
      <c r="Y39" t="s">
        <v>59</v>
      </c>
      <c r="Z39" t="s">
        <v>56</v>
      </c>
      <c r="AA39" t="s">
        <v>56</v>
      </c>
      <c r="AB39" t="s">
        <v>60</v>
      </c>
      <c r="AC39" t="s">
        <v>61</v>
      </c>
      <c r="AD39" t="s">
        <v>62</v>
      </c>
      <c r="AE39" t="s">
        <v>63</v>
      </c>
      <c r="AF39" t="s">
        <v>64</v>
      </c>
      <c r="AG39" t="s">
        <v>65</v>
      </c>
      <c r="AH39" t="s">
        <v>97</v>
      </c>
      <c r="AI39" t="s">
        <v>67</v>
      </c>
      <c r="AJ39" t="b">
        <v>0</v>
      </c>
      <c r="AK39" t="b">
        <v>1</v>
      </c>
      <c r="AL39">
        <v>1</v>
      </c>
      <c r="AM39">
        <v>1</v>
      </c>
      <c r="AN39" t="s">
        <v>77</v>
      </c>
      <c r="AO39" t="s">
        <v>78</v>
      </c>
      <c r="AP39">
        <v>0.75</v>
      </c>
      <c r="AQ39" t="b">
        <v>1</v>
      </c>
      <c r="AR39" t="s">
        <v>36</v>
      </c>
      <c r="AS39">
        <v>10000</v>
      </c>
      <c r="AT39">
        <v>1000</v>
      </c>
      <c r="AU39">
        <v>2637</v>
      </c>
      <c r="AV39" t="b">
        <v>1</v>
      </c>
      <c r="AW39" t="b">
        <v>0</v>
      </c>
      <c r="AX39" t="b">
        <v>1</v>
      </c>
      <c r="AY39" t="b">
        <v>1</v>
      </c>
      <c r="AZ39">
        <v>0</v>
      </c>
    </row>
    <row r="40" spans="1:52" x14ac:dyDescent="0.25">
      <c r="A40">
        <v>45</v>
      </c>
      <c r="B40" t="s">
        <v>179</v>
      </c>
      <c r="C40">
        <v>499</v>
      </c>
      <c r="D40">
        <v>2.5402600000000001E-2</v>
      </c>
      <c r="E40">
        <v>0</v>
      </c>
      <c r="F40">
        <v>0</v>
      </c>
      <c r="G40">
        <v>2.5402600000000001E-2</v>
      </c>
      <c r="H40" t="s">
        <v>180</v>
      </c>
      <c r="I40" t="s">
        <v>52</v>
      </c>
      <c r="J40" t="s">
        <v>52</v>
      </c>
      <c r="K40" t="s">
        <v>180</v>
      </c>
      <c r="L40" s="1">
        <v>19244</v>
      </c>
      <c r="M40" t="s">
        <v>181</v>
      </c>
      <c r="N40">
        <v>0.32179905639754403</v>
      </c>
      <c r="O40" t="s">
        <v>54</v>
      </c>
      <c r="P40" t="s">
        <v>55</v>
      </c>
      <c r="Q40">
        <v>400</v>
      </c>
      <c r="R40">
        <v>2.5000000000000001E-2</v>
      </c>
      <c r="S40" t="s">
        <v>56</v>
      </c>
      <c r="T40" t="s">
        <v>56</v>
      </c>
      <c r="U40" t="s">
        <v>57</v>
      </c>
      <c r="V40" t="s">
        <v>58</v>
      </c>
      <c r="W40">
        <v>3</v>
      </c>
      <c r="X40">
        <v>1</v>
      </c>
      <c r="Y40" t="s">
        <v>59</v>
      </c>
      <c r="Z40" t="s">
        <v>56</v>
      </c>
      <c r="AA40" t="s">
        <v>56</v>
      </c>
      <c r="AB40" t="s">
        <v>60</v>
      </c>
      <c r="AC40" t="s">
        <v>61</v>
      </c>
      <c r="AD40" t="s">
        <v>62</v>
      </c>
      <c r="AE40" t="s">
        <v>63</v>
      </c>
      <c r="AF40" t="s">
        <v>64</v>
      </c>
      <c r="AG40" t="s">
        <v>65</v>
      </c>
      <c r="AH40" t="s">
        <v>97</v>
      </c>
      <c r="AI40" t="s">
        <v>67</v>
      </c>
      <c r="AJ40" t="b">
        <v>0</v>
      </c>
      <c r="AK40" t="b">
        <v>1</v>
      </c>
      <c r="AL40">
        <v>1</v>
      </c>
      <c r="AM40">
        <v>1</v>
      </c>
      <c r="AN40" t="s">
        <v>77</v>
      </c>
      <c r="AO40" t="s">
        <v>78</v>
      </c>
      <c r="AP40">
        <v>0.5</v>
      </c>
      <c r="AQ40" t="b">
        <v>1</v>
      </c>
      <c r="AR40" t="s">
        <v>36</v>
      </c>
      <c r="AS40">
        <v>10000</v>
      </c>
      <c r="AT40">
        <v>1000</v>
      </c>
      <c r="AU40">
        <v>499</v>
      </c>
      <c r="AV40" t="b">
        <v>1</v>
      </c>
      <c r="AW40" t="b">
        <v>0</v>
      </c>
      <c r="AX40" t="b">
        <v>1</v>
      </c>
      <c r="AY40" t="b">
        <v>1</v>
      </c>
      <c r="AZ40">
        <v>0</v>
      </c>
    </row>
    <row r="41" spans="1:52" x14ac:dyDescent="0.25">
      <c r="A41">
        <v>46</v>
      </c>
      <c r="B41" t="s">
        <v>182</v>
      </c>
      <c r="C41">
        <v>30953</v>
      </c>
      <c r="D41">
        <v>2.3880100000000001E-2</v>
      </c>
      <c r="E41">
        <v>0</v>
      </c>
      <c r="F41">
        <v>0</v>
      </c>
      <c r="G41">
        <v>2.3880100000000001E-2</v>
      </c>
      <c r="H41" t="s">
        <v>183</v>
      </c>
      <c r="I41" t="s">
        <v>52</v>
      </c>
      <c r="J41" t="s">
        <v>52</v>
      </c>
      <c r="K41" t="s">
        <v>183</v>
      </c>
      <c r="L41" s="1">
        <v>18214</v>
      </c>
      <c r="M41" t="s">
        <v>184</v>
      </c>
      <c r="N41">
        <v>0.191838525533676</v>
      </c>
      <c r="O41" t="s">
        <v>54</v>
      </c>
      <c r="P41" t="s">
        <v>55</v>
      </c>
      <c r="Q41">
        <v>400</v>
      </c>
      <c r="R41">
        <v>2.5000000000000001E-2</v>
      </c>
      <c r="S41" t="s">
        <v>56</v>
      </c>
      <c r="T41" t="s">
        <v>56</v>
      </c>
      <c r="U41" t="s">
        <v>57</v>
      </c>
      <c r="V41" t="s">
        <v>58</v>
      </c>
      <c r="W41">
        <v>3</v>
      </c>
      <c r="X41">
        <v>1</v>
      </c>
      <c r="Y41" t="s">
        <v>59</v>
      </c>
      <c r="Z41" t="s">
        <v>56</v>
      </c>
      <c r="AA41" t="s">
        <v>56</v>
      </c>
      <c r="AB41" t="s">
        <v>60</v>
      </c>
      <c r="AC41" t="s">
        <v>61</v>
      </c>
      <c r="AD41" t="s">
        <v>62</v>
      </c>
      <c r="AE41" t="s">
        <v>63</v>
      </c>
      <c r="AF41" t="s">
        <v>64</v>
      </c>
      <c r="AG41" t="s">
        <v>65</v>
      </c>
      <c r="AH41" t="s">
        <v>97</v>
      </c>
      <c r="AI41" t="s">
        <v>67</v>
      </c>
      <c r="AJ41" t="b">
        <v>0</v>
      </c>
      <c r="AK41" t="b">
        <v>1</v>
      </c>
      <c r="AL41">
        <v>1</v>
      </c>
      <c r="AM41">
        <v>1</v>
      </c>
      <c r="AN41" t="s">
        <v>77</v>
      </c>
      <c r="AO41" t="s">
        <v>78</v>
      </c>
      <c r="AP41">
        <v>0.25</v>
      </c>
      <c r="AQ41" t="b">
        <v>1</v>
      </c>
      <c r="AR41" t="s">
        <v>36</v>
      </c>
      <c r="AS41">
        <v>10000</v>
      </c>
      <c r="AT41">
        <v>1000</v>
      </c>
      <c r="AU41">
        <v>30953</v>
      </c>
      <c r="AV41" t="b">
        <v>1</v>
      </c>
      <c r="AW41" t="b">
        <v>0</v>
      </c>
      <c r="AX41" t="b">
        <v>1</v>
      </c>
      <c r="AY41" t="b">
        <v>1</v>
      </c>
      <c r="AZ41">
        <v>1</v>
      </c>
    </row>
    <row r="42" spans="1:52" x14ac:dyDescent="0.25">
      <c r="A42">
        <v>47</v>
      </c>
      <c r="B42" t="s">
        <v>185</v>
      </c>
      <c r="C42">
        <v>59079</v>
      </c>
      <c r="D42">
        <v>2.5039100000000002E-2</v>
      </c>
      <c r="E42">
        <v>0</v>
      </c>
      <c r="F42">
        <v>0</v>
      </c>
      <c r="G42">
        <v>2.5039100000000002E-2</v>
      </c>
      <c r="H42" t="s">
        <v>186</v>
      </c>
      <c r="I42" t="s">
        <v>52</v>
      </c>
      <c r="J42" t="s">
        <v>52</v>
      </c>
      <c r="K42" t="s">
        <v>186</v>
      </c>
      <c r="L42" s="1">
        <v>14240</v>
      </c>
      <c r="M42" t="s">
        <v>187</v>
      </c>
      <c r="N42">
        <v>0.406656599971983</v>
      </c>
      <c r="O42" t="s">
        <v>54</v>
      </c>
      <c r="P42" t="s">
        <v>55</v>
      </c>
      <c r="Q42">
        <v>400</v>
      </c>
      <c r="R42">
        <v>2.5000000000000001E-2</v>
      </c>
      <c r="S42" t="s">
        <v>56</v>
      </c>
      <c r="T42" t="s">
        <v>56</v>
      </c>
      <c r="U42" t="s">
        <v>57</v>
      </c>
      <c r="V42" t="s">
        <v>58</v>
      </c>
      <c r="W42">
        <v>3</v>
      </c>
      <c r="X42">
        <v>1</v>
      </c>
      <c r="Y42" t="s">
        <v>59</v>
      </c>
      <c r="Z42" t="s">
        <v>56</v>
      </c>
      <c r="AA42" t="s">
        <v>56</v>
      </c>
      <c r="AB42" t="s">
        <v>60</v>
      </c>
      <c r="AC42" t="s">
        <v>61</v>
      </c>
      <c r="AD42" t="s">
        <v>62</v>
      </c>
      <c r="AE42" t="s">
        <v>63</v>
      </c>
      <c r="AF42" t="s">
        <v>64</v>
      </c>
      <c r="AG42" t="s">
        <v>65</v>
      </c>
      <c r="AH42" t="s">
        <v>97</v>
      </c>
      <c r="AI42" t="s">
        <v>67</v>
      </c>
      <c r="AJ42" t="b">
        <v>0</v>
      </c>
      <c r="AK42" t="b">
        <v>1</v>
      </c>
      <c r="AL42">
        <v>1</v>
      </c>
      <c r="AM42">
        <v>1</v>
      </c>
      <c r="AN42" t="s">
        <v>77</v>
      </c>
      <c r="AO42" t="s">
        <v>73</v>
      </c>
      <c r="AP42">
        <v>1</v>
      </c>
      <c r="AQ42" t="b">
        <v>1</v>
      </c>
      <c r="AR42" t="s">
        <v>36</v>
      </c>
      <c r="AS42">
        <v>10000</v>
      </c>
      <c r="AT42">
        <v>1000</v>
      </c>
      <c r="AU42">
        <v>59079</v>
      </c>
      <c r="AV42" t="b">
        <v>1</v>
      </c>
      <c r="AW42" t="b">
        <v>0</v>
      </c>
      <c r="AX42" t="b">
        <v>1</v>
      </c>
      <c r="AY42" t="b">
        <v>1</v>
      </c>
      <c r="AZ42">
        <v>0</v>
      </c>
    </row>
    <row r="43" spans="1:52" x14ac:dyDescent="0.25">
      <c r="A43">
        <v>48</v>
      </c>
      <c r="B43" t="s">
        <v>188</v>
      </c>
      <c r="C43">
        <v>58217</v>
      </c>
      <c r="D43">
        <v>2.50592E-2</v>
      </c>
      <c r="E43">
        <v>0</v>
      </c>
      <c r="F43">
        <v>0</v>
      </c>
      <c r="G43">
        <v>2.50592E-2</v>
      </c>
      <c r="H43" t="s">
        <v>189</v>
      </c>
      <c r="I43" t="s">
        <v>52</v>
      </c>
      <c r="J43" t="s">
        <v>52</v>
      </c>
      <c r="K43" t="s">
        <v>189</v>
      </c>
      <c r="L43" s="1">
        <v>12237</v>
      </c>
      <c r="M43" t="s">
        <v>190</v>
      </c>
      <c r="N43">
        <v>0.48152138226562102</v>
      </c>
      <c r="O43" t="s">
        <v>54</v>
      </c>
      <c r="P43" t="s">
        <v>55</v>
      </c>
      <c r="Q43">
        <v>400</v>
      </c>
      <c r="R43">
        <v>2.5000000000000001E-2</v>
      </c>
      <c r="S43" t="s">
        <v>56</v>
      </c>
      <c r="T43" t="s">
        <v>56</v>
      </c>
      <c r="U43" t="s">
        <v>57</v>
      </c>
      <c r="V43" t="s">
        <v>58</v>
      </c>
      <c r="W43">
        <v>3</v>
      </c>
      <c r="X43">
        <v>1</v>
      </c>
      <c r="Y43" t="s">
        <v>59</v>
      </c>
      <c r="Z43" t="s">
        <v>56</v>
      </c>
      <c r="AA43" t="s">
        <v>56</v>
      </c>
      <c r="AB43" t="s">
        <v>60</v>
      </c>
      <c r="AC43" t="s">
        <v>61</v>
      </c>
      <c r="AD43" t="s">
        <v>62</v>
      </c>
      <c r="AE43" t="s">
        <v>63</v>
      </c>
      <c r="AF43" t="s">
        <v>64</v>
      </c>
      <c r="AG43" t="s">
        <v>65</v>
      </c>
      <c r="AH43" t="s">
        <v>97</v>
      </c>
      <c r="AI43" t="s">
        <v>67</v>
      </c>
      <c r="AJ43" t="b">
        <v>0</v>
      </c>
      <c r="AK43" t="b">
        <v>1</v>
      </c>
      <c r="AL43">
        <v>1</v>
      </c>
      <c r="AM43">
        <v>1</v>
      </c>
      <c r="AN43" t="s">
        <v>77</v>
      </c>
      <c r="AO43" t="s">
        <v>73</v>
      </c>
      <c r="AP43">
        <v>2</v>
      </c>
      <c r="AQ43" t="b">
        <v>1</v>
      </c>
      <c r="AR43" t="s">
        <v>36</v>
      </c>
      <c r="AS43">
        <v>10000</v>
      </c>
      <c r="AT43">
        <v>1000</v>
      </c>
      <c r="AU43">
        <v>58217</v>
      </c>
      <c r="AV43" t="b">
        <v>1</v>
      </c>
      <c r="AW43" t="b">
        <v>0</v>
      </c>
      <c r="AX43" t="b">
        <v>1</v>
      </c>
      <c r="AY43" t="b">
        <v>1</v>
      </c>
      <c r="AZ43">
        <v>0</v>
      </c>
    </row>
    <row r="44" spans="1:52" x14ac:dyDescent="0.25">
      <c r="A44">
        <v>49</v>
      </c>
      <c r="B44" t="s">
        <v>191</v>
      </c>
      <c r="C44">
        <v>97827</v>
      </c>
      <c r="D44">
        <v>2.5370400000000001E-2</v>
      </c>
      <c r="E44">
        <v>0</v>
      </c>
      <c r="F44">
        <v>0</v>
      </c>
      <c r="G44">
        <v>2.5370400000000001E-2</v>
      </c>
      <c r="H44" t="s">
        <v>192</v>
      </c>
      <c r="I44" t="s">
        <v>52</v>
      </c>
      <c r="J44" t="s">
        <v>52</v>
      </c>
      <c r="K44" t="s">
        <v>192</v>
      </c>
      <c r="L44" s="1">
        <v>14234</v>
      </c>
      <c r="M44" t="s">
        <v>193</v>
      </c>
      <c r="N44">
        <v>0.54952519887023499</v>
      </c>
      <c r="O44" t="s">
        <v>54</v>
      </c>
      <c r="P44" t="s">
        <v>55</v>
      </c>
      <c r="Q44">
        <v>400</v>
      </c>
      <c r="R44">
        <v>2.5000000000000001E-2</v>
      </c>
      <c r="S44" t="s">
        <v>56</v>
      </c>
      <c r="T44" t="s">
        <v>56</v>
      </c>
      <c r="U44" t="s">
        <v>57</v>
      </c>
      <c r="V44" t="s">
        <v>68</v>
      </c>
      <c r="W44">
        <v>3</v>
      </c>
      <c r="X44">
        <v>1</v>
      </c>
      <c r="Y44" t="s">
        <v>59</v>
      </c>
      <c r="Z44" t="s">
        <v>56</v>
      </c>
      <c r="AA44" t="s">
        <v>56</v>
      </c>
      <c r="AB44" t="s">
        <v>60</v>
      </c>
      <c r="AC44" t="s">
        <v>61</v>
      </c>
      <c r="AD44" t="s">
        <v>62</v>
      </c>
      <c r="AE44" t="s">
        <v>63</v>
      </c>
      <c r="AF44" t="s">
        <v>64</v>
      </c>
      <c r="AG44" t="s">
        <v>65</v>
      </c>
      <c r="AH44" t="s">
        <v>97</v>
      </c>
      <c r="AI44" t="s">
        <v>67</v>
      </c>
      <c r="AJ44" t="b">
        <v>0</v>
      </c>
      <c r="AK44" t="b">
        <v>0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68</v>
      </c>
      <c r="AS44">
        <v>10000</v>
      </c>
      <c r="AT44">
        <v>1000</v>
      </c>
      <c r="AU44">
        <v>97827</v>
      </c>
      <c r="AV44" t="b">
        <v>1</v>
      </c>
      <c r="AW44" t="b">
        <v>0</v>
      </c>
      <c r="AX44" t="b">
        <v>1</v>
      </c>
      <c r="AY44" t="b">
        <v>1</v>
      </c>
      <c r="AZ44">
        <v>0</v>
      </c>
    </row>
    <row r="45" spans="1:52" x14ac:dyDescent="0.25">
      <c r="A45">
        <v>50</v>
      </c>
      <c r="B45" t="s">
        <v>194</v>
      </c>
      <c r="C45">
        <v>70743</v>
      </c>
      <c r="D45">
        <v>2.4681700000000001E-2</v>
      </c>
      <c r="E45">
        <v>0</v>
      </c>
      <c r="F45">
        <v>0</v>
      </c>
      <c r="G45">
        <v>2.4681700000000001E-2</v>
      </c>
      <c r="H45" t="s">
        <v>195</v>
      </c>
      <c r="I45" t="s">
        <v>52</v>
      </c>
      <c r="J45" t="s">
        <v>52</v>
      </c>
      <c r="K45" t="s">
        <v>195</v>
      </c>
      <c r="L45" s="1">
        <v>15213</v>
      </c>
      <c r="M45" t="s">
        <v>196</v>
      </c>
      <c r="N45">
        <v>0.44645179225338799</v>
      </c>
      <c r="O45" t="s">
        <v>54</v>
      </c>
      <c r="P45" t="s">
        <v>55</v>
      </c>
      <c r="Q45">
        <v>400</v>
      </c>
      <c r="R45">
        <v>2.5000000000000001E-2</v>
      </c>
      <c r="S45" t="s">
        <v>56</v>
      </c>
      <c r="T45" t="s">
        <v>56</v>
      </c>
      <c r="U45" t="s">
        <v>57</v>
      </c>
      <c r="V45" t="s">
        <v>68</v>
      </c>
      <c r="W45">
        <v>3</v>
      </c>
      <c r="X45">
        <v>1</v>
      </c>
      <c r="Y45" t="s">
        <v>59</v>
      </c>
      <c r="Z45" t="s">
        <v>56</v>
      </c>
      <c r="AA45" t="s">
        <v>56</v>
      </c>
      <c r="AB45" t="s">
        <v>60</v>
      </c>
      <c r="AC45" t="s">
        <v>61</v>
      </c>
      <c r="AD45" t="s">
        <v>62</v>
      </c>
      <c r="AE45" t="s">
        <v>63</v>
      </c>
      <c r="AF45" t="s">
        <v>64</v>
      </c>
      <c r="AG45" t="s">
        <v>65</v>
      </c>
      <c r="AH45" t="s">
        <v>97</v>
      </c>
      <c r="AI45" t="s">
        <v>67</v>
      </c>
      <c r="AJ45" t="b">
        <v>0</v>
      </c>
      <c r="AK45" t="b">
        <v>1</v>
      </c>
      <c r="AL45">
        <v>1</v>
      </c>
      <c r="AM45">
        <v>1</v>
      </c>
      <c r="AN45" t="s">
        <v>72</v>
      </c>
      <c r="AO45" t="s">
        <v>73</v>
      </c>
      <c r="AP45">
        <v>1</v>
      </c>
      <c r="AQ45" t="b">
        <v>0</v>
      </c>
      <c r="AR45" t="s">
        <v>68</v>
      </c>
      <c r="AS45">
        <v>10000</v>
      </c>
      <c r="AT45">
        <v>1000</v>
      </c>
      <c r="AU45">
        <v>70743</v>
      </c>
      <c r="AV45" t="b">
        <v>1</v>
      </c>
      <c r="AW45" t="b">
        <v>0</v>
      </c>
      <c r="AX45" t="b">
        <v>1</v>
      </c>
      <c r="AY45" t="b">
        <v>1</v>
      </c>
      <c r="AZ45">
        <v>1</v>
      </c>
    </row>
    <row r="46" spans="1:52" x14ac:dyDescent="0.25">
      <c r="A46">
        <v>51</v>
      </c>
      <c r="B46" t="s">
        <v>197</v>
      </c>
      <c r="C46">
        <v>2402</v>
      </c>
      <c r="D46">
        <v>2.58205E-2</v>
      </c>
      <c r="E46">
        <v>0</v>
      </c>
      <c r="F46">
        <v>0</v>
      </c>
      <c r="G46">
        <v>2.58205E-2</v>
      </c>
      <c r="H46" t="s">
        <v>198</v>
      </c>
      <c r="I46" t="s">
        <v>52</v>
      </c>
      <c r="J46" t="s">
        <v>52</v>
      </c>
      <c r="K46" t="s">
        <v>198</v>
      </c>
      <c r="L46" s="1">
        <v>21236</v>
      </c>
      <c r="M46" t="s">
        <v>199</v>
      </c>
      <c r="N46">
        <v>0.34599627527925703</v>
      </c>
      <c r="O46" t="s">
        <v>54</v>
      </c>
      <c r="P46" t="s">
        <v>55</v>
      </c>
      <c r="Q46">
        <v>400</v>
      </c>
      <c r="R46">
        <v>2.5000000000000001E-2</v>
      </c>
      <c r="S46" t="s">
        <v>56</v>
      </c>
      <c r="T46" t="s">
        <v>56</v>
      </c>
      <c r="U46" t="s">
        <v>57</v>
      </c>
      <c r="V46" t="s">
        <v>68</v>
      </c>
      <c r="W46">
        <v>3</v>
      </c>
      <c r="X46">
        <v>1</v>
      </c>
      <c r="Y46" t="s">
        <v>59</v>
      </c>
      <c r="Z46" t="s">
        <v>56</v>
      </c>
      <c r="AA46" t="s">
        <v>56</v>
      </c>
      <c r="AB46" t="s">
        <v>60</v>
      </c>
      <c r="AC46" t="s">
        <v>61</v>
      </c>
      <c r="AD46" t="s">
        <v>62</v>
      </c>
      <c r="AE46" t="s">
        <v>63</v>
      </c>
      <c r="AF46" t="s">
        <v>64</v>
      </c>
      <c r="AG46" t="s">
        <v>65</v>
      </c>
      <c r="AH46" t="s">
        <v>97</v>
      </c>
      <c r="AI46" t="s">
        <v>67</v>
      </c>
      <c r="AJ46" t="b">
        <v>0</v>
      </c>
      <c r="AK46" t="b">
        <v>1</v>
      </c>
      <c r="AL46">
        <v>1</v>
      </c>
      <c r="AM46">
        <v>1</v>
      </c>
      <c r="AN46" t="s">
        <v>77</v>
      </c>
      <c r="AO46" t="s">
        <v>78</v>
      </c>
      <c r="AP46">
        <v>0.5</v>
      </c>
      <c r="AQ46" t="b">
        <v>0</v>
      </c>
      <c r="AR46" t="s">
        <v>68</v>
      </c>
      <c r="AS46">
        <v>10000</v>
      </c>
      <c r="AT46">
        <v>1000</v>
      </c>
      <c r="AU46">
        <v>2402</v>
      </c>
      <c r="AV46" t="b">
        <v>1</v>
      </c>
      <c r="AW46" t="b">
        <v>0</v>
      </c>
      <c r="AX46" t="b">
        <v>1</v>
      </c>
      <c r="AY46" t="b">
        <v>1</v>
      </c>
      <c r="AZ46">
        <v>0</v>
      </c>
    </row>
    <row r="47" spans="1:52" x14ac:dyDescent="0.25">
      <c r="A47">
        <v>52</v>
      </c>
      <c r="B47" t="s">
        <v>200</v>
      </c>
      <c r="C47">
        <v>2637</v>
      </c>
      <c r="D47">
        <v>2.5919299999999999E-2</v>
      </c>
      <c r="E47">
        <v>0</v>
      </c>
      <c r="F47">
        <v>0</v>
      </c>
      <c r="G47">
        <v>2.5919299999999999E-2</v>
      </c>
      <c r="H47" t="s">
        <v>201</v>
      </c>
      <c r="I47" t="s">
        <v>52</v>
      </c>
      <c r="J47" t="s">
        <v>52</v>
      </c>
      <c r="K47" t="s">
        <v>201</v>
      </c>
      <c r="L47" s="1">
        <v>21236</v>
      </c>
      <c r="M47" t="s">
        <v>199</v>
      </c>
      <c r="N47">
        <v>0.46008824467658999</v>
      </c>
      <c r="O47" t="s">
        <v>54</v>
      </c>
      <c r="P47" t="s">
        <v>55</v>
      </c>
      <c r="Q47">
        <v>400</v>
      </c>
      <c r="R47">
        <v>2.5000000000000001E-2</v>
      </c>
      <c r="S47" t="s">
        <v>56</v>
      </c>
      <c r="T47" t="s">
        <v>56</v>
      </c>
      <c r="U47" t="s">
        <v>57</v>
      </c>
      <c r="V47" t="s">
        <v>68</v>
      </c>
      <c r="W47">
        <v>3</v>
      </c>
      <c r="X47">
        <v>1</v>
      </c>
      <c r="Y47" t="s">
        <v>59</v>
      </c>
      <c r="Z47" t="s">
        <v>56</v>
      </c>
      <c r="AA47" t="s">
        <v>56</v>
      </c>
      <c r="AB47" t="s">
        <v>60</v>
      </c>
      <c r="AC47" t="s">
        <v>61</v>
      </c>
      <c r="AD47" t="s">
        <v>62</v>
      </c>
      <c r="AE47" t="s">
        <v>63</v>
      </c>
      <c r="AF47" t="s">
        <v>64</v>
      </c>
      <c r="AG47" t="s">
        <v>65</v>
      </c>
      <c r="AH47" t="s">
        <v>97</v>
      </c>
      <c r="AI47" t="s">
        <v>67</v>
      </c>
      <c r="AJ47" t="b">
        <v>0</v>
      </c>
      <c r="AK47" t="b">
        <v>1</v>
      </c>
      <c r="AL47">
        <v>1</v>
      </c>
      <c r="AM47">
        <v>1</v>
      </c>
      <c r="AN47" t="s">
        <v>77</v>
      </c>
      <c r="AO47" t="s">
        <v>78</v>
      </c>
      <c r="AP47">
        <v>0.75</v>
      </c>
      <c r="AQ47" t="b">
        <v>1</v>
      </c>
      <c r="AR47" t="s">
        <v>36</v>
      </c>
      <c r="AS47">
        <v>10000</v>
      </c>
      <c r="AT47">
        <v>1000</v>
      </c>
      <c r="AU47">
        <v>2637</v>
      </c>
      <c r="AV47" t="b">
        <v>1</v>
      </c>
      <c r="AW47" t="b">
        <v>0</v>
      </c>
      <c r="AX47" t="b">
        <v>1</v>
      </c>
      <c r="AY47" t="b">
        <v>1</v>
      </c>
      <c r="AZ47">
        <v>0</v>
      </c>
    </row>
    <row r="48" spans="1:52" x14ac:dyDescent="0.25">
      <c r="A48">
        <v>53</v>
      </c>
      <c r="B48" t="s">
        <v>202</v>
      </c>
      <c r="C48">
        <v>499</v>
      </c>
      <c r="D48">
        <v>2.564E-2</v>
      </c>
      <c r="E48">
        <v>0</v>
      </c>
      <c r="F48">
        <v>0</v>
      </c>
      <c r="G48">
        <v>2.564E-2</v>
      </c>
      <c r="H48" t="s">
        <v>203</v>
      </c>
      <c r="I48" t="s">
        <v>52</v>
      </c>
      <c r="J48" t="s">
        <v>52</v>
      </c>
      <c r="K48" t="s">
        <v>203</v>
      </c>
      <c r="L48" s="1">
        <v>19240</v>
      </c>
      <c r="M48" t="s">
        <v>204</v>
      </c>
      <c r="N48">
        <v>0.34655427641338798</v>
      </c>
      <c r="O48" t="s">
        <v>54</v>
      </c>
      <c r="P48" t="s">
        <v>55</v>
      </c>
      <c r="Q48">
        <v>400</v>
      </c>
      <c r="R48">
        <v>2.5000000000000001E-2</v>
      </c>
      <c r="S48" t="s">
        <v>56</v>
      </c>
      <c r="T48" t="s">
        <v>56</v>
      </c>
      <c r="U48" t="s">
        <v>57</v>
      </c>
      <c r="V48" t="s">
        <v>68</v>
      </c>
      <c r="W48">
        <v>3</v>
      </c>
      <c r="X48">
        <v>1</v>
      </c>
      <c r="Y48" t="s">
        <v>59</v>
      </c>
      <c r="Z48" t="s">
        <v>56</v>
      </c>
      <c r="AA48" t="s">
        <v>56</v>
      </c>
      <c r="AB48" t="s">
        <v>60</v>
      </c>
      <c r="AC48" t="s">
        <v>61</v>
      </c>
      <c r="AD48" t="s">
        <v>62</v>
      </c>
      <c r="AE48" t="s">
        <v>63</v>
      </c>
      <c r="AF48" t="s">
        <v>64</v>
      </c>
      <c r="AG48" t="s">
        <v>65</v>
      </c>
      <c r="AH48" t="s">
        <v>97</v>
      </c>
      <c r="AI48" t="s">
        <v>67</v>
      </c>
      <c r="AJ48" t="b">
        <v>0</v>
      </c>
      <c r="AK48" t="b">
        <v>1</v>
      </c>
      <c r="AL48">
        <v>1</v>
      </c>
      <c r="AM48">
        <v>1</v>
      </c>
      <c r="AN48" t="s">
        <v>77</v>
      </c>
      <c r="AO48" t="s">
        <v>78</v>
      </c>
      <c r="AP48">
        <v>0.5</v>
      </c>
      <c r="AQ48" t="b">
        <v>1</v>
      </c>
      <c r="AR48" t="s">
        <v>36</v>
      </c>
      <c r="AS48">
        <v>10000</v>
      </c>
      <c r="AT48">
        <v>1000</v>
      </c>
      <c r="AU48">
        <v>499</v>
      </c>
      <c r="AV48" t="b">
        <v>1</v>
      </c>
      <c r="AW48" t="b">
        <v>0</v>
      </c>
      <c r="AX48" t="b">
        <v>1</v>
      </c>
      <c r="AY48" t="b">
        <v>1</v>
      </c>
      <c r="AZ48">
        <v>0</v>
      </c>
    </row>
    <row r="49" spans="1:52" x14ac:dyDescent="0.25">
      <c r="A49">
        <v>54</v>
      </c>
      <c r="B49" t="s">
        <v>205</v>
      </c>
      <c r="C49">
        <v>30953</v>
      </c>
      <c r="D49">
        <v>2.4146500000000001E-2</v>
      </c>
      <c r="E49">
        <v>0</v>
      </c>
      <c r="F49">
        <v>0</v>
      </c>
      <c r="G49">
        <v>2.4146500000000001E-2</v>
      </c>
      <c r="H49" t="s">
        <v>206</v>
      </c>
      <c r="I49" t="s">
        <v>52</v>
      </c>
      <c r="J49" t="s">
        <v>52</v>
      </c>
      <c r="K49" t="s">
        <v>206</v>
      </c>
      <c r="L49" s="1">
        <v>18211</v>
      </c>
      <c r="M49" t="s">
        <v>207</v>
      </c>
      <c r="N49">
        <v>0.20619194580448999</v>
      </c>
      <c r="O49" t="s">
        <v>54</v>
      </c>
      <c r="P49" t="s">
        <v>55</v>
      </c>
      <c r="Q49">
        <v>400</v>
      </c>
      <c r="R49">
        <v>2.5000000000000001E-2</v>
      </c>
      <c r="S49" t="s">
        <v>56</v>
      </c>
      <c r="T49" t="s">
        <v>56</v>
      </c>
      <c r="U49" t="s">
        <v>57</v>
      </c>
      <c r="V49" t="s">
        <v>68</v>
      </c>
      <c r="W49">
        <v>3</v>
      </c>
      <c r="X49">
        <v>1</v>
      </c>
      <c r="Y49" t="s">
        <v>59</v>
      </c>
      <c r="Z49" t="s">
        <v>56</v>
      </c>
      <c r="AA49" t="s">
        <v>56</v>
      </c>
      <c r="AB49" t="s">
        <v>60</v>
      </c>
      <c r="AC49" t="s">
        <v>61</v>
      </c>
      <c r="AD49" t="s">
        <v>62</v>
      </c>
      <c r="AE49" t="s">
        <v>63</v>
      </c>
      <c r="AF49" t="s">
        <v>64</v>
      </c>
      <c r="AG49" t="s">
        <v>65</v>
      </c>
      <c r="AH49" t="s">
        <v>97</v>
      </c>
      <c r="AI49" t="s">
        <v>67</v>
      </c>
      <c r="AJ49" t="b">
        <v>0</v>
      </c>
      <c r="AK49" t="b">
        <v>1</v>
      </c>
      <c r="AL49">
        <v>1</v>
      </c>
      <c r="AM49">
        <v>1</v>
      </c>
      <c r="AN49" t="s">
        <v>77</v>
      </c>
      <c r="AO49" t="s">
        <v>78</v>
      </c>
      <c r="AP49">
        <v>0.25</v>
      </c>
      <c r="AQ49" t="b">
        <v>1</v>
      </c>
      <c r="AR49" t="s">
        <v>36</v>
      </c>
      <c r="AS49">
        <v>10000</v>
      </c>
      <c r="AT49">
        <v>1000</v>
      </c>
      <c r="AU49">
        <v>30953</v>
      </c>
      <c r="AV49" t="b">
        <v>1</v>
      </c>
      <c r="AW49" t="b">
        <v>0</v>
      </c>
      <c r="AX49" t="b">
        <v>1</v>
      </c>
      <c r="AY49" t="b">
        <v>1</v>
      </c>
      <c r="AZ49">
        <v>1</v>
      </c>
    </row>
    <row r="50" spans="1:52" x14ac:dyDescent="0.25">
      <c r="A50">
        <v>55</v>
      </c>
      <c r="B50" t="s">
        <v>208</v>
      </c>
      <c r="C50">
        <v>59079</v>
      </c>
      <c r="D50">
        <v>2.5001700000000002E-2</v>
      </c>
      <c r="E50">
        <v>0</v>
      </c>
      <c r="F50">
        <v>0</v>
      </c>
      <c r="G50">
        <v>2.5001700000000002E-2</v>
      </c>
      <c r="H50" t="s">
        <v>209</v>
      </c>
      <c r="I50" t="s">
        <v>52</v>
      </c>
      <c r="J50" t="s">
        <v>52</v>
      </c>
      <c r="K50" t="s">
        <v>209</v>
      </c>
      <c r="L50" s="1">
        <v>14237</v>
      </c>
      <c r="M50" t="s">
        <v>210</v>
      </c>
      <c r="N50">
        <v>0.44266914473639601</v>
      </c>
      <c r="O50" t="s">
        <v>54</v>
      </c>
      <c r="P50" t="s">
        <v>55</v>
      </c>
      <c r="Q50">
        <v>400</v>
      </c>
      <c r="R50">
        <v>2.5000000000000001E-2</v>
      </c>
      <c r="S50" t="s">
        <v>56</v>
      </c>
      <c r="T50" t="s">
        <v>56</v>
      </c>
      <c r="U50" t="s">
        <v>57</v>
      </c>
      <c r="V50" t="s">
        <v>68</v>
      </c>
      <c r="W50">
        <v>3</v>
      </c>
      <c r="X50">
        <v>1</v>
      </c>
      <c r="Y50" t="s">
        <v>59</v>
      </c>
      <c r="Z50" t="s">
        <v>56</v>
      </c>
      <c r="AA50" t="s">
        <v>56</v>
      </c>
      <c r="AB50" t="s">
        <v>60</v>
      </c>
      <c r="AC50" t="s">
        <v>61</v>
      </c>
      <c r="AD50" t="s">
        <v>62</v>
      </c>
      <c r="AE50" t="s">
        <v>63</v>
      </c>
      <c r="AF50" t="s">
        <v>64</v>
      </c>
      <c r="AG50" t="s">
        <v>65</v>
      </c>
      <c r="AH50" t="s">
        <v>97</v>
      </c>
      <c r="AI50" t="s">
        <v>67</v>
      </c>
      <c r="AJ50" t="b">
        <v>0</v>
      </c>
      <c r="AK50" t="b">
        <v>1</v>
      </c>
      <c r="AL50">
        <v>1</v>
      </c>
      <c r="AM50">
        <v>1</v>
      </c>
      <c r="AN50" t="s">
        <v>77</v>
      </c>
      <c r="AO50" t="s">
        <v>73</v>
      </c>
      <c r="AP50">
        <v>1</v>
      </c>
      <c r="AQ50" t="b">
        <v>1</v>
      </c>
      <c r="AR50" t="s">
        <v>36</v>
      </c>
      <c r="AS50">
        <v>10000</v>
      </c>
      <c r="AT50">
        <v>1000</v>
      </c>
      <c r="AU50">
        <v>59079</v>
      </c>
      <c r="AV50" t="b">
        <v>1</v>
      </c>
      <c r="AW50" t="b">
        <v>0</v>
      </c>
      <c r="AX50" t="b">
        <v>1</v>
      </c>
      <c r="AY50" t="b">
        <v>1</v>
      </c>
      <c r="AZ50">
        <v>1</v>
      </c>
    </row>
    <row r="51" spans="1:52" x14ac:dyDescent="0.25">
      <c r="A51">
        <v>56</v>
      </c>
      <c r="B51" t="s">
        <v>211</v>
      </c>
      <c r="C51">
        <v>58217</v>
      </c>
      <c r="D51">
        <v>2.5183199999999999E-2</v>
      </c>
      <c r="E51">
        <v>0</v>
      </c>
      <c r="F51">
        <v>0</v>
      </c>
      <c r="G51">
        <v>2.5183199999999999E-2</v>
      </c>
      <c r="H51" t="s">
        <v>212</v>
      </c>
      <c r="I51" t="s">
        <v>52</v>
      </c>
      <c r="J51" t="s">
        <v>52</v>
      </c>
      <c r="K51" t="s">
        <v>212</v>
      </c>
      <c r="L51" s="1">
        <v>12236</v>
      </c>
      <c r="M51" t="s">
        <v>213</v>
      </c>
      <c r="N51">
        <v>0.53337624245219795</v>
      </c>
      <c r="O51" t="s">
        <v>54</v>
      </c>
      <c r="P51" t="s">
        <v>55</v>
      </c>
      <c r="Q51">
        <v>400</v>
      </c>
      <c r="R51">
        <v>2.5000000000000001E-2</v>
      </c>
      <c r="S51" t="s">
        <v>56</v>
      </c>
      <c r="T51" t="s">
        <v>56</v>
      </c>
      <c r="U51" t="s">
        <v>57</v>
      </c>
      <c r="V51" t="s">
        <v>68</v>
      </c>
      <c r="W51">
        <v>3</v>
      </c>
      <c r="X51">
        <v>1</v>
      </c>
      <c r="Y51" t="s">
        <v>59</v>
      </c>
      <c r="Z51" t="s">
        <v>56</v>
      </c>
      <c r="AA51" t="s">
        <v>56</v>
      </c>
      <c r="AB51" t="s">
        <v>60</v>
      </c>
      <c r="AC51" t="s">
        <v>61</v>
      </c>
      <c r="AD51" t="s">
        <v>62</v>
      </c>
      <c r="AE51" t="s">
        <v>63</v>
      </c>
      <c r="AF51" t="s">
        <v>64</v>
      </c>
      <c r="AG51" t="s">
        <v>65</v>
      </c>
      <c r="AH51" t="s">
        <v>97</v>
      </c>
      <c r="AI51" t="s">
        <v>67</v>
      </c>
      <c r="AJ51" t="b">
        <v>0</v>
      </c>
      <c r="AK51" t="b">
        <v>1</v>
      </c>
      <c r="AL51">
        <v>1</v>
      </c>
      <c r="AM51">
        <v>1</v>
      </c>
      <c r="AN51" t="s">
        <v>77</v>
      </c>
      <c r="AO51" t="s">
        <v>73</v>
      </c>
      <c r="AP51">
        <v>2</v>
      </c>
      <c r="AQ51" t="b">
        <v>1</v>
      </c>
      <c r="AR51" t="s">
        <v>36</v>
      </c>
      <c r="AS51">
        <v>10000</v>
      </c>
      <c r="AT51">
        <v>1000</v>
      </c>
      <c r="AU51">
        <v>58217</v>
      </c>
      <c r="AV51" t="b">
        <v>1</v>
      </c>
      <c r="AW51" t="b">
        <v>0</v>
      </c>
      <c r="AX51" t="b">
        <v>1</v>
      </c>
      <c r="AY51" t="b">
        <v>1</v>
      </c>
      <c r="AZ5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A3B8-C5F0-4257-BF86-AEA3C7576463}">
  <dimension ref="A1:W27"/>
  <sheetViews>
    <sheetView workbookViewId="0">
      <selection activeCell="A23" sqref="A23"/>
    </sheetView>
  </sheetViews>
  <sheetFormatPr defaultRowHeight="15" x14ac:dyDescent="0.25"/>
  <cols>
    <col min="1" max="1" width="11.28515625" bestFit="1" customWidth="1"/>
    <col min="2" max="3" width="9.5703125" bestFit="1" customWidth="1"/>
    <col min="4" max="4" width="11.28515625" bestFit="1" customWidth="1"/>
    <col min="5" max="49" width="10" bestFit="1" customWidth="1"/>
    <col min="50" max="50" width="11.28515625" bestFit="1" customWidth="1"/>
  </cols>
  <sheetData>
    <row r="1" spans="1:23" ht="18" thickBot="1" x14ac:dyDescent="0.35">
      <c r="A1" s="9" t="s">
        <v>225</v>
      </c>
      <c r="B1" s="9" t="s">
        <v>226</v>
      </c>
      <c r="C1" s="9" t="s">
        <v>49</v>
      </c>
      <c r="D1" s="9" t="s">
        <v>227</v>
      </c>
      <c r="E1" s="9" t="s">
        <v>228</v>
      </c>
      <c r="F1" s="9" t="s">
        <v>229</v>
      </c>
      <c r="J1" s="6" t="s">
        <v>224</v>
      </c>
      <c r="K1" s="6"/>
      <c r="L1" s="6"/>
      <c r="M1" s="6"/>
      <c r="O1" s="6" t="s">
        <v>220</v>
      </c>
      <c r="P1" s="6"/>
      <c r="Q1" s="6"/>
      <c r="R1" s="6"/>
      <c r="T1" s="6" t="s">
        <v>221</v>
      </c>
      <c r="U1" s="6"/>
      <c r="V1" s="6"/>
      <c r="W1" s="6"/>
    </row>
    <row r="2" spans="1:23" ht="15.75" thickTop="1" x14ac:dyDescent="0.25">
      <c r="A2" t="s">
        <v>21</v>
      </c>
      <c r="B2" t="s">
        <v>58</v>
      </c>
      <c r="C2" t="s">
        <v>230</v>
      </c>
      <c r="D2">
        <v>31.2</v>
      </c>
      <c r="E2">
        <v>68.8</v>
      </c>
      <c r="F2">
        <v>16</v>
      </c>
    </row>
    <row r="3" spans="1:23" x14ac:dyDescent="0.25">
      <c r="A3" t="s">
        <v>21</v>
      </c>
      <c r="B3" t="s">
        <v>58</v>
      </c>
      <c r="C3" t="s">
        <v>231</v>
      </c>
      <c r="D3">
        <v>6.2</v>
      </c>
      <c r="E3">
        <v>93.8</v>
      </c>
      <c r="F3">
        <v>16</v>
      </c>
      <c r="J3" s="4" t="s">
        <v>218</v>
      </c>
      <c r="K3" s="4" t="s">
        <v>216</v>
      </c>
      <c r="O3" s="4" t="s">
        <v>218</v>
      </c>
      <c r="P3" s="4" t="s">
        <v>216</v>
      </c>
      <c r="T3" s="4" t="s">
        <v>218</v>
      </c>
      <c r="U3" s="4" t="s">
        <v>216</v>
      </c>
    </row>
    <row r="4" spans="1:23" x14ac:dyDescent="0.25">
      <c r="A4" t="s">
        <v>21</v>
      </c>
      <c r="B4" t="s">
        <v>68</v>
      </c>
      <c r="C4" t="s">
        <v>230</v>
      </c>
      <c r="D4">
        <v>25</v>
      </c>
      <c r="E4">
        <v>75</v>
      </c>
      <c r="F4">
        <v>8</v>
      </c>
      <c r="J4" s="4" t="s">
        <v>21</v>
      </c>
      <c r="K4">
        <v>0</v>
      </c>
      <c r="L4">
        <v>1</v>
      </c>
      <c r="M4" t="s">
        <v>219</v>
      </c>
      <c r="O4" s="4" t="s">
        <v>21</v>
      </c>
      <c r="P4">
        <v>0</v>
      </c>
      <c r="Q4">
        <v>1</v>
      </c>
      <c r="R4" t="s">
        <v>219</v>
      </c>
      <c r="T4" s="4" t="s">
        <v>21</v>
      </c>
      <c r="U4">
        <v>0</v>
      </c>
      <c r="V4">
        <v>1</v>
      </c>
      <c r="W4" t="s">
        <v>219</v>
      </c>
    </row>
    <row r="5" spans="1:23" x14ac:dyDescent="0.25">
      <c r="A5" s="10" t="s">
        <v>21</v>
      </c>
      <c r="B5" s="10" t="s">
        <v>68</v>
      </c>
      <c r="C5" s="10" t="s">
        <v>231</v>
      </c>
      <c r="D5" s="10">
        <v>0</v>
      </c>
      <c r="E5" s="10">
        <v>100</v>
      </c>
      <c r="F5" s="10">
        <v>8</v>
      </c>
      <c r="J5" t="s">
        <v>58</v>
      </c>
      <c r="K5">
        <v>26</v>
      </c>
      <c r="L5">
        <v>6</v>
      </c>
      <c r="M5">
        <v>32</v>
      </c>
      <c r="O5" t="s">
        <v>58</v>
      </c>
      <c r="P5" s="5">
        <v>0.8125</v>
      </c>
      <c r="Q5" s="5">
        <v>0.1875</v>
      </c>
      <c r="R5" s="5">
        <v>1</v>
      </c>
      <c r="T5" t="s">
        <v>58</v>
      </c>
      <c r="U5" s="5">
        <v>0.66666666666666663</v>
      </c>
      <c r="V5" s="5">
        <v>0.66666666666666663</v>
      </c>
      <c r="W5" s="5">
        <v>0.66666666666666663</v>
      </c>
    </row>
    <row r="6" spans="1:23" x14ac:dyDescent="0.25">
      <c r="A6" t="s">
        <v>43</v>
      </c>
      <c r="B6" t="s">
        <v>68</v>
      </c>
      <c r="C6" t="s">
        <v>230</v>
      </c>
      <c r="D6">
        <v>44.4</v>
      </c>
      <c r="E6">
        <v>55.6</v>
      </c>
      <c r="F6">
        <v>9</v>
      </c>
      <c r="J6" t="s">
        <v>68</v>
      </c>
      <c r="K6">
        <v>13</v>
      </c>
      <c r="L6">
        <v>3</v>
      </c>
      <c r="M6">
        <v>16</v>
      </c>
      <c r="O6" t="s">
        <v>68</v>
      </c>
      <c r="P6" s="5">
        <v>0.8125</v>
      </c>
      <c r="Q6" s="5">
        <v>0.1875</v>
      </c>
      <c r="R6" s="5">
        <v>1</v>
      </c>
      <c r="T6" t="s">
        <v>68</v>
      </c>
      <c r="U6" s="5">
        <v>0.33333333333333331</v>
      </c>
      <c r="V6" s="5">
        <v>0.33333333333333331</v>
      </c>
      <c r="W6" s="5">
        <v>0.33333333333333331</v>
      </c>
    </row>
    <row r="7" spans="1:23" x14ac:dyDescent="0.25">
      <c r="A7" t="s">
        <v>43</v>
      </c>
      <c r="B7" t="s">
        <v>68</v>
      </c>
      <c r="C7" t="s">
        <v>231</v>
      </c>
      <c r="D7">
        <v>11.1</v>
      </c>
      <c r="E7">
        <v>88.9</v>
      </c>
      <c r="F7">
        <v>9</v>
      </c>
      <c r="J7" t="s">
        <v>219</v>
      </c>
      <c r="K7">
        <v>39</v>
      </c>
      <c r="L7">
        <v>9</v>
      </c>
      <c r="M7">
        <v>48</v>
      </c>
      <c r="O7" t="s">
        <v>219</v>
      </c>
      <c r="P7" s="5">
        <v>0.8125</v>
      </c>
      <c r="Q7" s="5">
        <v>0.1875</v>
      </c>
      <c r="R7" s="5">
        <v>1</v>
      </c>
      <c r="T7" t="s">
        <v>219</v>
      </c>
      <c r="U7" s="5">
        <v>1</v>
      </c>
      <c r="V7" s="5">
        <v>1</v>
      </c>
      <c r="W7" s="5">
        <v>1</v>
      </c>
    </row>
    <row r="8" spans="1:23" x14ac:dyDescent="0.25">
      <c r="A8" t="s">
        <v>43</v>
      </c>
      <c r="B8" t="s">
        <v>36</v>
      </c>
      <c r="C8" t="s">
        <v>230</v>
      </c>
      <c r="D8">
        <v>20</v>
      </c>
      <c r="E8">
        <v>80</v>
      </c>
      <c r="F8">
        <v>15</v>
      </c>
    </row>
    <row r="9" spans="1:23" x14ac:dyDescent="0.25">
      <c r="A9" t="s">
        <v>43</v>
      </c>
      <c r="B9" t="s">
        <v>36</v>
      </c>
      <c r="C9" t="s">
        <v>231</v>
      </c>
      <c r="D9">
        <v>0</v>
      </c>
      <c r="E9">
        <v>100</v>
      </c>
      <c r="F9">
        <v>15</v>
      </c>
      <c r="J9" s="4" t="s">
        <v>218</v>
      </c>
      <c r="K9" s="4" t="s">
        <v>216</v>
      </c>
      <c r="O9" s="4" t="s">
        <v>218</v>
      </c>
      <c r="P9" s="4" t="s">
        <v>216</v>
      </c>
      <c r="T9" s="4" t="s">
        <v>218</v>
      </c>
      <c r="U9" s="4" t="s">
        <v>216</v>
      </c>
    </row>
    <row r="10" spans="1:23" x14ac:dyDescent="0.25">
      <c r="A10" s="10" t="s">
        <v>36</v>
      </c>
      <c r="B10" s="10" t="s">
        <v>231</v>
      </c>
      <c r="C10" s="10" t="s">
        <v>230</v>
      </c>
      <c r="D10" s="10">
        <v>0</v>
      </c>
      <c r="E10" s="10">
        <v>100</v>
      </c>
      <c r="F10" s="10">
        <v>3</v>
      </c>
      <c r="J10" s="4" t="s">
        <v>49</v>
      </c>
      <c r="K10">
        <v>0</v>
      </c>
      <c r="L10">
        <v>1</v>
      </c>
      <c r="M10" t="s">
        <v>219</v>
      </c>
      <c r="O10" s="4" t="s">
        <v>49</v>
      </c>
      <c r="P10">
        <v>0</v>
      </c>
      <c r="Q10">
        <v>1</v>
      </c>
      <c r="R10" t="s">
        <v>219</v>
      </c>
      <c r="T10" s="4" t="s">
        <v>49</v>
      </c>
      <c r="U10">
        <v>0</v>
      </c>
      <c r="V10">
        <v>1</v>
      </c>
      <c r="W10" t="s">
        <v>219</v>
      </c>
    </row>
    <row r="11" spans="1:23" x14ac:dyDescent="0.25">
      <c r="A11" s="10" t="s">
        <v>36</v>
      </c>
      <c r="B11" s="10" t="s">
        <v>231</v>
      </c>
      <c r="C11" s="10" t="s">
        <v>231</v>
      </c>
      <c r="D11" s="10">
        <v>0</v>
      </c>
      <c r="E11" s="10">
        <v>100</v>
      </c>
      <c r="F11" s="10">
        <v>3</v>
      </c>
      <c r="J11" t="s">
        <v>222</v>
      </c>
      <c r="K11">
        <v>23</v>
      </c>
      <c r="L11">
        <v>1</v>
      </c>
      <c r="M11">
        <v>24</v>
      </c>
      <c r="O11" t="s">
        <v>222</v>
      </c>
      <c r="P11" s="5">
        <v>0.95833333333333337</v>
      </c>
      <c r="Q11" s="5">
        <v>4.1666666666666664E-2</v>
      </c>
      <c r="R11" s="5">
        <v>1</v>
      </c>
      <c r="T11" t="s">
        <v>222</v>
      </c>
      <c r="U11" s="8">
        <v>0.58974358974358976</v>
      </c>
      <c r="V11" s="5">
        <v>0.1111111111111111</v>
      </c>
      <c r="W11" s="5">
        <v>0.5</v>
      </c>
    </row>
    <row r="12" spans="1:23" x14ac:dyDescent="0.25">
      <c r="A12" t="s">
        <v>36</v>
      </c>
      <c r="B12" t="s">
        <v>230</v>
      </c>
      <c r="C12" t="s">
        <v>230</v>
      </c>
      <c r="D12">
        <v>33.299999999999997</v>
      </c>
      <c r="E12">
        <v>66.7</v>
      </c>
      <c r="F12">
        <v>21</v>
      </c>
      <c r="J12" t="s">
        <v>223</v>
      </c>
      <c r="K12">
        <v>16</v>
      </c>
      <c r="L12">
        <v>8</v>
      </c>
      <c r="M12">
        <v>24</v>
      </c>
      <c r="O12" t="s">
        <v>223</v>
      </c>
      <c r="P12" s="5">
        <v>0.66666666666666663</v>
      </c>
      <c r="Q12" s="5">
        <v>0.33333333333333331</v>
      </c>
      <c r="R12" s="5">
        <v>1</v>
      </c>
      <c r="T12" t="s">
        <v>223</v>
      </c>
      <c r="U12" s="5">
        <v>0.41025641025641024</v>
      </c>
      <c r="V12" s="7">
        <v>0.88888888888888884</v>
      </c>
      <c r="W12" s="5">
        <v>0.5</v>
      </c>
    </row>
    <row r="13" spans="1:23" x14ac:dyDescent="0.25">
      <c r="A13" s="10" t="s">
        <v>36</v>
      </c>
      <c r="B13" s="10" t="s">
        <v>230</v>
      </c>
      <c r="C13" s="10" t="s">
        <v>231</v>
      </c>
      <c r="D13" s="10">
        <v>4.8</v>
      </c>
      <c r="E13" s="10">
        <v>95.2</v>
      </c>
      <c r="F13" s="10">
        <v>21</v>
      </c>
      <c r="J13" t="s">
        <v>219</v>
      </c>
      <c r="K13">
        <v>39</v>
      </c>
      <c r="L13">
        <v>9</v>
      </c>
      <c r="M13">
        <v>48</v>
      </c>
      <c r="O13" t="s">
        <v>219</v>
      </c>
      <c r="P13" s="5">
        <v>0.8125</v>
      </c>
      <c r="Q13" s="5">
        <v>0.1875</v>
      </c>
      <c r="R13" s="5">
        <v>1</v>
      </c>
      <c r="T13" t="s">
        <v>219</v>
      </c>
      <c r="U13" s="5">
        <v>1</v>
      </c>
      <c r="V13" s="5">
        <v>1</v>
      </c>
      <c r="W13" s="5">
        <v>1</v>
      </c>
    </row>
    <row r="15" spans="1:23" x14ac:dyDescent="0.25">
      <c r="A15" s="9" t="s">
        <v>225</v>
      </c>
      <c r="B15" s="15" t="s">
        <v>21</v>
      </c>
      <c r="C15" s="15"/>
      <c r="D15" s="15" t="s">
        <v>36</v>
      </c>
      <c r="E15" s="15"/>
      <c r="F15" s="15" t="s">
        <v>43</v>
      </c>
      <c r="G15" s="15"/>
      <c r="J15" s="4" t="s">
        <v>218</v>
      </c>
      <c r="K15" s="4" t="s">
        <v>216</v>
      </c>
      <c r="O15" s="4" t="s">
        <v>218</v>
      </c>
      <c r="P15" s="4" t="s">
        <v>216</v>
      </c>
      <c r="T15" s="4" t="s">
        <v>218</v>
      </c>
      <c r="U15" s="4" t="s">
        <v>216</v>
      </c>
    </row>
    <row r="16" spans="1:23" x14ac:dyDescent="0.25">
      <c r="A16" s="9" t="s">
        <v>226</v>
      </c>
      <c r="B16" s="9" t="s">
        <v>58</v>
      </c>
      <c r="C16" s="9" t="s">
        <v>68</v>
      </c>
      <c r="D16" s="9" t="s">
        <v>231</v>
      </c>
      <c r="E16" s="9" t="s">
        <v>230</v>
      </c>
      <c r="F16" s="9" t="s">
        <v>68</v>
      </c>
      <c r="G16" s="9" t="s">
        <v>36</v>
      </c>
      <c r="J16" s="4" t="s">
        <v>36</v>
      </c>
      <c r="K16">
        <v>0</v>
      </c>
      <c r="L16">
        <v>1</v>
      </c>
      <c r="M16" t="s">
        <v>219</v>
      </c>
      <c r="O16" s="4" t="s">
        <v>36</v>
      </c>
      <c r="P16">
        <v>0</v>
      </c>
      <c r="Q16">
        <v>1</v>
      </c>
      <c r="R16" t="s">
        <v>219</v>
      </c>
      <c r="T16" s="4" t="s">
        <v>36</v>
      </c>
      <c r="U16">
        <v>0</v>
      </c>
      <c r="V16">
        <v>1</v>
      </c>
      <c r="W16" t="s">
        <v>219</v>
      </c>
    </row>
    <row r="17" spans="1:23" x14ac:dyDescent="0.25">
      <c r="A17" s="9" t="s">
        <v>49</v>
      </c>
      <c r="J17" t="s">
        <v>222</v>
      </c>
      <c r="K17">
        <v>6</v>
      </c>
      <c r="M17">
        <v>6</v>
      </c>
      <c r="O17" t="s">
        <v>222</v>
      </c>
      <c r="P17" s="8">
        <v>1</v>
      </c>
      <c r="Q17" s="5">
        <v>0</v>
      </c>
      <c r="R17" s="5">
        <v>1</v>
      </c>
      <c r="T17" t="s">
        <v>222</v>
      </c>
      <c r="U17" s="5">
        <v>0.15384615384615385</v>
      </c>
      <c r="V17" s="5">
        <v>0</v>
      </c>
      <c r="W17" s="5">
        <v>0.125</v>
      </c>
    </row>
    <row r="18" spans="1:23" x14ac:dyDescent="0.25">
      <c r="A18" s="9" t="s">
        <v>231</v>
      </c>
      <c r="B18">
        <v>6.2</v>
      </c>
      <c r="C18">
        <v>0</v>
      </c>
      <c r="D18">
        <v>0</v>
      </c>
      <c r="E18">
        <v>4.8</v>
      </c>
      <c r="F18">
        <v>11.1</v>
      </c>
      <c r="G18">
        <v>0</v>
      </c>
      <c r="J18" t="s">
        <v>223</v>
      </c>
      <c r="K18">
        <v>33</v>
      </c>
      <c r="L18">
        <v>9</v>
      </c>
      <c r="M18">
        <v>42</v>
      </c>
      <c r="O18" t="s">
        <v>223</v>
      </c>
      <c r="P18" s="5">
        <v>0.7857142857142857</v>
      </c>
      <c r="Q18" s="7">
        <v>0.21428571428571427</v>
      </c>
      <c r="R18" s="5">
        <v>1</v>
      </c>
      <c r="T18" t="s">
        <v>223</v>
      </c>
      <c r="U18" s="5">
        <v>0.84615384615384615</v>
      </c>
      <c r="V18" s="5">
        <v>1</v>
      </c>
      <c r="W18" s="5">
        <v>0.875</v>
      </c>
    </row>
    <row r="19" spans="1:23" x14ac:dyDescent="0.25">
      <c r="A19" s="9" t="s">
        <v>230</v>
      </c>
      <c r="B19">
        <v>31.2</v>
      </c>
      <c r="C19">
        <v>25</v>
      </c>
      <c r="D19">
        <v>0</v>
      </c>
      <c r="E19">
        <v>33.299999999999997</v>
      </c>
      <c r="F19">
        <v>44.4</v>
      </c>
      <c r="G19">
        <v>20</v>
      </c>
      <c r="J19" t="s">
        <v>219</v>
      </c>
      <c r="K19">
        <v>39</v>
      </c>
      <c r="L19">
        <v>9</v>
      </c>
      <c r="M19">
        <v>48</v>
      </c>
      <c r="O19" t="s">
        <v>219</v>
      </c>
      <c r="P19" s="5">
        <v>0.8125</v>
      </c>
      <c r="Q19" s="5">
        <v>0.1875</v>
      </c>
      <c r="R19" s="5">
        <v>1</v>
      </c>
      <c r="T19" t="s">
        <v>219</v>
      </c>
      <c r="U19" s="5">
        <v>1</v>
      </c>
      <c r="V19" s="5">
        <v>1</v>
      </c>
      <c r="W19" s="5">
        <v>1</v>
      </c>
    </row>
    <row r="20" spans="1:23" x14ac:dyDescent="0.25">
      <c r="A20" s="9" t="s">
        <v>229</v>
      </c>
      <c r="B20">
        <v>32</v>
      </c>
      <c r="C20">
        <v>16</v>
      </c>
      <c r="D20">
        <v>6</v>
      </c>
      <c r="E20">
        <v>42</v>
      </c>
      <c r="F20">
        <v>18</v>
      </c>
      <c r="G20">
        <v>30</v>
      </c>
    </row>
    <row r="21" spans="1:23" x14ac:dyDescent="0.25">
      <c r="J21" s="4" t="s">
        <v>36</v>
      </c>
      <c r="K21" t="s">
        <v>223</v>
      </c>
      <c r="O21" s="4" t="s">
        <v>36</v>
      </c>
      <c r="P21" t="s">
        <v>223</v>
      </c>
      <c r="T21" s="4" t="s">
        <v>36</v>
      </c>
      <c r="U21" t="s">
        <v>223</v>
      </c>
    </row>
    <row r="23" spans="1:23" x14ac:dyDescent="0.25">
      <c r="J23" s="4" t="s">
        <v>218</v>
      </c>
      <c r="K23" s="4" t="s">
        <v>216</v>
      </c>
      <c r="O23" s="4" t="s">
        <v>218</v>
      </c>
      <c r="P23" s="4" t="s">
        <v>216</v>
      </c>
      <c r="T23" s="4" t="s">
        <v>218</v>
      </c>
      <c r="U23" s="4" t="s">
        <v>216</v>
      </c>
    </row>
    <row r="24" spans="1:23" x14ac:dyDescent="0.25">
      <c r="J24" s="4" t="s">
        <v>43</v>
      </c>
      <c r="K24">
        <v>0</v>
      </c>
      <c r="L24">
        <v>1</v>
      </c>
      <c r="M24" t="s">
        <v>219</v>
      </c>
      <c r="O24" s="4" t="s">
        <v>43</v>
      </c>
      <c r="P24">
        <v>0</v>
      </c>
      <c r="Q24">
        <v>1</v>
      </c>
      <c r="R24" t="s">
        <v>219</v>
      </c>
      <c r="T24" s="4" t="s">
        <v>43</v>
      </c>
      <c r="U24">
        <v>0</v>
      </c>
      <c r="V24">
        <v>1</v>
      </c>
      <c r="W24" t="s">
        <v>219</v>
      </c>
    </row>
    <row r="25" spans="1:23" x14ac:dyDescent="0.25">
      <c r="J25" t="s">
        <v>68</v>
      </c>
      <c r="K25">
        <v>7</v>
      </c>
      <c r="L25">
        <v>5</v>
      </c>
      <c r="M25">
        <v>12</v>
      </c>
      <c r="O25" t="s">
        <v>68</v>
      </c>
      <c r="P25" s="5">
        <v>0.58333333333333337</v>
      </c>
      <c r="Q25" s="7">
        <v>0.41666666666666669</v>
      </c>
      <c r="R25" s="5">
        <v>1</v>
      </c>
      <c r="T25" t="s">
        <v>68</v>
      </c>
      <c r="U25" s="5">
        <v>0.21212121212121213</v>
      </c>
      <c r="V25" s="5">
        <v>0.55555555555555558</v>
      </c>
      <c r="W25" s="5">
        <v>0.2857142857142857</v>
      </c>
    </row>
    <row r="26" spans="1:23" x14ac:dyDescent="0.25">
      <c r="J26" t="s">
        <v>36</v>
      </c>
      <c r="K26">
        <v>26</v>
      </c>
      <c r="L26">
        <v>4</v>
      </c>
      <c r="M26">
        <v>30</v>
      </c>
      <c r="O26" t="s">
        <v>36</v>
      </c>
      <c r="P26" s="8">
        <v>0.8666666666666667</v>
      </c>
      <c r="Q26" s="5">
        <v>0.13333333333333333</v>
      </c>
      <c r="R26" s="5">
        <v>1</v>
      </c>
      <c r="T26" t="s">
        <v>36</v>
      </c>
      <c r="U26" s="5">
        <v>0.78787878787878785</v>
      </c>
      <c r="V26" s="5">
        <v>0.44444444444444442</v>
      </c>
      <c r="W26" s="5">
        <v>0.7142857142857143</v>
      </c>
    </row>
    <row r="27" spans="1:23" x14ac:dyDescent="0.25">
      <c r="J27" t="s">
        <v>219</v>
      </c>
      <c r="K27">
        <v>33</v>
      </c>
      <c r="L27">
        <v>9</v>
      </c>
      <c r="M27">
        <v>42</v>
      </c>
      <c r="O27" t="s">
        <v>219</v>
      </c>
      <c r="P27" s="5">
        <v>0.7857142857142857</v>
      </c>
      <c r="Q27" s="5">
        <v>0.21428571428571427</v>
      </c>
      <c r="R27" s="5">
        <v>1</v>
      </c>
      <c r="T27" t="s">
        <v>219</v>
      </c>
      <c r="U27" s="5">
        <v>1</v>
      </c>
      <c r="V27" s="5">
        <v>1</v>
      </c>
      <c r="W27" s="5">
        <v>1</v>
      </c>
    </row>
  </sheetData>
  <mergeCells count="3">
    <mergeCell ref="B15:C15"/>
    <mergeCell ref="D15:E15"/>
    <mergeCell ref="F15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D825-5906-4D8A-9E54-9D2F76287FCE}">
  <dimension ref="A1:AM57"/>
  <sheetViews>
    <sheetView workbookViewId="0">
      <selection activeCell="A2" sqref="A2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232</v>
      </c>
      <c r="AI1" t="s">
        <v>46</v>
      </c>
      <c r="AJ1" t="s">
        <v>47</v>
      </c>
      <c r="AK1" t="s">
        <v>48</v>
      </c>
      <c r="AL1" t="s">
        <v>49</v>
      </c>
      <c r="AM1" t="s">
        <v>239</v>
      </c>
    </row>
    <row r="2" spans="1:39" x14ac:dyDescent="0.25">
      <c r="A2">
        <v>1</v>
      </c>
      <c r="B2" t="s">
        <v>233</v>
      </c>
      <c r="C2" t="s">
        <v>55</v>
      </c>
      <c r="D2">
        <v>162</v>
      </c>
      <c r="E2">
        <v>2.5000000000000001E-2</v>
      </c>
      <c r="F2" t="s">
        <v>240</v>
      </c>
      <c r="G2" t="b">
        <v>1</v>
      </c>
      <c r="H2" t="s">
        <v>56</v>
      </c>
      <c r="I2" t="s">
        <v>68</v>
      </c>
      <c r="J2">
        <v>3</v>
      </c>
      <c r="K2">
        <v>1</v>
      </c>
      <c r="L2" t="s">
        <v>241</v>
      </c>
      <c r="M2" t="s">
        <v>242</v>
      </c>
      <c r="N2" t="s">
        <v>243</v>
      </c>
      <c r="O2" t="s">
        <v>56</v>
      </c>
      <c r="P2" t="s">
        <v>61</v>
      </c>
      <c r="Q2" t="s">
        <v>62</v>
      </c>
      <c r="R2" t="s">
        <v>63</v>
      </c>
      <c r="S2" t="s">
        <v>64</v>
      </c>
      <c r="T2" t="s">
        <v>235</v>
      </c>
      <c r="U2" t="s">
        <v>66</v>
      </c>
      <c r="V2" t="s">
        <v>67</v>
      </c>
      <c r="W2" t="b">
        <v>0</v>
      </c>
      <c r="X2" t="b">
        <v>0</v>
      </c>
      <c r="AC2" t="s">
        <v>56</v>
      </c>
      <c r="AE2" t="s">
        <v>68</v>
      </c>
      <c r="AF2">
        <v>10000</v>
      </c>
      <c r="AG2">
        <v>1000</v>
      </c>
      <c r="AH2">
        <v>1234</v>
      </c>
      <c r="AI2" t="b">
        <v>1</v>
      </c>
      <c r="AJ2" t="b">
        <v>0</v>
      </c>
      <c r="AK2" t="b">
        <v>1</v>
      </c>
      <c r="AL2" t="b">
        <v>0</v>
      </c>
      <c r="AM2">
        <v>0</v>
      </c>
    </row>
    <row r="3" spans="1:39" x14ac:dyDescent="0.25">
      <c r="A3">
        <v>2</v>
      </c>
      <c r="B3" t="s">
        <v>233</v>
      </c>
      <c r="C3" t="s">
        <v>55</v>
      </c>
      <c r="D3">
        <v>162</v>
      </c>
      <c r="E3">
        <v>2.5000000000000001E-2</v>
      </c>
      <c r="F3" t="s">
        <v>240</v>
      </c>
      <c r="G3" t="b">
        <v>1</v>
      </c>
      <c r="H3" t="s">
        <v>56</v>
      </c>
      <c r="I3" t="s">
        <v>58</v>
      </c>
      <c r="J3">
        <v>3</v>
      </c>
      <c r="K3">
        <v>1</v>
      </c>
      <c r="L3" t="s">
        <v>241</v>
      </c>
      <c r="M3" t="s">
        <v>242</v>
      </c>
      <c r="N3" t="s">
        <v>243</v>
      </c>
      <c r="O3" t="s">
        <v>56</v>
      </c>
      <c r="P3" t="s">
        <v>61</v>
      </c>
      <c r="Q3" t="s">
        <v>62</v>
      </c>
      <c r="R3" t="s">
        <v>63</v>
      </c>
      <c r="S3" t="s">
        <v>64</v>
      </c>
      <c r="T3" t="s">
        <v>235</v>
      </c>
      <c r="U3" t="s">
        <v>66</v>
      </c>
      <c r="V3" t="s">
        <v>67</v>
      </c>
      <c r="W3" t="b">
        <v>0</v>
      </c>
      <c r="X3" t="b">
        <v>0</v>
      </c>
      <c r="AC3" t="s">
        <v>56</v>
      </c>
      <c r="AE3" t="s">
        <v>68</v>
      </c>
      <c r="AF3">
        <v>10000</v>
      </c>
      <c r="AG3">
        <v>1000</v>
      </c>
      <c r="AH3">
        <v>1234</v>
      </c>
      <c r="AI3" t="b">
        <v>1</v>
      </c>
      <c r="AJ3" t="b">
        <v>0</v>
      </c>
      <c r="AK3" t="b">
        <v>1</v>
      </c>
      <c r="AL3" t="b">
        <v>0</v>
      </c>
      <c r="AM3">
        <v>0</v>
      </c>
    </row>
    <row r="4" spans="1:39" x14ac:dyDescent="0.25">
      <c r="A4">
        <v>3</v>
      </c>
      <c r="B4" t="s">
        <v>236</v>
      </c>
      <c r="C4" t="s">
        <v>55</v>
      </c>
      <c r="D4">
        <v>162</v>
      </c>
      <c r="E4">
        <v>2.5000000000000001E-2</v>
      </c>
      <c r="F4" t="s">
        <v>240</v>
      </c>
      <c r="G4" t="b">
        <v>1</v>
      </c>
      <c r="H4" t="s">
        <v>56</v>
      </c>
      <c r="I4" t="s">
        <v>68</v>
      </c>
      <c r="J4">
        <v>3</v>
      </c>
      <c r="K4">
        <v>1</v>
      </c>
      <c r="L4" t="s">
        <v>241</v>
      </c>
      <c r="M4" t="s">
        <v>242</v>
      </c>
      <c r="N4" t="s">
        <v>243</v>
      </c>
      <c r="O4" t="s">
        <v>56</v>
      </c>
      <c r="P4" t="s">
        <v>61</v>
      </c>
      <c r="Q4" t="s">
        <v>62</v>
      </c>
      <c r="R4" t="s">
        <v>63</v>
      </c>
      <c r="S4" t="s">
        <v>64</v>
      </c>
      <c r="T4" t="s">
        <v>235</v>
      </c>
      <c r="U4" t="s">
        <v>66</v>
      </c>
      <c r="V4" t="s">
        <v>67</v>
      </c>
      <c r="W4" t="b">
        <v>0</v>
      </c>
      <c r="X4" t="b">
        <v>1</v>
      </c>
      <c r="Y4">
        <v>1</v>
      </c>
      <c r="Z4">
        <v>1</v>
      </c>
      <c r="AA4" t="s">
        <v>72</v>
      </c>
      <c r="AB4" t="s">
        <v>73</v>
      </c>
      <c r="AC4">
        <v>0.5</v>
      </c>
      <c r="AD4" t="b">
        <v>0</v>
      </c>
      <c r="AE4" t="s">
        <v>68</v>
      </c>
      <c r="AF4">
        <v>10000</v>
      </c>
      <c r="AG4">
        <v>1000</v>
      </c>
      <c r="AH4">
        <v>1234</v>
      </c>
      <c r="AI4" t="b">
        <v>1</v>
      </c>
      <c r="AJ4" t="b">
        <v>0</v>
      </c>
      <c r="AK4" t="b">
        <v>1</v>
      </c>
      <c r="AL4" t="b">
        <v>0</v>
      </c>
      <c r="AM4">
        <v>0</v>
      </c>
    </row>
    <row r="5" spans="1:39" x14ac:dyDescent="0.25">
      <c r="A5">
        <v>4</v>
      </c>
      <c r="B5" t="s">
        <v>236</v>
      </c>
      <c r="C5" t="s">
        <v>55</v>
      </c>
      <c r="D5">
        <v>162</v>
      </c>
      <c r="E5">
        <v>2.5000000000000001E-2</v>
      </c>
      <c r="F5" t="s">
        <v>240</v>
      </c>
      <c r="G5" t="b">
        <v>1</v>
      </c>
      <c r="H5" t="s">
        <v>56</v>
      </c>
      <c r="I5" t="s">
        <v>58</v>
      </c>
      <c r="J5">
        <v>3</v>
      </c>
      <c r="K5">
        <v>1</v>
      </c>
      <c r="L5" t="s">
        <v>241</v>
      </c>
      <c r="M5" t="s">
        <v>242</v>
      </c>
      <c r="N5" t="s">
        <v>243</v>
      </c>
      <c r="O5" t="s">
        <v>56</v>
      </c>
      <c r="P5" t="s">
        <v>61</v>
      </c>
      <c r="Q5" t="s">
        <v>62</v>
      </c>
      <c r="R5" t="s">
        <v>63</v>
      </c>
      <c r="S5" t="s">
        <v>64</v>
      </c>
      <c r="T5" t="s">
        <v>235</v>
      </c>
      <c r="U5" t="s">
        <v>66</v>
      </c>
      <c r="V5" t="s">
        <v>67</v>
      </c>
      <c r="W5" t="b">
        <v>0</v>
      </c>
      <c r="X5" t="b">
        <v>1</v>
      </c>
      <c r="Y5">
        <v>1</v>
      </c>
      <c r="Z5">
        <v>1</v>
      </c>
      <c r="AA5" t="s">
        <v>72</v>
      </c>
      <c r="AB5" t="s">
        <v>73</v>
      </c>
      <c r="AC5">
        <v>0.5</v>
      </c>
      <c r="AD5" t="b">
        <v>0</v>
      </c>
      <c r="AE5" t="s">
        <v>68</v>
      </c>
      <c r="AF5">
        <v>10000</v>
      </c>
      <c r="AG5">
        <v>1000</v>
      </c>
      <c r="AH5">
        <v>1234</v>
      </c>
      <c r="AI5" t="b">
        <v>1</v>
      </c>
      <c r="AJ5" t="b">
        <v>0</v>
      </c>
      <c r="AK5" t="b">
        <v>1</v>
      </c>
      <c r="AL5" t="b">
        <v>0</v>
      </c>
      <c r="AM5">
        <v>0</v>
      </c>
    </row>
    <row r="6" spans="1:39" x14ac:dyDescent="0.25">
      <c r="A6">
        <v>5</v>
      </c>
      <c r="B6" t="s">
        <v>237</v>
      </c>
      <c r="C6" t="s">
        <v>55</v>
      </c>
      <c r="D6">
        <v>162</v>
      </c>
      <c r="E6">
        <v>2.5000000000000001E-2</v>
      </c>
      <c r="F6" t="s">
        <v>240</v>
      </c>
      <c r="G6" t="b">
        <v>1</v>
      </c>
      <c r="H6" t="s">
        <v>56</v>
      </c>
      <c r="I6" t="s">
        <v>68</v>
      </c>
      <c r="J6">
        <v>3</v>
      </c>
      <c r="K6">
        <v>1</v>
      </c>
      <c r="L6" t="s">
        <v>241</v>
      </c>
      <c r="M6" t="s">
        <v>242</v>
      </c>
      <c r="N6" t="s">
        <v>243</v>
      </c>
      <c r="O6" t="s">
        <v>56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b">
        <v>0</v>
      </c>
      <c r="X6" t="b">
        <v>0</v>
      </c>
      <c r="AC6" t="s">
        <v>56</v>
      </c>
      <c r="AE6" t="s">
        <v>68</v>
      </c>
      <c r="AF6">
        <v>10000</v>
      </c>
      <c r="AG6">
        <v>1000</v>
      </c>
      <c r="AH6">
        <v>1234</v>
      </c>
      <c r="AI6" t="b">
        <v>1</v>
      </c>
      <c r="AJ6" t="b">
        <v>0</v>
      </c>
      <c r="AK6" t="b">
        <v>1</v>
      </c>
      <c r="AL6" t="b">
        <v>0</v>
      </c>
      <c r="AM6">
        <v>0</v>
      </c>
    </row>
    <row r="7" spans="1:39" x14ac:dyDescent="0.25">
      <c r="A7">
        <v>6</v>
      </c>
      <c r="B7" t="s">
        <v>237</v>
      </c>
      <c r="C7" t="s">
        <v>55</v>
      </c>
      <c r="D7">
        <v>162</v>
      </c>
      <c r="E7">
        <v>2.5000000000000001E-2</v>
      </c>
      <c r="F7" t="s">
        <v>240</v>
      </c>
      <c r="G7" t="b">
        <v>1</v>
      </c>
      <c r="H7" t="s">
        <v>56</v>
      </c>
      <c r="I7" t="s">
        <v>58</v>
      </c>
      <c r="J7">
        <v>3</v>
      </c>
      <c r="K7">
        <v>1</v>
      </c>
      <c r="L7" t="s">
        <v>241</v>
      </c>
      <c r="M7" t="s">
        <v>242</v>
      </c>
      <c r="N7" t="s">
        <v>243</v>
      </c>
      <c r="O7" t="s">
        <v>56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b">
        <v>0</v>
      </c>
      <c r="X7" t="b">
        <v>0</v>
      </c>
      <c r="AC7" t="s">
        <v>56</v>
      </c>
      <c r="AE7" t="s">
        <v>68</v>
      </c>
      <c r="AF7">
        <v>10000</v>
      </c>
      <c r="AG7">
        <v>1000</v>
      </c>
      <c r="AH7">
        <v>1234</v>
      </c>
      <c r="AI7" t="b">
        <v>1</v>
      </c>
      <c r="AJ7" t="b">
        <v>0</v>
      </c>
      <c r="AK7" t="b">
        <v>1</v>
      </c>
      <c r="AL7" t="b">
        <v>0</v>
      </c>
      <c r="AM7">
        <v>0</v>
      </c>
    </row>
    <row r="8" spans="1:39" x14ac:dyDescent="0.25">
      <c r="A8">
        <v>7</v>
      </c>
      <c r="B8" t="s">
        <v>238</v>
      </c>
      <c r="C8" t="s">
        <v>55</v>
      </c>
      <c r="D8">
        <v>162</v>
      </c>
      <c r="E8">
        <v>2.5000000000000001E-2</v>
      </c>
      <c r="F8" t="s">
        <v>240</v>
      </c>
      <c r="G8" t="b">
        <v>1</v>
      </c>
      <c r="H8" t="s">
        <v>56</v>
      </c>
      <c r="I8" t="s">
        <v>68</v>
      </c>
      <c r="J8">
        <v>3</v>
      </c>
      <c r="K8">
        <v>1</v>
      </c>
      <c r="L8" t="s">
        <v>241</v>
      </c>
      <c r="M8" t="s">
        <v>242</v>
      </c>
      <c r="N8" t="s">
        <v>243</v>
      </c>
      <c r="O8" t="s">
        <v>56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b">
        <v>0</v>
      </c>
      <c r="X8" t="b">
        <v>1</v>
      </c>
      <c r="Y8">
        <v>1</v>
      </c>
      <c r="Z8">
        <v>1</v>
      </c>
      <c r="AA8" t="s">
        <v>72</v>
      </c>
      <c r="AB8" t="s">
        <v>73</v>
      </c>
      <c r="AC8">
        <v>0.5</v>
      </c>
      <c r="AD8" t="b">
        <v>0</v>
      </c>
      <c r="AE8" t="s">
        <v>68</v>
      </c>
      <c r="AF8">
        <v>10000</v>
      </c>
      <c r="AG8">
        <v>1000</v>
      </c>
      <c r="AH8">
        <v>1234</v>
      </c>
      <c r="AI8" t="b">
        <v>1</v>
      </c>
      <c r="AJ8" t="b">
        <v>0</v>
      </c>
      <c r="AK8" t="b">
        <v>1</v>
      </c>
      <c r="AL8" t="b">
        <v>0</v>
      </c>
      <c r="AM8">
        <v>0</v>
      </c>
    </row>
    <row r="9" spans="1:39" x14ac:dyDescent="0.25">
      <c r="A9">
        <v>8</v>
      </c>
      <c r="B9" t="s">
        <v>238</v>
      </c>
      <c r="C9" t="s">
        <v>55</v>
      </c>
      <c r="D9">
        <v>162</v>
      </c>
      <c r="E9">
        <v>2.5000000000000001E-2</v>
      </c>
      <c r="F9" t="s">
        <v>240</v>
      </c>
      <c r="G9" t="b">
        <v>1</v>
      </c>
      <c r="H9" t="s">
        <v>56</v>
      </c>
      <c r="I9" t="s">
        <v>58</v>
      </c>
      <c r="J9">
        <v>3</v>
      </c>
      <c r="K9">
        <v>1</v>
      </c>
      <c r="L9" t="s">
        <v>241</v>
      </c>
      <c r="M9" t="s">
        <v>242</v>
      </c>
      <c r="N9" t="s">
        <v>243</v>
      </c>
      <c r="O9" t="s">
        <v>56</v>
      </c>
      <c r="P9" t="s">
        <v>61</v>
      </c>
      <c r="Q9" t="s">
        <v>62</v>
      </c>
      <c r="R9" t="s">
        <v>63</v>
      </c>
      <c r="S9" t="s">
        <v>64</v>
      </c>
      <c r="T9" t="s">
        <v>65</v>
      </c>
      <c r="U9" t="s">
        <v>66</v>
      </c>
      <c r="V9" t="s">
        <v>67</v>
      </c>
      <c r="W9" t="b">
        <v>0</v>
      </c>
      <c r="X9" t="b">
        <v>1</v>
      </c>
      <c r="Y9">
        <v>1</v>
      </c>
      <c r="Z9">
        <v>1</v>
      </c>
      <c r="AA9" t="s">
        <v>72</v>
      </c>
      <c r="AB9" t="s">
        <v>73</v>
      </c>
      <c r="AC9">
        <v>0.5</v>
      </c>
      <c r="AD9" t="b">
        <v>0</v>
      </c>
      <c r="AE9" t="s">
        <v>68</v>
      </c>
      <c r="AF9">
        <v>10000</v>
      </c>
      <c r="AG9">
        <v>1000</v>
      </c>
      <c r="AH9">
        <v>1234</v>
      </c>
      <c r="AI9" t="b">
        <v>1</v>
      </c>
      <c r="AJ9" t="b">
        <v>0</v>
      </c>
      <c r="AK9" t="b">
        <v>1</v>
      </c>
      <c r="AL9" t="b">
        <v>0</v>
      </c>
      <c r="AM9">
        <v>0</v>
      </c>
    </row>
    <row r="10" spans="1:39" x14ac:dyDescent="0.25">
      <c r="A10">
        <v>9</v>
      </c>
      <c r="B10" t="s">
        <v>50</v>
      </c>
      <c r="C10" t="s">
        <v>55</v>
      </c>
      <c r="D10">
        <v>600</v>
      </c>
      <c r="E10">
        <v>2.5000000000000001E-2</v>
      </c>
      <c r="F10" t="s">
        <v>244</v>
      </c>
      <c r="G10" t="b">
        <v>1</v>
      </c>
      <c r="H10" t="s">
        <v>56</v>
      </c>
      <c r="I10" t="s">
        <v>58</v>
      </c>
      <c r="J10">
        <v>3</v>
      </c>
      <c r="K10">
        <v>1</v>
      </c>
      <c r="L10" t="s">
        <v>241</v>
      </c>
      <c r="M10" t="s">
        <v>242</v>
      </c>
      <c r="N10" t="s">
        <v>243</v>
      </c>
      <c r="O10" t="s">
        <v>56</v>
      </c>
      <c r="P10" t="s">
        <v>61</v>
      </c>
      <c r="Q10" t="s">
        <v>62</v>
      </c>
      <c r="R10" t="s">
        <v>63</v>
      </c>
      <c r="S10" t="s">
        <v>64</v>
      </c>
      <c r="T10" t="s">
        <v>65</v>
      </c>
      <c r="U10" t="s">
        <v>66</v>
      </c>
      <c r="V10" t="s">
        <v>67</v>
      </c>
      <c r="W10" t="b">
        <v>0</v>
      </c>
      <c r="X10" t="b">
        <v>0</v>
      </c>
      <c r="AC10" t="s">
        <v>56</v>
      </c>
      <c r="AE10" t="s">
        <v>68</v>
      </c>
      <c r="AF10">
        <v>10000</v>
      </c>
      <c r="AG10">
        <v>1000</v>
      </c>
      <c r="AH10">
        <v>64564</v>
      </c>
      <c r="AI10" t="b">
        <v>1</v>
      </c>
      <c r="AJ10" t="b">
        <v>0</v>
      </c>
      <c r="AK10" t="b">
        <v>1</v>
      </c>
      <c r="AL10" t="b">
        <v>0</v>
      </c>
      <c r="AM10">
        <v>0</v>
      </c>
    </row>
    <row r="11" spans="1:39" x14ac:dyDescent="0.25">
      <c r="A11">
        <v>10</v>
      </c>
      <c r="B11" t="s">
        <v>69</v>
      </c>
      <c r="C11" t="s">
        <v>55</v>
      </c>
      <c r="D11">
        <v>600</v>
      </c>
      <c r="E11">
        <v>2.5000000000000001E-2</v>
      </c>
      <c r="F11" t="s">
        <v>244</v>
      </c>
      <c r="G11" t="b">
        <v>1</v>
      </c>
      <c r="H11" t="s">
        <v>56</v>
      </c>
      <c r="I11" t="s">
        <v>58</v>
      </c>
      <c r="J11">
        <v>3</v>
      </c>
      <c r="K11">
        <v>1</v>
      </c>
      <c r="L11" t="s">
        <v>241</v>
      </c>
      <c r="M11" t="s">
        <v>242</v>
      </c>
      <c r="N11" t="s">
        <v>243</v>
      </c>
      <c r="O11" t="s">
        <v>56</v>
      </c>
      <c r="P11" t="s">
        <v>61</v>
      </c>
      <c r="Q11" t="s">
        <v>62</v>
      </c>
      <c r="R11" t="s">
        <v>63</v>
      </c>
      <c r="S11" t="s">
        <v>64</v>
      </c>
      <c r="T11" t="s">
        <v>65</v>
      </c>
      <c r="U11" t="s">
        <v>66</v>
      </c>
      <c r="V11" t="s">
        <v>67</v>
      </c>
      <c r="W11" t="b">
        <v>0</v>
      </c>
      <c r="X11" t="b">
        <v>1</v>
      </c>
      <c r="Y11">
        <v>1</v>
      </c>
      <c r="Z11">
        <v>1</v>
      </c>
      <c r="AA11" t="s">
        <v>72</v>
      </c>
      <c r="AB11" t="s">
        <v>73</v>
      </c>
      <c r="AC11">
        <v>0.5</v>
      </c>
      <c r="AD11" t="b">
        <v>0</v>
      </c>
      <c r="AE11" t="s">
        <v>68</v>
      </c>
      <c r="AF11">
        <v>10000</v>
      </c>
      <c r="AG11">
        <v>1000</v>
      </c>
      <c r="AH11">
        <v>73236</v>
      </c>
      <c r="AI11" t="b">
        <v>1</v>
      </c>
      <c r="AJ11" t="b">
        <v>0</v>
      </c>
      <c r="AK11" t="b">
        <v>1</v>
      </c>
      <c r="AL11" t="b">
        <v>0</v>
      </c>
      <c r="AM11">
        <v>0</v>
      </c>
    </row>
    <row r="12" spans="1:39" x14ac:dyDescent="0.25">
      <c r="A12">
        <v>11</v>
      </c>
      <c r="B12" t="s">
        <v>74</v>
      </c>
      <c r="C12" t="s">
        <v>55</v>
      </c>
      <c r="D12">
        <v>600</v>
      </c>
      <c r="E12">
        <v>2.5000000000000001E-2</v>
      </c>
      <c r="F12" t="s">
        <v>244</v>
      </c>
      <c r="G12" t="b">
        <v>1</v>
      </c>
      <c r="H12" t="s">
        <v>56</v>
      </c>
      <c r="I12" t="s">
        <v>58</v>
      </c>
      <c r="J12">
        <v>3</v>
      </c>
      <c r="K12">
        <v>1</v>
      </c>
      <c r="L12" t="s">
        <v>241</v>
      </c>
      <c r="M12" t="s">
        <v>242</v>
      </c>
      <c r="N12" t="s">
        <v>243</v>
      </c>
      <c r="O12" t="s">
        <v>56</v>
      </c>
      <c r="P12" t="s">
        <v>61</v>
      </c>
      <c r="Q12" t="s">
        <v>62</v>
      </c>
      <c r="R12" t="s">
        <v>63</v>
      </c>
      <c r="S12" t="s">
        <v>64</v>
      </c>
      <c r="T12" t="s">
        <v>65</v>
      </c>
      <c r="U12" t="s">
        <v>66</v>
      </c>
      <c r="V12" t="s">
        <v>67</v>
      </c>
      <c r="W12" t="b">
        <v>0</v>
      </c>
      <c r="X12" t="b">
        <v>1</v>
      </c>
      <c r="Y12">
        <v>1</v>
      </c>
      <c r="Z12">
        <v>1</v>
      </c>
      <c r="AA12" t="s">
        <v>77</v>
      </c>
      <c r="AB12" t="s">
        <v>78</v>
      </c>
      <c r="AC12">
        <v>0.5</v>
      </c>
      <c r="AD12" t="b">
        <v>0</v>
      </c>
      <c r="AE12" t="s">
        <v>68</v>
      </c>
      <c r="AF12">
        <v>10000</v>
      </c>
      <c r="AG12">
        <v>1000</v>
      </c>
      <c r="AH12">
        <v>11111</v>
      </c>
      <c r="AI12" t="b">
        <v>1</v>
      </c>
      <c r="AJ12" t="b">
        <v>0</v>
      </c>
      <c r="AK12" t="b">
        <v>1</v>
      </c>
      <c r="AL12" t="b">
        <v>0</v>
      </c>
      <c r="AM12">
        <v>0</v>
      </c>
    </row>
    <row r="13" spans="1:39" x14ac:dyDescent="0.25">
      <c r="A13">
        <v>12</v>
      </c>
      <c r="B13" t="s">
        <v>79</v>
      </c>
      <c r="C13" t="s">
        <v>55</v>
      </c>
      <c r="D13">
        <v>600</v>
      </c>
      <c r="E13">
        <v>2.5000000000000001E-2</v>
      </c>
      <c r="F13" t="s">
        <v>244</v>
      </c>
      <c r="G13" t="b">
        <v>1</v>
      </c>
      <c r="H13" t="s">
        <v>56</v>
      </c>
      <c r="I13" t="s">
        <v>58</v>
      </c>
      <c r="J13">
        <v>3</v>
      </c>
      <c r="K13">
        <v>1</v>
      </c>
      <c r="L13" t="s">
        <v>241</v>
      </c>
      <c r="M13" t="s">
        <v>242</v>
      </c>
      <c r="N13" t="s">
        <v>243</v>
      </c>
      <c r="O13" t="s">
        <v>56</v>
      </c>
      <c r="P13" t="s">
        <v>61</v>
      </c>
      <c r="Q13" t="s">
        <v>62</v>
      </c>
      <c r="R13" t="s">
        <v>63</v>
      </c>
      <c r="S13" t="s">
        <v>64</v>
      </c>
      <c r="T13" t="s">
        <v>65</v>
      </c>
      <c r="U13" t="s">
        <v>66</v>
      </c>
      <c r="V13" t="s">
        <v>67</v>
      </c>
      <c r="W13" t="b">
        <v>0</v>
      </c>
      <c r="X13" t="b">
        <v>1</v>
      </c>
      <c r="Y13">
        <v>1</v>
      </c>
      <c r="Z13">
        <v>1</v>
      </c>
      <c r="AA13" t="s">
        <v>77</v>
      </c>
      <c r="AB13" t="s">
        <v>78</v>
      </c>
      <c r="AC13">
        <v>0.75</v>
      </c>
      <c r="AD13" t="b">
        <v>1</v>
      </c>
      <c r="AE13" t="s">
        <v>36</v>
      </c>
      <c r="AF13">
        <v>10000</v>
      </c>
      <c r="AG13">
        <v>1000</v>
      </c>
      <c r="AH13">
        <v>343</v>
      </c>
      <c r="AI13" t="b">
        <v>1</v>
      </c>
      <c r="AJ13" t="b">
        <v>0</v>
      </c>
      <c r="AK13" t="b">
        <v>1</v>
      </c>
      <c r="AL13" t="b">
        <v>0</v>
      </c>
      <c r="AM13">
        <v>0</v>
      </c>
    </row>
    <row r="14" spans="1:39" x14ac:dyDescent="0.25">
      <c r="A14">
        <v>13</v>
      </c>
      <c r="B14" t="s">
        <v>82</v>
      </c>
      <c r="C14" t="s">
        <v>55</v>
      </c>
      <c r="D14">
        <v>600</v>
      </c>
      <c r="E14">
        <v>2.5000000000000001E-2</v>
      </c>
      <c r="F14" t="s">
        <v>244</v>
      </c>
      <c r="G14" t="b">
        <v>1</v>
      </c>
      <c r="H14" t="s">
        <v>56</v>
      </c>
      <c r="I14" t="s">
        <v>58</v>
      </c>
      <c r="J14">
        <v>3</v>
      </c>
      <c r="K14">
        <v>1</v>
      </c>
      <c r="L14" t="s">
        <v>241</v>
      </c>
      <c r="M14" t="s">
        <v>242</v>
      </c>
      <c r="N14" t="s">
        <v>243</v>
      </c>
      <c r="O14" t="s">
        <v>56</v>
      </c>
      <c r="P14" t="s">
        <v>61</v>
      </c>
      <c r="Q14" t="s">
        <v>62</v>
      </c>
      <c r="R14" t="s">
        <v>63</v>
      </c>
      <c r="S14" t="s">
        <v>64</v>
      </c>
      <c r="T14" t="s">
        <v>65</v>
      </c>
      <c r="U14" t="s">
        <v>66</v>
      </c>
      <c r="V14" t="s">
        <v>67</v>
      </c>
      <c r="W14" t="b">
        <v>0</v>
      </c>
      <c r="X14" t="b">
        <v>1</v>
      </c>
      <c r="Y14">
        <v>1</v>
      </c>
      <c r="Z14">
        <v>1</v>
      </c>
      <c r="AA14" t="s">
        <v>77</v>
      </c>
      <c r="AB14" t="s">
        <v>78</v>
      </c>
      <c r="AC14">
        <v>0.5</v>
      </c>
      <c r="AD14" t="b">
        <v>1</v>
      </c>
      <c r="AE14" t="s">
        <v>36</v>
      </c>
      <c r="AF14">
        <v>10000</v>
      </c>
      <c r="AG14">
        <v>1000</v>
      </c>
      <c r="AH14">
        <v>84234</v>
      </c>
      <c r="AI14" t="b">
        <v>1</v>
      </c>
      <c r="AJ14" t="b">
        <v>0</v>
      </c>
      <c r="AK14" t="b">
        <v>1</v>
      </c>
      <c r="AL14" t="b">
        <v>0</v>
      </c>
      <c r="AM14">
        <v>0</v>
      </c>
    </row>
    <row r="15" spans="1:39" x14ac:dyDescent="0.25">
      <c r="A15">
        <v>14</v>
      </c>
      <c r="B15" t="s">
        <v>85</v>
      </c>
      <c r="C15" t="s">
        <v>55</v>
      </c>
      <c r="D15">
        <v>600</v>
      </c>
      <c r="E15">
        <v>2.5000000000000001E-2</v>
      </c>
      <c r="F15" t="s">
        <v>244</v>
      </c>
      <c r="G15" t="b">
        <v>1</v>
      </c>
      <c r="H15" t="s">
        <v>56</v>
      </c>
      <c r="I15" t="s">
        <v>58</v>
      </c>
      <c r="J15">
        <v>3</v>
      </c>
      <c r="K15">
        <v>1</v>
      </c>
      <c r="L15" t="s">
        <v>241</v>
      </c>
      <c r="M15" t="s">
        <v>242</v>
      </c>
      <c r="N15" t="s">
        <v>243</v>
      </c>
      <c r="O15" t="s">
        <v>56</v>
      </c>
      <c r="P15" t="s">
        <v>61</v>
      </c>
      <c r="Q15" t="s">
        <v>62</v>
      </c>
      <c r="R15" t="s">
        <v>63</v>
      </c>
      <c r="S15" t="s">
        <v>64</v>
      </c>
      <c r="T15" t="s">
        <v>65</v>
      </c>
      <c r="U15" t="s">
        <v>66</v>
      </c>
      <c r="V15" t="s">
        <v>67</v>
      </c>
      <c r="W15" t="b">
        <v>0</v>
      </c>
      <c r="X15" t="b">
        <v>1</v>
      </c>
      <c r="Y15">
        <v>1</v>
      </c>
      <c r="Z15">
        <v>1</v>
      </c>
      <c r="AA15" t="s">
        <v>77</v>
      </c>
      <c r="AB15" t="s">
        <v>78</v>
      </c>
      <c r="AC15">
        <v>0.25</v>
      </c>
      <c r="AD15" t="b">
        <v>1</v>
      </c>
      <c r="AE15" t="s">
        <v>36</v>
      </c>
      <c r="AF15">
        <v>10000</v>
      </c>
      <c r="AG15">
        <v>1000</v>
      </c>
      <c r="AH15">
        <v>4346</v>
      </c>
      <c r="AI15" t="b">
        <v>1</v>
      </c>
      <c r="AJ15" t="b">
        <v>0</v>
      </c>
      <c r="AK15" t="b">
        <v>1</v>
      </c>
      <c r="AL15" t="b">
        <v>0</v>
      </c>
      <c r="AM15">
        <v>0</v>
      </c>
    </row>
    <row r="16" spans="1:39" x14ac:dyDescent="0.25">
      <c r="A16">
        <v>15</v>
      </c>
      <c r="B16" t="s">
        <v>88</v>
      </c>
      <c r="C16" t="s">
        <v>55</v>
      </c>
      <c r="D16">
        <v>600</v>
      </c>
      <c r="E16">
        <v>2.5000000000000001E-2</v>
      </c>
      <c r="F16" t="s">
        <v>244</v>
      </c>
      <c r="G16" t="b">
        <v>1</v>
      </c>
      <c r="H16" t="s">
        <v>56</v>
      </c>
      <c r="I16" t="s">
        <v>58</v>
      </c>
      <c r="J16">
        <v>3</v>
      </c>
      <c r="K16">
        <v>1</v>
      </c>
      <c r="L16" t="s">
        <v>241</v>
      </c>
      <c r="M16" t="s">
        <v>242</v>
      </c>
      <c r="N16" t="s">
        <v>243</v>
      </c>
      <c r="O16" t="s">
        <v>56</v>
      </c>
      <c r="P16" t="s">
        <v>61</v>
      </c>
      <c r="Q16" t="s">
        <v>62</v>
      </c>
      <c r="R16" t="s">
        <v>63</v>
      </c>
      <c r="S16" t="s">
        <v>64</v>
      </c>
      <c r="T16" t="s">
        <v>65</v>
      </c>
      <c r="U16" t="s">
        <v>66</v>
      </c>
      <c r="V16" t="s">
        <v>67</v>
      </c>
      <c r="W16" t="b">
        <v>0</v>
      </c>
      <c r="X16" t="b">
        <v>1</v>
      </c>
      <c r="Y16">
        <v>1</v>
      </c>
      <c r="Z16">
        <v>1</v>
      </c>
      <c r="AA16" t="s">
        <v>77</v>
      </c>
      <c r="AB16" t="s">
        <v>73</v>
      </c>
      <c r="AC16">
        <v>1</v>
      </c>
      <c r="AD16" t="b">
        <v>1</v>
      </c>
      <c r="AE16" t="s">
        <v>36</v>
      </c>
      <c r="AF16">
        <v>10000</v>
      </c>
      <c r="AG16">
        <v>1000</v>
      </c>
      <c r="AH16">
        <v>9504</v>
      </c>
      <c r="AI16" t="b">
        <v>1</v>
      </c>
      <c r="AJ16" t="b">
        <v>0</v>
      </c>
      <c r="AK16" t="b">
        <v>1</v>
      </c>
      <c r="AL16" t="b">
        <v>0</v>
      </c>
      <c r="AM16">
        <v>0</v>
      </c>
    </row>
    <row r="17" spans="1:39" x14ac:dyDescent="0.25">
      <c r="A17">
        <v>16</v>
      </c>
      <c r="B17" t="s">
        <v>91</v>
      </c>
      <c r="C17" t="s">
        <v>55</v>
      </c>
      <c r="D17">
        <v>600</v>
      </c>
      <c r="E17">
        <v>2.5000000000000001E-2</v>
      </c>
      <c r="F17" t="s">
        <v>244</v>
      </c>
      <c r="G17" t="b">
        <v>1</v>
      </c>
      <c r="H17" t="s">
        <v>56</v>
      </c>
      <c r="I17" t="s">
        <v>58</v>
      </c>
      <c r="J17">
        <v>3</v>
      </c>
      <c r="K17">
        <v>1</v>
      </c>
      <c r="L17" t="s">
        <v>241</v>
      </c>
      <c r="M17" t="s">
        <v>242</v>
      </c>
      <c r="N17" t="s">
        <v>243</v>
      </c>
      <c r="O17" t="s">
        <v>56</v>
      </c>
      <c r="P17" t="s">
        <v>61</v>
      </c>
      <c r="Q17" t="s">
        <v>62</v>
      </c>
      <c r="R17" t="s">
        <v>63</v>
      </c>
      <c r="S17" t="s">
        <v>64</v>
      </c>
      <c r="T17" t="s">
        <v>65</v>
      </c>
      <c r="U17" t="s">
        <v>66</v>
      </c>
      <c r="V17" t="s">
        <v>67</v>
      </c>
      <c r="W17" t="b">
        <v>0</v>
      </c>
      <c r="X17" t="b">
        <v>1</v>
      </c>
      <c r="Y17">
        <v>1</v>
      </c>
      <c r="Z17">
        <v>1</v>
      </c>
      <c r="AA17" t="s">
        <v>77</v>
      </c>
      <c r="AB17" t="s">
        <v>73</v>
      </c>
      <c r="AC17">
        <v>2</v>
      </c>
      <c r="AD17" t="b">
        <v>1</v>
      </c>
      <c r="AE17" t="s">
        <v>36</v>
      </c>
      <c r="AF17">
        <v>10000</v>
      </c>
      <c r="AG17">
        <v>1000</v>
      </c>
      <c r="AH17">
        <v>2300</v>
      </c>
      <c r="AI17" t="b">
        <v>1</v>
      </c>
      <c r="AJ17" t="b">
        <v>0</v>
      </c>
      <c r="AK17" t="b">
        <v>1</v>
      </c>
      <c r="AL17" t="b">
        <v>0</v>
      </c>
      <c r="AM17">
        <v>0</v>
      </c>
    </row>
    <row r="18" spans="1:39" x14ac:dyDescent="0.25">
      <c r="A18">
        <v>17</v>
      </c>
      <c r="B18" t="s">
        <v>94</v>
      </c>
      <c r="C18" t="s">
        <v>55</v>
      </c>
      <c r="D18">
        <v>400</v>
      </c>
      <c r="E18">
        <v>2.5000000000000001E-2</v>
      </c>
      <c r="F18" t="s">
        <v>244</v>
      </c>
      <c r="G18" t="b">
        <v>1</v>
      </c>
      <c r="H18" t="s">
        <v>56</v>
      </c>
      <c r="I18" t="s">
        <v>58</v>
      </c>
      <c r="J18">
        <v>3</v>
      </c>
      <c r="K18">
        <v>1</v>
      </c>
      <c r="L18" t="s">
        <v>241</v>
      </c>
      <c r="M18" t="s">
        <v>242</v>
      </c>
      <c r="N18" t="s">
        <v>243</v>
      </c>
      <c r="O18" t="s">
        <v>56</v>
      </c>
      <c r="P18" t="s">
        <v>61</v>
      </c>
      <c r="Q18" t="s">
        <v>62</v>
      </c>
      <c r="R18" t="s">
        <v>63</v>
      </c>
      <c r="S18" t="s">
        <v>64</v>
      </c>
      <c r="T18" t="s">
        <v>65</v>
      </c>
      <c r="U18" t="s">
        <v>97</v>
      </c>
      <c r="V18" t="s">
        <v>67</v>
      </c>
      <c r="W18" t="b">
        <v>0</v>
      </c>
      <c r="X18" t="b">
        <v>0</v>
      </c>
      <c r="AC18" t="s">
        <v>56</v>
      </c>
      <c r="AE18" t="s">
        <v>68</v>
      </c>
      <c r="AF18">
        <v>10000</v>
      </c>
      <c r="AG18">
        <v>1000</v>
      </c>
      <c r="AH18">
        <v>97827</v>
      </c>
      <c r="AI18" t="b">
        <v>1</v>
      </c>
      <c r="AJ18" t="b">
        <v>0</v>
      </c>
      <c r="AK18" t="b">
        <v>1</v>
      </c>
      <c r="AL18" t="b">
        <v>0</v>
      </c>
      <c r="AM18">
        <v>0</v>
      </c>
    </row>
    <row r="19" spans="1:39" x14ac:dyDescent="0.25">
      <c r="A19">
        <v>18</v>
      </c>
      <c r="B19" t="s">
        <v>98</v>
      </c>
      <c r="C19" t="s">
        <v>55</v>
      </c>
      <c r="D19">
        <v>400</v>
      </c>
      <c r="E19">
        <v>2.5000000000000001E-2</v>
      </c>
      <c r="F19" t="s">
        <v>244</v>
      </c>
      <c r="G19" t="b">
        <v>1</v>
      </c>
      <c r="H19" t="s">
        <v>56</v>
      </c>
      <c r="I19" t="s">
        <v>58</v>
      </c>
      <c r="J19">
        <v>3</v>
      </c>
      <c r="K19">
        <v>1</v>
      </c>
      <c r="L19" t="s">
        <v>241</v>
      </c>
      <c r="M19" t="s">
        <v>242</v>
      </c>
      <c r="N19" t="s">
        <v>243</v>
      </c>
      <c r="O19" t="s">
        <v>56</v>
      </c>
      <c r="P19" t="s">
        <v>61</v>
      </c>
      <c r="Q19" t="s">
        <v>62</v>
      </c>
      <c r="R19" t="s">
        <v>63</v>
      </c>
      <c r="S19" t="s">
        <v>64</v>
      </c>
      <c r="T19" t="s">
        <v>65</v>
      </c>
      <c r="U19" t="s">
        <v>97</v>
      </c>
      <c r="V19" t="s">
        <v>67</v>
      </c>
      <c r="W19" t="b">
        <v>0</v>
      </c>
      <c r="X19" t="b">
        <v>1</v>
      </c>
      <c r="Y19">
        <v>1</v>
      </c>
      <c r="Z19">
        <v>1</v>
      </c>
      <c r="AA19" t="s">
        <v>72</v>
      </c>
      <c r="AB19" t="s">
        <v>73</v>
      </c>
      <c r="AC19">
        <v>0.5</v>
      </c>
      <c r="AD19" t="b">
        <v>0</v>
      </c>
      <c r="AE19" t="s">
        <v>68</v>
      </c>
      <c r="AF19">
        <v>10000</v>
      </c>
      <c r="AG19">
        <v>1000</v>
      </c>
      <c r="AH19">
        <v>70743</v>
      </c>
      <c r="AI19" t="b">
        <v>1</v>
      </c>
      <c r="AJ19" t="b">
        <v>0</v>
      </c>
      <c r="AK19" t="b">
        <v>1</v>
      </c>
      <c r="AL19" t="b">
        <v>0</v>
      </c>
      <c r="AM19">
        <v>0</v>
      </c>
    </row>
    <row r="20" spans="1:39" x14ac:dyDescent="0.25">
      <c r="A20">
        <v>19</v>
      </c>
      <c r="B20" t="s">
        <v>101</v>
      </c>
      <c r="C20" t="s">
        <v>55</v>
      </c>
      <c r="D20">
        <v>400</v>
      </c>
      <c r="E20">
        <v>2.5000000000000001E-2</v>
      </c>
      <c r="F20" t="s">
        <v>244</v>
      </c>
      <c r="G20" t="b">
        <v>1</v>
      </c>
      <c r="H20" t="s">
        <v>56</v>
      </c>
      <c r="I20" t="s">
        <v>58</v>
      </c>
      <c r="J20">
        <v>3</v>
      </c>
      <c r="K20">
        <v>1</v>
      </c>
      <c r="L20" t="s">
        <v>241</v>
      </c>
      <c r="M20" t="s">
        <v>242</v>
      </c>
      <c r="N20" t="s">
        <v>243</v>
      </c>
      <c r="O20" t="s">
        <v>56</v>
      </c>
      <c r="P20" t="s">
        <v>61</v>
      </c>
      <c r="Q20" t="s">
        <v>62</v>
      </c>
      <c r="R20" t="s">
        <v>63</v>
      </c>
      <c r="S20" t="s">
        <v>64</v>
      </c>
      <c r="T20" t="s">
        <v>65</v>
      </c>
      <c r="U20" t="s">
        <v>97</v>
      </c>
      <c r="V20" t="s">
        <v>67</v>
      </c>
      <c r="W20" t="b">
        <v>0</v>
      </c>
      <c r="X20" t="b">
        <v>1</v>
      </c>
      <c r="Y20">
        <v>1</v>
      </c>
      <c r="Z20">
        <v>1</v>
      </c>
      <c r="AA20" t="s">
        <v>77</v>
      </c>
      <c r="AB20" t="s">
        <v>78</v>
      </c>
      <c r="AC20">
        <v>0.5</v>
      </c>
      <c r="AD20" t="b">
        <v>0</v>
      </c>
      <c r="AE20" t="s">
        <v>68</v>
      </c>
      <c r="AF20">
        <v>10000</v>
      </c>
      <c r="AG20">
        <v>1000</v>
      </c>
      <c r="AH20">
        <v>2402</v>
      </c>
      <c r="AI20" t="b">
        <v>1</v>
      </c>
      <c r="AJ20" t="b">
        <v>0</v>
      </c>
      <c r="AK20" t="b">
        <v>1</v>
      </c>
      <c r="AL20" t="b">
        <v>0</v>
      </c>
      <c r="AM20">
        <v>0</v>
      </c>
    </row>
    <row r="21" spans="1:39" x14ac:dyDescent="0.25">
      <c r="A21">
        <v>20</v>
      </c>
      <c r="B21" t="s">
        <v>104</v>
      </c>
      <c r="C21" t="s">
        <v>55</v>
      </c>
      <c r="D21">
        <v>400</v>
      </c>
      <c r="E21">
        <v>2.5000000000000001E-2</v>
      </c>
      <c r="F21" t="s">
        <v>244</v>
      </c>
      <c r="G21" t="b">
        <v>1</v>
      </c>
      <c r="H21" t="s">
        <v>56</v>
      </c>
      <c r="I21" t="s">
        <v>58</v>
      </c>
      <c r="J21">
        <v>3</v>
      </c>
      <c r="K21">
        <v>1</v>
      </c>
      <c r="L21" t="s">
        <v>241</v>
      </c>
      <c r="M21" t="s">
        <v>242</v>
      </c>
      <c r="N21" t="s">
        <v>243</v>
      </c>
      <c r="O21" t="s">
        <v>56</v>
      </c>
      <c r="P21" t="s">
        <v>61</v>
      </c>
      <c r="Q21" t="s">
        <v>62</v>
      </c>
      <c r="R21" t="s">
        <v>63</v>
      </c>
      <c r="S21" t="s">
        <v>64</v>
      </c>
      <c r="T21" t="s">
        <v>65</v>
      </c>
      <c r="U21" t="s">
        <v>97</v>
      </c>
      <c r="V21" t="s">
        <v>67</v>
      </c>
      <c r="W21" t="b">
        <v>0</v>
      </c>
      <c r="X21" t="b">
        <v>1</v>
      </c>
      <c r="Y21">
        <v>1</v>
      </c>
      <c r="Z21">
        <v>1</v>
      </c>
      <c r="AA21" t="s">
        <v>77</v>
      </c>
      <c r="AB21" t="s">
        <v>78</v>
      </c>
      <c r="AC21">
        <v>0.75</v>
      </c>
      <c r="AD21" t="b">
        <v>1</v>
      </c>
      <c r="AE21" t="s">
        <v>36</v>
      </c>
      <c r="AF21">
        <v>10000</v>
      </c>
      <c r="AG21">
        <v>1000</v>
      </c>
      <c r="AH21">
        <v>2637</v>
      </c>
      <c r="AI21" t="b">
        <v>1</v>
      </c>
      <c r="AJ21" t="b">
        <v>0</v>
      </c>
      <c r="AK21" t="b">
        <v>1</v>
      </c>
      <c r="AL21" t="b">
        <v>0</v>
      </c>
      <c r="AM21">
        <v>0</v>
      </c>
    </row>
    <row r="22" spans="1:39" x14ac:dyDescent="0.25">
      <c r="A22">
        <v>21</v>
      </c>
      <c r="B22" t="s">
        <v>107</v>
      </c>
      <c r="C22" t="s">
        <v>55</v>
      </c>
      <c r="D22">
        <v>400</v>
      </c>
      <c r="E22">
        <v>2.5000000000000001E-2</v>
      </c>
      <c r="F22" t="s">
        <v>244</v>
      </c>
      <c r="G22" t="b">
        <v>1</v>
      </c>
      <c r="H22" t="s">
        <v>56</v>
      </c>
      <c r="I22" t="s">
        <v>58</v>
      </c>
      <c r="J22">
        <v>3</v>
      </c>
      <c r="K22">
        <v>1</v>
      </c>
      <c r="L22" t="s">
        <v>241</v>
      </c>
      <c r="M22" t="s">
        <v>242</v>
      </c>
      <c r="N22" t="s">
        <v>243</v>
      </c>
      <c r="O22" t="s">
        <v>56</v>
      </c>
      <c r="P22" t="s">
        <v>61</v>
      </c>
      <c r="Q22" t="s">
        <v>62</v>
      </c>
      <c r="R22" t="s">
        <v>63</v>
      </c>
      <c r="S22" t="s">
        <v>64</v>
      </c>
      <c r="T22" t="s">
        <v>65</v>
      </c>
      <c r="U22" t="s">
        <v>97</v>
      </c>
      <c r="V22" t="s">
        <v>67</v>
      </c>
      <c r="W22" t="b">
        <v>0</v>
      </c>
      <c r="X22" t="b">
        <v>1</v>
      </c>
      <c r="Y22">
        <v>1</v>
      </c>
      <c r="Z22">
        <v>1</v>
      </c>
      <c r="AA22" t="s">
        <v>77</v>
      </c>
      <c r="AB22" t="s">
        <v>78</v>
      </c>
      <c r="AC22">
        <v>0.5</v>
      </c>
      <c r="AD22" t="b">
        <v>1</v>
      </c>
      <c r="AE22" t="s">
        <v>36</v>
      </c>
      <c r="AF22">
        <v>10000</v>
      </c>
      <c r="AG22">
        <v>1000</v>
      </c>
      <c r="AH22">
        <v>499</v>
      </c>
      <c r="AI22" t="b">
        <v>1</v>
      </c>
      <c r="AJ22" t="b">
        <v>0</v>
      </c>
      <c r="AK22" t="b">
        <v>1</v>
      </c>
      <c r="AL22" t="b">
        <v>0</v>
      </c>
      <c r="AM22">
        <v>0</v>
      </c>
    </row>
    <row r="23" spans="1:39" x14ac:dyDescent="0.25">
      <c r="A23">
        <v>22</v>
      </c>
      <c r="B23" t="s">
        <v>110</v>
      </c>
      <c r="C23" t="s">
        <v>55</v>
      </c>
      <c r="D23">
        <v>400</v>
      </c>
      <c r="E23">
        <v>2.5000000000000001E-2</v>
      </c>
      <c r="F23" t="s">
        <v>244</v>
      </c>
      <c r="G23" t="b">
        <v>1</v>
      </c>
      <c r="H23" t="s">
        <v>56</v>
      </c>
      <c r="I23" t="s">
        <v>58</v>
      </c>
      <c r="J23">
        <v>3</v>
      </c>
      <c r="K23">
        <v>1</v>
      </c>
      <c r="L23" t="s">
        <v>241</v>
      </c>
      <c r="M23" t="s">
        <v>242</v>
      </c>
      <c r="N23" t="s">
        <v>243</v>
      </c>
      <c r="O23" t="s">
        <v>56</v>
      </c>
      <c r="P23" t="s">
        <v>61</v>
      </c>
      <c r="Q23" t="s">
        <v>62</v>
      </c>
      <c r="R23" t="s">
        <v>63</v>
      </c>
      <c r="S23" t="s">
        <v>64</v>
      </c>
      <c r="T23" t="s">
        <v>65</v>
      </c>
      <c r="U23" t="s">
        <v>97</v>
      </c>
      <c r="V23" t="s">
        <v>67</v>
      </c>
      <c r="W23" t="b">
        <v>0</v>
      </c>
      <c r="X23" t="b">
        <v>1</v>
      </c>
      <c r="Y23">
        <v>1</v>
      </c>
      <c r="Z23">
        <v>1</v>
      </c>
      <c r="AA23" t="s">
        <v>77</v>
      </c>
      <c r="AB23" t="s">
        <v>78</v>
      </c>
      <c r="AC23">
        <v>0.25</v>
      </c>
      <c r="AD23" t="b">
        <v>1</v>
      </c>
      <c r="AE23" t="s">
        <v>36</v>
      </c>
      <c r="AF23">
        <v>10000</v>
      </c>
      <c r="AG23">
        <v>1000</v>
      </c>
      <c r="AH23">
        <v>30953</v>
      </c>
      <c r="AI23" t="b">
        <v>1</v>
      </c>
      <c r="AJ23" t="b">
        <v>0</v>
      </c>
      <c r="AK23" t="b">
        <v>1</v>
      </c>
      <c r="AL23" t="b">
        <v>0</v>
      </c>
      <c r="AM23">
        <v>0</v>
      </c>
    </row>
    <row r="24" spans="1:39" x14ac:dyDescent="0.25">
      <c r="A24">
        <v>23</v>
      </c>
      <c r="B24" t="s">
        <v>113</v>
      </c>
      <c r="C24" t="s">
        <v>55</v>
      </c>
      <c r="D24">
        <v>400</v>
      </c>
      <c r="E24">
        <v>2.5000000000000001E-2</v>
      </c>
      <c r="F24" t="s">
        <v>244</v>
      </c>
      <c r="G24" t="b">
        <v>1</v>
      </c>
      <c r="H24" t="s">
        <v>56</v>
      </c>
      <c r="I24" t="s">
        <v>58</v>
      </c>
      <c r="J24">
        <v>3</v>
      </c>
      <c r="K24">
        <v>1</v>
      </c>
      <c r="L24" t="s">
        <v>241</v>
      </c>
      <c r="M24" t="s">
        <v>242</v>
      </c>
      <c r="N24" t="s">
        <v>243</v>
      </c>
      <c r="O24" t="s">
        <v>56</v>
      </c>
      <c r="P24" t="s">
        <v>61</v>
      </c>
      <c r="Q24" t="s">
        <v>62</v>
      </c>
      <c r="R24" t="s">
        <v>63</v>
      </c>
      <c r="S24" t="s">
        <v>64</v>
      </c>
      <c r="T24" t="s">
        <v>65</v>
      </c>
      <c r="U24" t="s">
        <v>97</v>
      </c>
      <c r="V24" t="s">
        <v>67</v>
      </c>
      <c r="W24" t="b">
        <v>0</v>
      </c>
      <c r="X24" t="b">
        <v>1</v>
      </c>
      <c r="Y24">
        <v>1</v>
      </c>
      <c r="Z24">
        <v>1</v>
      </c>
      <c r="AA24" t="s">
        <v>77</v>
      </c>
      <c r="AB24" t="s">
        <v>73</v>
      </c>
      <c r="AC24">
        <v>1</v>
      </c>
      <c r="AD24" t="b">
        <v>1</v>
      </c>
      <c r="AE24" t="s">
        <v>36</v>
      </c>
      <c r="AF24">
        <v>10000</v>
      </c>
      <c r="AG24">
        <v>1000</v>
      </c>
      <c r="AH24">
        <v>59079</v>
      </c>
      <c r="AI24" t="b">
        <v>1</v>
      </c>
      <c r="AJ24" t="b">
        <v>0</v>
      </c>
      <c r="AK24" t="b">
        <v>1</v>
      </c>
      <c r="AL24" t="b">
        <v>0</v>
      </c>
      <c r="AM24">
        <v>0</v>
      </c>
    </row>
    <row r="25" spans="1:39" x14ac:dyDescent="0.25">
      <c r="A25">
        <v>24</v>
      </c>
      <c r="B25" t="s">
        <v>116</v>
      </c>
      <c r="C25" t="s">
        <v>55</v>
      </c>
      <c r="D25">
        <v>400</v>
      </c>
      <c r="E25">
        <v>2.5000000000000001E-2</v>
      </c>
      <c r="F25" t="s">
        <v>244</v>
      </c>
      <c r="G25" t="b">
        <v>1</v>
      </c>
      <c r="H25" t="s">
        <v>56</v>
      </c>
      <c r="I25" t="s">
        <v>58</v>
      </c>
      <c r="J25">
        <v>3</v>
      </c>
      <c r="K25">
        <v>1</v>
      </c>
      <c r="L25" t="s">
        <v>241</v>
      </c>
      <c r="M25" t="s">
        <v>242</v>
      </c>
      <c r="N25" t="s">
        <v>243</v>
      </c>
      <c r="O25" t="s">
        <v>56</v>
      </c>
      <c r="P25" t="s">
        <v>61</v>
      </c>
      <c r="Q25" t="s">
        <v>62</v>
      </c>
      <c r="R25" t="s">
        <v>63</v>
      </c>
      <c r="S25" t="s">
        <v>64</v>
      </c>
      <c r="T25" t="s">
        <v>65</v>
      </c>
      <c r="U25" t="s">
        <v>97</v>
      </c>
      <c r="V25" t="s">
        <v>67</v>
      </c>
      <c r="W25" t="b">
        <v>0</v>
      </c>
      <c r="X25" t="b">
        <v>1</v>
      </c>
      <c r="Y25">
        <v>1</v>
      </c>
      <c r="Z25">
        <v>1</v>
      </c>
      <c r="AA25" t="s">
        <v>77</v>
      </c>
      <c r="AB25" t="s">
        <v>73</v>
      </c>
      <c r="AC25">
        <v>2</v>
      </c>
      <c r="AD25" t="b">
        <v>1</v>
      </c>
      <c r="AE25" t="s">
        <v>36</v>
      </c>
      <c r="AF25">
        <v>10000</v>
      </c>
      <c r="AG25">
        <v>1000</v>
      </c>
      <c r="AH25">
        <v>58217</v>
      </c>
      <c r="AI25" t="b">
        <v>1</v>
      </c>
      <c r="AJ25" t="b">
        <v>0</v>
      </c>
      <c r="AK25" t="b">
        <v>1</v>
      </c>
      <c r="AL25" t="b">
        <v>0</v>
      </c>
      <c r="AM25">
        <v>0</v>
      </c>
    </row>
    <row r="26" spans="1:39" x14ac:dyDescent="0.25">
      <c r="A26">
        <v>25</v>
      </c>
      <c r="B26" t="s">
        <v>119</v>
      </c>
      <c r="C26" t="s">
        <v>55</v>
      </c>
      <c r="D26">
        <v>400</v>
      </c>
      <c r="E26">
        <v>2.5000000000000001E-2</v>
      </c>
      <c r="F26" t="s">
        <v>244</v>
      </c>
      <c r="G26" t="b">
        <v>1</v>
      </c>
      <c r="H26" t="s">
        <v>56</v>
      </c>
      <c r="I26" t="s">
        <v>68</v>
      </c>
      <c r="J26">
        <v>3</v>
      </c>
      <c r="K26">
        <v>1</v>
      </c>
      <c r="L26" t="s">
        <v>241</v>
      </c>
      <c r="M26" t="s">
        <v>242</v>
      </c>
      <c r="N26" t="s">
        <v>243</v>
      </c>
      <c r="O26" t="s">
        <v>56</v>
      </c>
      <c r="P26" t="s">
        <v>61</v>
      </c>
      <c r="Q26" t="s">
        <v>62</v>
      </c>
      <c r="R26" t="s">
        <v>63</v>
      </c>
      <c r="S26" t="s">
        <v>64</v>
      </c>
      <c r="T26" t="s">
        <v>65</v>
      </c>
      <c r="U26" t="s">
        <v>97</v>
      </c>
      <c r="V26" t="s">
        <v>67</v>
      </c>
      <c r="W26" t="b">
        <v>0</v>
      </c>
      <c r="X26" t="b">
        <v>0</v>
      </c>
      <c r="AC26" t="s">
        <v>56</v>
      </c>
      <c r="AE26" t="s">
        <v>68</v>
      </c>
      <c r="AF26">
        <v>10000</v>
      </c>
      <c r="AG26">
        <v>1000</v>
      </c>
      <c r="AH26">
        <v>97827</v>
      </c>
      <c r="AI26" t="b">
        <v>1</v>
      </c>
      <c r="AJ26" t="b">
        <v>0</v>
      </c>
      <c r="AK26" t="b">
        <v>1</v>
      </c>
      <c r="AL26" t="b">
        <v>0</v>
      </c>
      <c r="AM26">
        <v>0</v>
      </c>
    </row>
    <row r="27" spans="1:39" x14ac:dyDescent="0.25">
      <c r="A27">
        <v>26</v>
      </c>
      <c r="B27" t="s">
        <v>122</v>
      </c>
      <c r="C27" t="s">
        <v>55</v>
      </c>
      <c r="D27">
        <v>400</v>
      </c>
      <c r="E27">
        <v>2.5000000000000001E-2</v>
      </c>
      <c r="F27" t="s">
        <v>244</v>
      </c>
      <c r="G27" t="b">
        <v>1</v>
      </c>
      <c r="H27" t="s">
        <v>56</v>
      </c>
      <c r="I27" t="s">
        <v>68</v>
      </c>
      <c r="J27">
        <v>3</v>
      </c>
      <c r="K27">
        <v>1</v>
      </c>
      <c r="L27" t="s">
        <v>241</v>
      </c>
      <c r="M27" t="s">
        <v>242</v>
      </c>
      <c r="N27" t="s">
        <v>243</v>
      </c>
      <c r="O27" t="s">
        <v>56</v>
      </c>
      <c r="P27" t="s">
        <v>61</v>
      </c>
      <c r="Q27" t="s">
        <v>62</v>
      </c>
      <c r="R27" t="s">
        <v>63</v>
      </c>
      <c r="S27" t="s">
        <v>64</v>
      </c>
      <c r="T27" t="s">
        <v>65</v>
      </c>
      <c r="U27" t="s">
        <v>97</v>
      </c>
      <c r="V27" t="s">
        <v>67</v>
      </c>
      <c r="W27" t="b">
        <v>0</v>
      </c>
      <c r="X27" t="b">
        <v>1</v>
      </c>
      <c r="Y27">
        <v>1</v>
      </c>
      <c r="Z27">
        <v>1</v>
      </c>
      <c r="AA27" t="s">
        <v>72</v>
      </c>
      <c r="AB27" t="s">
        <v>73</v>
      </c>
      <c r="AC27">
        <v>0.5</v>
      </c>
      <c r="AD27" t="b">
        <v>0</v>
      </c>
      <c r="AE27" t="s">
        <v>68</v>
      </c>
      <c r="AF27">
        <v>10000</v>
      </c>
      <c r="AG27">
        <v>1000</v>
      </c>
      <c r="AH27">
        <v>70743</v>
      </c>
      <c r="AI27" t="b">
        <v>1</v>
      </c>
      <c r="AJ27" t="b">
        <v>0</v>
      </c>
      <c r="AK27" t="b">
        <v>1</v>
      </c>
      <c r="AL27" t="b">
        <v>0</v>
      </c>
      <c r="AM27">
        <v>0</v>
      </c>
    </row>
    <row r="28" spans="1:39" x14ac:dyDescent="0.25">
      <c r="A28">
        <v>27</v>
      </c>
      <c r="B28" t="s">
        <v>125</v>
      </c>
      <c r="C28" t="s">
        <v>55</v>
      </c>
      <c r="D28">
        <v>400</v>
      </c>
      <c r="E28">
        <v>2.5000000000000001E-2</v>
      </c>
      <c r="F28" t="s">
        <v>244</v>
      </c>
      <c r="G28" t="b">
        <v>1</v>
      </c>
      <c r="H28" t="s">
        <v>56</v>
      </c>
      <c r="I28" t="s">
        <v>68</v>
      </c>
      <c r="J28">
        <v>3</v>
      </c>
      <c r="K28">
        <v>1</v>
      </c>
      <c r="L28" t="s">
        <v>241</v>
      </c>
      <c r="M28" t="s">
        <v>242</v>
      </c>
      <c r="N28" t="s">
        <v>243</v>
      </c>
      <c r="O28" t="s">
        <v>56</v>
      </c>
      <c r="P28" t="s">
        <v>61</v>
      </c>
      <c r="Q28" t="s">
        <v>62</v>
      </c>
      <c r="R28" t="s">
        <v>63</v>
      </c>
      <c r="S28" t="s">
        <v>64</v>
      </c>
      <c r="T28" t="s">
        <v>65</v>
      </c>
      <c r="U28" t="s">
        <v>97</v>
      </c>
      <c r="V28" t="s">
        <v>67</v>
      </c>
      <c r="W28" t="b">
        <v>0</v>
      </c>
      <c r="X28" t="b">
        <v>1</v>
      </c>
      <c r="Y28">
        <v>1</v>
      </c>
      <c r="Z28">
        <v>1</v>
      </c>
      <c r="AA28" t="s">
        <v>77</v>
      </c>
      <c r="AB28" t="s">
        <v>78</v>
      </c>
      <c r="AC28">
        <v>0.5</v>
      </c>
      <c r="AD28" t="b">
        <v>0</v>
      </c>
      <c r="AE28" t="s">
        <v>68</v>
      </c>
      <c r="AF28">
        <v>10000</v>
      </c>
      <c r="AG28">
        <v>1000</v>
      </c>
      <c r="AH28">
        <v>2402</v>
      </c>
      <c r="AI28" t="b">
        <v>1</v>
      </c>
      <c r="AJ28" t="b">
        <v>0</v>
      </c>
      <c r="AK28" t="b">
        <v>1</v>
      </c>
      <c r="AL28" t="b">
        <v>0</v>
      </c>
      <c r="AM28">
        <v>0</v>
      </c>
    </row>
    <row r="29" spans="1:39" x14ac:dyDescent="0.25">
      <c r="A29">
        <v>28</v>
      </c>
      <c r="B29" t="s">
        <v>128</v>
      </c>
      <c r="C29" t="s">
        <v>55</v>
      </c>
      <c r="D29">
        <v>400</v>
      </c>
      <c r="E29">
        <v>2.5000000000000001E-2</v>
      </c>
      <c r="F29" t="s">
        <v>244</v>
      </c>
      <c r="G29" t="b">
        <v>1</v>
      </c>
      <c r="H29" t="s">
        <v>56</v>
      </c>
      <c r="I29" t="s">
        <v>68</v>
      </c>
      <c r="J29">
        <v>3</v>
      </c>
      <c r="K29">
        <v>1</v>
      </c>
      <c r="L29" t="s">
        <v>241</v>
      </c>
      <c r="M29" t="s">
        <v>242</v>
      </c>
      <c r="N29" t="s">
        <v>243</v>
      </c>
      <c r="O29" t="s">
        <v>56</v>
      </c>
      <c r="P29" t="s">
        <v>61</v>
      </c>
      <c r="Q29" t="s">
        <v>62</v>
      </c>
      <c r="R29" t="s">
        <v>63</v>
      </c>
      <c r="S29" t="s">
        <v>64</v>
      </c>
      <c r="T29" t="s">
        <v>65</v>
      </c>
      <c r="U29" t="s">
        <v>97</v>
      </c>
      <c r="V29" t="s">
        <v>67</v>
      </c>
      <c r="W29" t="b">
        <v>0</v>
      </c>
      <c r="X29" t="b">
        <v>1</v>
      </c>
      <c r="Y29">
        <v>1</v>
      </c>
      <c r="Z29">
        <v>1</v>
      </c>
      <c r="AA29" t="s">
        <v>77</v>
      </c>
      <c r="AB29" t="s">
        <v>78</v>
      </c>
      <c r="AC29">
        <v>0.75</v>
      </c>
      <c r="AD29" t="b">
        <v>1</v>
      </c>
      <c r="AE29" t="s">
        <v>36</v>
      </c>
      <c r="AF29">
        <v>10000</v>
      </c>
      <c r="AG29">
        <v>1000</v>
      </c>
      <c r="AH29">
        <v>2637</v>
      </c>
      <c r="AI29" t="b">
        <v>1</v>
      </c>
      <c r="AJ29" t="b">
        <v>0</v>
      </c>
      <c r="AK29" t="b">
        <v>1</v>
      </c>
      <c r="AL29" t="b">
        <v>0</v>
      </c>
      <c r="AM29">
        <v>0</v>
      </c>
    </row>
    <row r="30" spans="1:39" x14ac:dyDescent="0.25">
      <c r="A30">
        <v>29</v>
      </c>
      <c r="B30" t="s">
        <v>131</v>
      </c>
      <c r="C30" t="s">
        <v>55</v>
      </c>
      <c r="D30">
        <v>400</v>
      </c>
      <c r="E30">
        <v>2.5000000000000001E-2</v>
      </c>
      <c r="F30" t="s">
        <v>244</v>
      </c>
      <c r="G30" t="b">
        <v>1</v>
      </c>
      <c r="H30" t="s">
        <v>56</v>
      </c>
      <c r="I30" t="s">
        <v>68</v>
      </c>
      <c r="J30">
        <v>3</v>
      </c>
      <c r="K30">
        <v>1</v>
      </c>
      <c r="L30" t="s">
        <v>241</v>
      </c>
      <c r="M30" t="s">
        <v>242</v>
      </c>
      <c r="N30" t="s">
        <v>243</v>
      </c>
      <c r="O30" t="s">
        <v>56</v>
      </c>
      <c r="P30" t="s">
        <v>61</v>
      </c>
      <c r="Q30" t="s">
        <v>62</v>
      </c>
      <c r="R30" t="s">
        <v>63</v>
      </c>
      <c r="S30" t="s">
        <v>64</v>
      </c>
      <c r="T30" t="s">
        <v>65</v>
      </c>
      <c r="U30" t="s">
        <v>97</v>
      </c>
      <c r="V30" t="s">
        <v>67</v>
      </c>
      <c r="W30" t="b">
        <v>0</v>
      </c>
      <c r="X30" t="b">
        <v>1</v>
      </c>
      <c r="Y30">
        <v>1</v>
      </c>
      <c r="Z30">
        <v>1</v>
      </c>
      <c r="AA30" t="s">
        <v>77</v>
      </c>
      <c r="AB30" t="s">
        <v>78</v>
      </c>
      <c r="AC30">
        <v>0.5</v>
      </c>
      <c r="AD30" t="b">
        <v>1</v>
      </c>
      <c r="AE30" t="s">
        <v>36</v>
      </c>
      <c r="AF30">
        <v>10000</v>
      </c>
      <c r="AG30">
        <v>1000</v>
      </c>
      <c r="AH30">
        <v>499</v>
      </c>
      <c r="AI30" t="b">
        <v>1</v>
      </c>
      <c r="AJ30" t="b">
        <v>0</v>
      </c>
      <c r="AK30" t="b">
        <v>1</v>
      </c>
      <c r="AL30" t="b">
        <v>0</v>
      </c>
      <c r="AM30">
        <v>0</v>
      </c>
    </row>
    <row r="31" spans="1:39" x14ac:dyDescent="0.25">
      <c r="A31">
        <v>30</v>
      </c>
      <c r="B31" t="s">
        <v>134</v>
      </c>
      <c r="C31" t="s">
        <v>55</v>
      </c>
      <c r="D31">
        <v>400</v>
      </c>
      <c r="E31">
        <v>2.5000000000000001E-2</v>
      </c>
      <c r="F31" t="s">
        <v>244</v>
      </c>
      <c r="G31" t="b">
        <v>1</v>
      </c>
      <c r="H31" t="s">
        <v>56</v>
      </c>
      <c r="I31" t="s">
        <v>68</v>
      </c>
      <c r="J31">
        <v>3</v>
      </c>
      <c r="K31">
        <v>1</v>
      </c>
      <c r="L31" t="s">
        <v>241</v>
      </c>
      <c r="M31" t="s">
        <v>242</v>
      </c>
      <c r="N31" t="s">
        <v>243</v>
      </c>
      <c r="O31" t="s">
        <v>56</v>
      </c>
      <c r="P31" t="s">
        <v>61</v>
      </c>
      <c r="Q31" t="s">
        <v>62</v>
      </c>
      <c r="R31" t="s">
        <v>63</v>
      </c>
      <c r="S31" t="s">
        <v>64</v>
      </c>
      <c r="T31" t="s">
        <v>65</v>
      </c>
      <c r="U31" t="s">
        <v>97</v>
      </c>
      <c r="V31" t="s">
        <v>67</v>
      </c>
      <c r="W31" t="b">
        <v>0</v>
      </c>
      <c r="X31" t="b">
        <v>1</v>
      </c>
      <c r="Y31">
        <v>1</v>
      </c>
      <c r="Z31">
        <v>1</v>
      </c>
      <c r="AA31" t="s">
        <v>77</v>
      </c>
      <c r="AB31" t="s">
        <v>78</v>
      </c>
      <c r="AC31">
        <v>0.25</v>
      </c>
      <c r="AD31" t="b">
        <v>1</v>
      </c>
      <c r="AE31" t="s">
        <v>36</v>
      </c>
      <c r="AF31">
        <v>10000</v>
      </c>
      <c r="AG31">
        <v>1000</v>
      </c>
      <c r="AH31">
        <v>30953</v>
      </c>
      <c r="AI31" t="b">
        <v>1</v>
      </c>
      <c r="AJ31" t="b">
        <v>0</v>
      </c>
      <c r="AK31" t="b">
        <v>1</v>
      </c>
      <c r="AL31" t="b">
        <v>0</v>
      </c>
      <c r="AM31">
        <v>0</v>
      </c>
    </row>
    <row r="32" spans="1:39" x14ac:dyDescent="0.25">
      <c r="A32">
        <v>31</v>
      </c>
      <c r="B32" t="s">
        <v>137</v>
      </c>
      <c r="C32" t="s">
        <v>55</v>
      </c>
      <c r="D32">
        <v>400</v>
      </c>
      <c r="E32">
        <v>2.5000000000000001E-2</v>
      </c>
      <c r="F32" t="s">
        <v>244</v>
      </c>
      <c r="G32" t="b">
        <v>1</v>
      </c>
      <c r="H32" t="s">
        <v>56</v>
      </c>
      <c r="I32" t="s">
        <v>68</v>
      </c>
      <c r="J32">
        <v>3</v>
      </c>
      <c r="K32">
        <v>1</v>
      </c>
      <c r="L32" t="s">
        <v>241</v>
      </c>
      <c r="M32" t="s">
        <v>242</v>
      </c>
      <c r="N32" t="s">
        <v>243</v>
      </c>
      <c r="O32" t="s">
        <v>56</v>
      </c>
      <c r="P32" t="s">
        <v>61</v>
      </c>
      <c r="Q32" t="s">
        <v>62</v>
      </c>
      <c r="R32" t="s">
        <v>63</v>
      </c>
      <c r="S32" t="s">
        <v>64</v>
      </c>
      <c r="T32" t="s">
        <v>65</v>
      </c>
      <c r="U32" t="s">
        <v>97</v>
      </c>
      <c r="V32" t="s">
        <v>67</v>
      </c>
      <c r="W32" t="b">
        <v>0</v>
      </c>
      <c r="X32" t="b">
        <v>1</v>
      </c>
      <c r="Y32">
        <v>1</v>
      </c>
      <c r="Z32">
        <v>1</v>
      </c>
      <c r="AA32" t="s">
        <v>77</v>
      </c>
      <c r="AB32" t="s">
        <v>73</v>
      </c>
      <c r="AC32">
        <v>1</v>
      </c>
      <c r="AD32" t="b">
        <v>1</v>
      </c>
      <c r="AE32" t="s">
        <v>36</v>
      </c>
      <c r="AF32">
        <v>10000</v>
      </c>
      <c r="AG32">
        <v>1000</v>
      </c>
      <c r="AH32">
        <v>59079</v>
      </c>
      <c r="AI32" t="b">
        <v>1</v>
      </c>
      <c r="AJ32" t="b">
        <v>0</v>
      </c>
      <c r="AK32" t="b">
        <v>1</v>
      </c>
      <c r="AL32" t="b">
        <v>0</v>
      </c>
      <c r="AM32">
        <v>0</v>
      </c>
    </row>
    <row r="33" spans="1:39" x14ac:dyDescent="0.25">
      <c r="A33">
        <v>32</v>
      </c>
      <c r="B33" t="s">
        <v>140</v>
      </c>
      <c r="C33" t="s">
        <v>55</v>
      </c>
      <c r="D33">
        <v>400</v>
      </c>
      <c r="E33">
        <v>2.5000000000000001E-2</v>
      </c>
      <c r="F33" t="s">
        <v>244</v>
      </c>
      <c r="G33" t="b">
        <v>1</v>
      </c>
      <c r="H33" t="s">
        <v>56</v>
      </c>
      <c r="I33" t="s">
        <v>68</v>
      </c>
      <c r="J33">
        <v>3</v>
      </c>
      <c r="K33">
        <v>1</v>
      </c>
      <c r="L33" t="s">
        <v>241</v>
      </c>
      <c r="M33" t="s">
        <v>242</v>
      </c>
      <c r="N33" t="s">
        <v>243</v>
      </c>
      <c r="O33" t="s">
        <v>56</v>
      </c>
      <c r="P33" t="s">
        <v>61</v>
      </c>
      <c r="Q33" t="s">
        <v>62</v>
      </c>
      <c r="R33" t="s">
        <v>63</v>
      </c>
      <c r="S33" t="s">
        <v>64</v>
      </c>
      <c r="T33" t="s">
        <v>65</v>
      </c>
      <c r="U33" t="s">
        <v>97</v>
      </c>
      <c r="V33" t="s">
        <v>67</v>
      </c>
      <c r="W33" t="b">
        <v>0</v>
      </c>
      <c r="X33" t="b">
        <v>1</v>
      </c>
      <c r="Y33">
        <v>1</v>
      </c>
      <c r="Z33">
        <v>1</v>
      </c>
      <c r="AA33" t="s">
        <v>77</v>
      </c>
      <c r="AB33" t="s">
        <v>73</v>
      </c>
      <c r="AC33">
        <v>2</v>
      </c>
      <c r="AD33" t="b">
        <v>1</v>
      </c>
      <c r="AE33" t="s">
        <v>36</v>
      </c>
      <c r="AF33">
        <v>10000</v>
      </c>
      <c r="AG33">
        <v>1000</v>
      </c>
      <c r="AH33">
        <v>58217</v>
      </c>
      <c r="AI33" t="b">
        <v>1</v>
      </c>
      <c r="AJ33" t="b">
        <v>0</v>
      </c>
      <c r="AK33" t="b">
        <v>1</v>
      </c>
      <c r="AL33" t="b">
        <v>0</v>
      </c>
      <c r="AM33">
        <v>0</v>
      </c>
    </row>
    <row r="34" spans="1:39" x14ac:dyDescent="0.25">
      <c r="A34">
        <v>33</v>
      </c>
      <c r="B34" t="s">
        <v>143</v>
      </c>
      <c r="C34" t="s">
        <v>55</v>
      </c>
      <c r="D34">
        <v>600</v>
      </c>
      <c r="E34">
        <v>2.5000000000000001E-2</v>
      </c>
      <c r="F34" t="s">
        <v>240</v>
      </c>
      <c r="G34" t="b">
        <v>1</v>
      </c>
      <c r="H34" t="s">
        <v>56</v>
      </c>
      <c r="I34" t="s">
        <v>58</v>
      </c>
      <c r="J34">
        <v>3</v>
      </c>
      <c r="K34">
        <v>1</v>
      </c>
      <c r="L34" t="s">
        <v>241</v>
      </c>
      <c r="M34" t="s">
        <v>242</v>
      </c>
      <c r="N34" t="s">
        <v>243</v>
      </c>
      <c r="O34" t="s">
        <v>56</v>
      </c>
      <c r="P34" t="s">
        <v>61</v>
      </c>
      <c r="Q34" t="s">
        <v>62</v>
      </c>
      <c r="R34" t="s">
        <v>63</v>
      </c>
      <c r="S34" t="s">
        <v>64</v>
      </c>
      <c r="T34" t="s">
        <v>65</v>
      </c>
      <c r="U34" t="s">
        <v>66</v>
      </c>
      <c r="V34" t="s">
        <v>67</v>
      </c>
      <c r="W34" t="b">
        <v>0</v>
      </c>
      <c r="X34" t="b">
        <v>0</v>
      </c>
      <c r="AC34" t="s">
        <v>56</v>
      </c>
      <c r="AE34" t="s">
        <v>68</v>
      </c>
      <c r="AF34">
        <v>10000</v>
      </c>
      <c r="AG34">
        <v>1000</v>
      </c>
      <c r="AH34">
        <v>64564</v>
      </c>
      <c r="AI34" t="b">
        <v>1</v>
      </c>
      <c r="AJ34" t="b">
        <v>0</v>
      </c>
      <c r="AK34" t="b">
        <v>1</v>
      </c>
      <c r="AL34" t="b">
        <v>0</v>
      </c>
      <c r="AM34">
        <v>0</v>
      </c>
    </row>
    <row r="35" spans="1:39" x14ac:dyDescent="0.25">
      <c r="A35">
        <v>34</v>
      </c>
      <c r="B35" t="s">
        <v>146</v>
      </c>
      <c r="C35" t="s">
        <v>55</v>
      </c>
      <c r="D35">
        <v>600</v>
      </c>
      <c r="E35">
        <v>2.5000000000000001E-2</v>
      </c>
      <c r="F35" t="s">
        <v>240</v>
      </c>
      <c r="G35" t="b">
        <v>1</v>
      </c>
      <c r="H35" t="s">
        <v>56</v>
      </c>
      <c r="I35" t="s">
        <v>58</v>
      </c>
      <c r="J35">
        <v>3</v>
      </c>
      <c r="K35">
        <v>1</v>
      </c>
      <c r="L35" t="s">
        <v>241</v>
      </c>
      <c r="M35" t="s">
        <v>242</v>
      </c>
      <c r="N35" t="s">
        <v>243</v>
      </c>
      <c r="O35" t="s">
        <v>56</v>
      </c>
      <c r="P35" t="s">
        <v>61</v>
      </c>
      <c r="Q35" t="s">
        <v>62</v>
      </c>
      <c r="R35" t="s">
        <v>63</v>
      </c>
      <c r="S35" t="s">
        <v>64</v>
      </c>
      <c r="T35" t="s">
        <v>65</v>
      </c>
      <c r="U35" t="s">
        <v>66</v>
      </c>
      <c r="V35" t="s">
        <v>67</v>
      </c>
      <c r="W35" t="b">
        <v>0</v>
      </c>
      <c r="X35" t="b">
        <v>1</v>
      </c>
      <c r="Y35">
        <v>1</v>
      </c>
      <c r="Z35">
        <v>1</v>
      </c>
      <c r="AA35" t="s">
        <v>72</v>
      </c>
      <c r="AB35" t="s">
        <v>73</v>
      </c>
      <c r="AC35">
        <v>0.5</v>
      </c>
      <c r="AD35" t="b">
        <v>0</v>
      </c>
      <c r="AE35" t="s">
        <v>68</v>
      </c>
      <c r="AF35">
        <v>10000</v>
      </c>
      <c r="AG35">
        <v>1000</v>
      </c>
      <c r="AH35">
        <v>73236</v>
      </c>
      <c r="AI35" t="b">
        <v>1</v>
      </c>
      <c r="AJ35" t="b">
        <v>0</v>
      </c>
      <c r="AK35" t="b">
        <v>1</v>
      </c>
      <c r="AL35" t="b">
        <v>0</v>
      </c>
      <c r="AM35">
        <v>0</v>
      </c>
    </row>
    <row r="36" spans="1:39" x14ac:dyDescent="0.25">
      <c r="A36">
        <v>35</v>
      </c>
      <c r="B36" t="s">
        <v>149</v>
      </c>
      <c r="C36" t="s">
        <v>55</v>
      </c>
      <c r="D36">
        <v>600</v>
      </c>
      <c r="E36">
        <v>2.5000000000000001E-2</v>
      </c>
      <c r="F36" t="s">
        <v>240</v>
      </c>
      <c r="G36" t="b">
        <v>1</v>
      </c>
      <c r="H36" t="s">
        <v>56</v>
      </c>
      <c r="I36" t="s">
        <v>58</v>
      </c>
      <c r="J36">
        <v>3</v>
      </c>
      <c r="K36">
        <v>1</v>
      </c>
      <c r="L36" t="s">
        <v>241</v>
      </c>
      <c r="M36" t="s">
        <v>242</v>
      </c>
      <c r="N36" t="s">
        <v>243</v>
      </c>
      <c r="O36" t="s">
        <v>56</v>
      </c>
      <c r="P36" t="s">
        <v>61</v>
      </c>
      <c r="Q36" t="s">
        <v>62</v>
      </c>
      <c r="R36" t="s">
        <v>63</v>
      </c>
      <c r="S36" t="s">
        <v>64</v>
      </c>
      <c r="T36" t="s">
        <v>65</v>
      </c>
      <c r="U36" t="s">
        <v>66</v>
      </c>
      <c r="V36" t="s">
        <v>67</v>
      </c>
      <c r="W36" t="b">
        <v>0</v>
      </c>
      <c r="X36" t="b">
        <v>1</v>
      </c>
      <c r="Y36">
        <v>1</v>
      </c>
      <c r="Z36">
        <v>1</v>
      </c>
      <c r="AA36" t="s">
        <v>77</v>
      </c>
      <c r="AB36" t="s">
        <v>78</v>
      </c>
      <c r="AC36">
        <v>0.5</v>
      </c>
      <c r="AD36" t="b">
        <v>0</v>
      </c>
      <c r="AE36" t="s">
        <v>68</v>
      </c>
      <c r="AF36">
        <v>10000</v>
      </c>
      <c r="AG36">
        <v>1000</v>
      </c>
      <c r="AH36">
        <v>11111</v>
      </c>
      <c r="AI36" t="b">
        <v>1</v>
      </c>
      <c r="AJ36" t="b">
        <v>0</v>
      </c>
      <c r="AK36" t="b">
        <v>1</v>
      </c>
      <c r="AL36" t="b">
        <v>0</v>
      </c>
      <c r="AM36">
        <v>0</v>
      </c>
    </row>
    <row r="37" spans="1:39" x14ac:dyDescent="0.25">
      <c r="A37">
        <v>36</v>
      </c>
      <c r="B37" t="s">
        <v>152</v>
      </c>
      <c r="C37" t="s">
        <v>55</v>
      </c>
      <c r="D37">
        <v>600</v>
      </c>
      <c r="E37">
        <v>2.5000000000000001E-2</v>
      </c>
      <c r="F37" t="s">
        <v>240</v>
      </c>
      <c r="G37" t="b">
        <v>1</v>
      </c>
      <c r="H37" t="s">
        <v>56</v>
      </c>
      <c r="I37" t="s">
        <v>58</v>
      </c>
      <c r="J37">
        <v>3</v>
      </c>
      <c r="K37">
        <v>1</v>
      </c>
      <c r="L37" t="s">
        <v>241</v>
      </c>
      <c r="M37" t="s">
        <v>242</v>
      </c>
      <c r="N37" t="s">
        <v>243</v>
      </c>
      <c r="O37" t="s">
        <v>56</v>
      </c>
      <c r="P37" t="s">
        <v>61</v>
      </c>
      <c r="Q37" t="s">
        <v>62</v>
      </c>
      <c r="R37" t="s">
        <v>63</v>
      </c>
      <c r="S37" t="s">
        <v>64</v>
      </c>
      <c r="T37" t="s">
        <v>65</v>
      </c>
      <c r="U37" t="s">
        <v>66</v>
      </c>
      <c r="V37" t="s">
        <v>67</v>
      </c>
      <c r="W37" t="b">
        <v>0</v>
      </c>
      <c r="X37" t="b">
        <v>1</v>
      </c>
      <c r="Y37">
        <v>1</v>
      </c>
      <c r="Z37">
        <v>1</v>
      </c>
      <c r="AA37" t="s">
        <v>77</v>
      </c>
      <c r="AB37" t="s">
        <v>78</v>
      </c>
      <c r="AC37">
        <v>0.75</v>
      </c>
      <c r="AD37" t="b">
        <v>1</v>
      </c>
      <c r="AE37" t="s">
        <v>36</v>
      </c>
      <c r="AF37">
        <v>10000</v>
      </c>
      <c r="AG37">
        <v>1000</v>
      </c>
      <c r="AH37">
        <v>343</v>
      </c>
      <c r="AI37" t="b">
        <v>1</v>
      </c>
      <c r="AJ37" t="b">
        <v>0</v>
      </c>
      <c r="AK37" t="b">
        <v>1</v>
      </c>
      <c r="AL37" t="b">
        <v>0</v>
      </c>
      <c r="AM37">
        <v>0</v>
      </c>
    </row>
    <row r="38" spans="1:39" x14ac:dyDescent="0.25">
      <c r="A38">
        <v>37</v>
      </c>
      <c r="B38" t="s">
        <v>155</v>
      </c>
      <c r="C38" t="s">
        <v>55</v>
      </c>
      <c r="D38">
        <v>600</v>
      </c>
      <c r="E38">
        <v>2.5000000000000001E-2</v>
      </c>
      <c r="F38" t="s">
        <v>240</v>
      </c>
      <c r="G38" t="b">
        <v>1</v>
      </c>
      <c r="H38" t="s">
        <v>56</v>
      </c>
      <c r="I38" t="s">
        <v>58</v>
      </c>
      <c r="J38">
        <v>3</v>
      </c>
      <c r="K38">
        <v>1</v>
      </c>
      <c r="L38" t="s">
        <v>241</v>
      </c>
      <c r="M38" t="s">
        <v>242</v>
      </c>
      <c r="N38" t="s">
        <v>243</v>
      </c>
      <c r="O38" t="s">
        <v>56</v>
      </c>
      <c r="P38" t="s">
        <v>61</v>
      </c>
      <c r="Q38" t="s">
        <v>62</v>
      </c>
      <c r="R38" t="s">
        <v>63</v>
      </c>
      <c r="S38" t="s">
        <v>64</v>
      </c>
      <c r="T38" t="s">
        <v>65</v>
      </c>
      <c r="U38" t="s">
        <v>66</v>
      </c>
      <c r="V38" t="s">
        <v>67</v>
      </c>
      <c r="W38" t="b">
        <v>0</v>
      </c>
      <c r="X38" t="b">
        <v>1</v>
      </c>
      <c r="Y38">
        <v>1</v>
      </c>
      <c r="Z38">
        <v>1</v>
      </c>
      <c r="AA38" t="s">
        <v>77</v>
      </c>
      <c r="AB38" t="s">
        <v>78</v>
      </c>
      <c r="AC38">
        <v>0.5</v>
      </c>
      <c r="AD38" t="b">
        <v>1</v>
      </c>
      <c r="AE38" t="s">
        <v>36</v>
      </c>
      <c r="AF38">
        <v>10000</v>
      </c>
      <c r="AG38">
        <v>1000</v>
      </c>
      <c r="AH38">
        <v>84234</v>
      </c>
      <c r="AI38" t="b">
        <v>1</v>
      </c>
      <c r="AJ38" t="b">
        <v>0</v>
      </c>
      <c r="AK38" t="b">
        <v>1</v>
      </c>
      <c r="AL38" t="b">
        <v>0</v>
      </c>
      <c r="AM38">
        <v>0</v>
      </c>
    </row>
    <row r="39" spans="1:39" x14ac:dyDescent="0.25">
      <c r="A39">
        <v>38</v>
      </c>
      <c r="B39" t="s">
        <v>158</v>
      </c>
      <c r="C39" t="s">
        <v>55</v>
      </c>
      <c r="D39">
        <v>600</v>
      </c>
      <c r="E39">
        <v>2.5000000000000001E-2</v>
      </c>
      <c r="F39" t="s">
        <v>240</v>
      </c>
      <c r="G39" t="b">
        <v>1</v>
      </c>
      <c r="H39" t="s">
        <v>56</v>
      </c>
      <c r="I39" t="s">
        <v>58</v>
      </c>
      <c r="J39">
        <v>3</v>
      </c>
      <c r="K39">
        <v>1</v>
      </c>
      <c r="L39" t="s">
        <v>241</v>
      </c>
      <c r="M39" t="s">
        <v>242</v>
      </c>
      <c r="N39" t="s">
        <v>243</v>
      </c>
      <c r="O39" t="s">
        <v>56</v>
      </c>
      <c r="P39" t="s">
        <v>61</v>
      </c>
      <c r="Q39" t="s">
        <v>62</v>
      </c>
      <c r="R39" t="s">
        <v>63</v>
      </c>
      <c r="S39" t="s">
        <v>64</v>
      </c>
      <c r="T39" t="s">
        <v>65</v>
      </c>
      <c r="U39" t="s">
        <v>66</v>
      </c>
      <c r="V39" t="s">
        <v>67</v>
      </c>
      <c r="W39" t="b">
        <v>0</v>
      </c>
      <c r="X39" t="b">
        <v>1</v>
      </c>
      <c r="Y39">
        <v>1</v>
      </c>
      <c r="Z39">
        <v>1</v>
      </c>
      <c r="AA39" t="s">
        <v>77</v>
      </c>
      <c r="AB39" t="s">
        <v>78</v>
      </c>
      <c r="AC39">
        <v>0.25</v>
      </c>
      <c r="AD39" t="b">
        <v>1</v>
      </c>
      <c r="AE39" t="s">
        <v>36</v>
      </c>
      <c r="AF39">
        <v>10000</v>
      </c>
      <c r="AG39">
        <v>1000</v>
      </c>
      <c r="AH39">
        <v>4346</v>
      </c>
      <c r="AI39" t="b">
        <v>1</v>
      </c>
      <c r="AJ39" t="b">
        <v>0</v>
      </c>
      <c r="AK39" t="b">
        <v>1</v>
      </c>
      <c r="AL39" t="b">
        <v>0</v>
      </c>
      <c r="AM39">
        <v>0</v>
      </c>
    </row>
    <row r="40" spans="1:39" x14ac:dyDescent="0.25">
      <c r="A40">
        <v>39</v>
      </c>
      <c r="B40" t="s">
        <v>161</v>
      </c>
      <c r="C40" t="s">
        <v>55</v>
      </c>
      <c r="D40">
        <v>600</v>
      </c>
      <c r="E40">
        <v>2.5000000000000001E-2</v>
      </c>
      <c r="F40" t="s">
        <v>240</v>
      </c>
      <c r="G40" t="b">
        <v>1</v>
      </c>
      <c r="H40" t="s">
        <v>56</v>
      </c>
      <c r="I40" t="s">
        <v>58</v>
      </c>
      <c r="J40">
        <v>3</v>
      </c>
      <c r="K40">
        <v>1</v>
      </c>
      <c r="L40" t="s">
        <v>241</v>
      </c>
      <c r="M40" t="s">
        <v>242</v>
      </c>
      <c r="N40" t="s">
        <v>243</v>
      </c>
      <c r="O40" t="s">
        <v>56</v>
      </c>
      <c r="P40" t="s">
        <v>61</v>
      </c>
      <c r="Q40" t="s">
        <v>62</v>
      </c>
      <c r="R40" t="s">
        <v>63</v>
      </c>
      <c r="S40" t="s">
        <v>64</v>
      </c>
      <c r="T40" t="s">
        <v>65</v>
      </c>
      <c r="U40" t="s">
        <v>66</v>
      </c>
      <c r="V40" t="s">
        <v>67</v>
      </c>
      <c r="W40" t="b">
        <v>0</v>
      </c>
      <c r="X40" t="b">
        <v>1</v>
      </c>
      <c r="Y40">
        <v>1</v>
      </c>
      <c r="Z40">
        <v>1</v>
      </c>
      <c r="AA40" t="s">
        <v>77</v>
      </c>
      <c r="AB40" t="s">
        <v>73</v>
      </c>
      <c r="AC40">
        <v>1</v>
      </c>
      <c r="AD40" t="b">
        <v>1</v>
      </c>
      <c r="AE40" t="s">
        <v>36</v>
      </c>
      <c r="AF40">
        <v>10000</v>
      </c>
      <c r="AG40">
        <v>1000</v>
      </c>
      <c r="AH40">
        <v>9504</v>
      </c>
      <c r="AI40" t="b">
        <v>1</v>
      </c>
      <c r="AJ40" t="b">
        <v>0</v>
      </c>
      <c r="AK40" t="b">
        <v>1</v>
      </c>
      <c r="AL40" t="b">
        <v>0</v>
      </c>
      <c r="AM40">
        <v>0</v>
      </c>
    </row>
    <row r="41" spans="1:39" x14ac:dyDescent="0.25">
      <c r="A41">
        <v>40</v>
      </c>
      <c r="B41" t="s">
        <v>164</v>
      </c>
      <c r="C41" t="s">
        <v>55</v>
      </c>
      <c r="D41">
        <v>600</v>
      </c>
      <c r="E41">
        <v>2.5000000000000001E-2</v>
      </c>
      <c r="F41" t="s">
        <v>240</v>
      </c>
      <c r="G41" t="b">
        <v>1</v>
      </c>
      <c r="H41" t="s">
        <v>56</v>
      </c>
      <c r="I41" t="s">
        <v>58</v>
      </c>
      <c r="J41">
        <v>3</v>
      </c>
      <c r="K41">
        <v>1</v>
      </c>
      <c r="L41" t="s">
        <v>241</v>
      </c>
      <c r="M41" t="s">
        <v>242</v>
      </c>
      <c r="N41" t="s">
        <v>243</v>
      </c>
      <c r="O41" t="s">
        <v>56</v>
      </c>
      <c r="P41" t="s">
        <v>61</v>
      </c>
      <c r="Q41" t="s">
        <v>62</v>
      </c>
      <c r="R41" t="s">
        <v>63</v>
      </c>
      <c r="S41" t="s">
        <v>64</v>
      </c>
      <c r="T41" t="s">
        <v>65</v>
      </c>
      <c r="U41" t="s">
        <v>66</v>
      </c>
      <c r="V41" t="s">
        <v>67</v>
      </c>
      <c r="W41" t="b">
        <v>0</v>
      </c>
      <c r="X41" t="b">
        <v>1</v>
      </c>
      <c r="Y41">
        <v>1</v>
      </c>
      <c r="Z41">
        <v>1</v>
      </c>
      <c r="AA41" t="s">
        <v>77</v>
      </c>
      <c r="AB41" t="s">
        <v>73</v>
      </c>
      <c r="AC41">
        <v>2</v>
      </c>
      <c r="AD41" t="b">
        <v>1</v>
      </c>
      <c r="AE41" t="s">
        <v>36</v>
      </c>
      <c r="AF41">
        <v>10000</v>
      </c>
      <c r="AG41">
        <v>1000</v>
      </c>
      <c r="AH41">
        <v>2300</v>
      </c>
      <c r="AI41" t="b">
        <v>1</v>
      </c>
      <c r="AJ41" t="b">
        <v>0</v>
      </c>
      <c r="AK41" t="b">
        <v>1</v>
      </c>
      <c r="AL41" t="b">
        <v>0</v>
      </c>
      <c r="AM41">
        <v>0</v>
      </c>
    </row>
    <row r="42" spans="1:39" x14ac:dyDescent="0.25">
      <c r="A42">
        <v>41</v>
      </c>
      <c r="B42" t="s">
        <v>167</v>
      </c>
      <c r="C42" t="s">
        <v>55</v>
      </c>
      <c r="D42">
        <v>400</v>
      </c>
      <c r="E42">
        <v>2.5000000000000001E-2</v>
      </c>
      <c r="F42" t="s">
        <v>240</v>
      </c>
      <c r="G42" t="b">
        <v>1</v>
      </c>
      <c r="H42" t="s">
        <v>56</v>
      </c>
      <c r="I42" t="s">
        <v>58</v>
      </c>
      <c r="J42">
        <v>3</v>
      </c>
      <c r="K42">
        <v>1</v>
      </c>
      <c r="L42" t="s">
        <v>241</v>
      </c>
      <c r="M42" t="s">
        <v>242</v>
      </c>
      <c r="N42" t="s">
        <v>243</v>
      </c>
      <c r="O42" t="s">
        <v>56</v>
      </c>
      <c r="P42" t="s">
        <v>61</v>
      </c>
      <c r="Q42" t="s">
        <v>62</v>
      </c>
      <c r="R42" t="s">
        <v>63</v>
      </c>
      <c r="S42" t="s">
        <v>64</v>
      </c>
      <c r="T42" t="s">
        <v>65</v>
      </c>
      <c r="U42" t="s">
        <v>97</v>
      </c>
      <c r="V42" t="s">
        <v>67</v>
      </c>
      <c r="W42" t="b">
        <v>0</v>
      </c>
      <c r="X42" t="b">
        <v>0</v>
      </c>
      <c r="AC42" t="s">
        <v>56</v>
      </c>
      <c r="AE42" t="s">
        <v>68</v>
      </c>
      <c r="AF42">
        <v>10000</v>
      </c>
      <c r="AG42">
        <v>1000</v>
      </c>
      <c r="AH42">
        <v>97827</v>
      </c>
      <c r="AI42" t="b">
        <v>1</v>
      </c>
      <c r="AJ42" t="b">
        <v>0</v>
      </c>
      <c r="AK42" t="b">
        <v>1</v>
      </c>
      <c r="AL42" t="b">
        <v>0</v>
      </c>
      <c r="AM42">
        <v>0</v>
      </c>
    </row>
    <row r="43" spans="1:39" x14ac:dyDescent="0.25">
      <c r="A43">
        <v>42</v>
      </c>
      <c r="B43" t="s">
        <v>170</v>
      </c>
      <c r="C43" t="s">
        <v>55</v>
      </c>
      <c r="D43">
        <v>400</v>
      </c>
      <c r="E43">
        <v>2.5000000000000001E-2</v>
      </c>
      <c r="F43" t="s">
        <v>240</v>
      </c>
      <c r="G43" t="b">
        <v>1</v>
      </c>
      <c r="H43" t="s">
        <v>56</v>
      </c>
      <c r="I43" t="s">
        <v>58</v>
      </c>
      <c r="J43">
        <v>3</v>
      </c>
      <c r="K43">
        <v>1</v>
      </c>
      <c r="L43" t="s">
        <v>241</v>
      </c>
      <c r="M43" t="s">
        <v>242</v>
      </c>
      <c r="N43" t="s">
        <v>243</v>
      </c>
      <c r="O43" t="s">
        <v>56</v>
      </c>
      <c r="P43" t="s">
        <v>61</v>
      </c>
      <c r="Q43" t="s">
        <v>62</v>
      </c>
      <c r="R43" t="s">
        <v>63</v>
      </c>
      <c r="S43" t="s">
        <v>64</v>
      </c>
      <c r="T43" t="s">
        <v>65</v>
      </c>
      <c r="U43" t="s">
        <v>97</v>
      </c>
      <c r="V43" t="s">
        <v>67</v>
      </c>
      <c r="W43" t="b">
        <v>0</v>
      </c>
      <c r="X43" t="b">
        <v>1</v>
      </c>
      <c r="Y43">
        <v>1</v>
      </c>
      <c r="Z43">
        <v>1</v>
      </c>
      <c r="AA43" t="s">
        <v>72</v>
      </c>
      <c r="AB43" t="s">
        <v>73</v>
      </c>
      <c r="AC43">
        <v>0.5</v>
      </c>
      <c r="AD43" t="b">
        <v>0</v>
      </c>
      <c r="AE43" t="s">
        <v>68</v>
      </c>
      <c r="AF43">
        <v>10000</v>
      </c>
      <c r="AG43">
        <v>1000</v>
      </c>
      <c r="AH43">
        <v>70743</v>
      </c>
      <c r="AI43" t="b">
        <v>1</v>
      </c>
      <c r="AJ43" t="b">
        <v>0</v>
      </c>
      <c r="AK43" t="b">
        <v>1</v>
      </c>
      <c r="AL43" t="b">
        <v>0</v>
      </c>
      <c r="AM43">
        <v>0</v>
      </c>
    </row>
    <row r="44" spans="1:39" x14ac:dyDescent="0.25">
      <c r="A44">
        <v>43</v>
      </c>
      <c r="B44" t="s">
        <v>173</v>
      </c>
      <c r="C44" t="s">
        <v>55</v>
      </c>
      <c r="D44">
        <v>400</v>
      </c>
      <c r="E44">
        <v>2.5000000000000001E-2</v>
      </c>
      <c r="F44" t="s">
        <v>240</v>
      </c>
      <c r="G44" t="b">
        <v>1</v>
      </c>
      <c r="H44" t="s">
        <v>56</v>
      </c>
      <c r="I44" t="s">
        <v>58</v>
      </c>
      <c r="J44">
        <v>3</v>
      </c>
      <c r="K44">
        <v>1</v>
      </c>
      <c r="L44" t="s">
        <v>241</v>
      </c>
      <c r="M44" t="s">
        <v>242</v>
      </c>
      <c r="N44" t="s">
        <v>243</v>
      </c>
      <c r="O44" t="s">
        <v>56</v>
      </c>
      <c r="P44" t="s">
        <v>61</v>
      </c>
      <c r="Q44" t="s">
        <v>62</v>
      </c>
      <c r="R44" t="s">
        <v>63</v>
      </c>
      <c r="S44" t="s">
        <v>64</v>
      </c>
      <c r="T44" t="s">
        <v>65</v>
      </c>
      <c r="U44" t="s">
        <v>97</v>
      </c>
      <c r="V44" t="s">
        <v>67</v>
      </c>
      <c r="W44" t="b">
        <v>0</v>
      </c>
      <c r="X44" t="b">
        <v>1</v>
      </c>
      <c r="Y44">
        <v>1</v>
      </c>
      <c r="Z44">
        <v>1</v>
      </c>
      <c r="AA44" t="s">
        <v>77</v>
      </c>
      <c r="AB44" t="s">
        <v>78</v>
      </c>
      <c r="AC44">
        <v>0.5</v>
      </c>
      <c r="AD44" t="b">
        <v>0</v>
      </c>
      <c r="AE44" t="s">
        <v>68</v>
      </c>
      <c r="AF44">
        <v>10000</v>
      </c>
      <c r="AG44">
        <v>1000</v>
      </c>
      <c r="AH44">
        <v>2402</v>
      </c>
      <c r="AI44" t="b">
        <v>1</v>
      </c>
      <c r="AJ44" t="b">
        <v>0</v>
      </c>
      <c r="AK44" t="b">
        <v>1</v>
      </c>
      <c r="AL44" t="b">
        <v>0</v>
      </c>
      <c r="AM44">
        <v>0</v>
      </c>
    </row>
    <row r="45" spans="1:39" x14ac:dyDescent="0.25">
      <c r="A45">
        <v>44</v>
      </c>
      <c r="B45" t="s">
        <v>176</v>
      </c>
      <c r="C45" t="s">
        <v>55</v>
      </c>
      <c r="D45">
        <v>400</v>
      </c>
      <c r="E45">
        <v>2.5000000000000001E-2</v>
      </c>
      <c r="F45" t="s">
        <v>240</v>
      </c>
      <c r="G45" t="b">
        <v>1</v>
      </c>
      <c r="H45" t="s">
        <v>56</v>
      </c>
      <c r="I45" t="s">
        <v>58</v>
      </c>
      <c r="J45">
        <v>3</v>
      </c>
      <c r="K45">
        <v>1</v>
      </c>
      <c r="L45" t="s">
        <v>241</v>
      </c>
      <c r="M45" t="s">
        <v>242</v>
      </c>
      <c r="N45" t="s">
        <v>243</v>
      </c>
      <c r="O45" t="s">
        <v>56</v>
      </c>
      <c r="P45" t="s">
        <v>61</v>
      </c>
      <c r="Q45" t="s">
        <v>62</v>
      </c>
      <c r="R45" t="s">
        <v>63</v>
      </c>
      <c r="S45" t="s">
        <v>64</v>
      </c>
      <c r="T45" t="s">
        <v>65</v>
      </c>
      <c r="U45" t="s">
        <v>97</v>
      </c>
      <c r="V45" t="s">
        <v>67</v>
      </c>
      <c r="W45" t="b">
        <v>0</v>
      </c>
      <c r="X45" t="b">
        <v>1</v>
      </c>
      <c r="Y45">
        <v>1</v>
      </c>
      <c r="Z45">
        <v>1</v>
      </c>
      <c r="AA45" t="s">
        <v>77</v>
      </c>
      <c r="AB45" t="s">
        <v>78</v>
      </c>
      <c r="AC45">
        <v>0.75</v>
      </c>
      <c r="AD45" t="b">
        <v>1</v>
      </c>
      <c r="AE45" t="s">
        <v>36</v>
      </c>
      <c r="AF45">
        <v>10000</v>
      </c>
      <c r="AG45">
        <v>1000</v>
      </c>
      <c r="AH45">
        <v>2637</v>
      </c>
      <c r="AI45" t="b">
        <v>1</v>
      </c>
      <c r="AJ45" t="b">
        <v>0</v>
      </c>
      <c r="AK45" t="b">
        <v>1</v>
      </c>
      <c r="AL45" t="b">
        <v>0</v>
      </c>
      <c r="AM45">
        <v>0</v>
      </c>
    </row>
    <row r="46" spans="1:39" x14ac:dyDescent="0.25">
      <c r="A46">
        <v>45</v>
      </c>
      <c r="B46" t="s">
        <v>179</v>
      </c>
      <c r="C46" t="s">
        <v>55</v>
      </c>
      <c r="D46">
        <v>400</v>
      </c>
      <c r="E46">
        <v>2.5000000000000001E-2</v>
      </c>
      <c r="F46" t="s">
        <v>240</v>
      </c>
      <c r="G46" t="b">
        <v>1</v>
      </c>
      <c r="H46" t="s">
        <v>56</v>
      </c>
      <c r="I46" t="s">
        <v>58</v>
      </c>
      <c r="J46">
        <v>3</v>
      </c>
      <c r="K46">
        <v>1</v>
      </c>
      <c r="L46" t="s">
        <v>241</v>
      </c>
      <c r="M46" t="s">
        <v>242</v>
      </c>
      <c r="N46" t="s">
        <v>243</v>
      </c>
      <c r="O46" t="s">
        <v>56</v>
      </c>
      <c r="P46" t="s">
        <v>61</v>
      </c>
      <c r="Q46" t="s">
        <v>62</v>
      </c>
      <c r="R46" t="s">
        <v>63</v>
      </c>
      <c r="S46" t="s">
        <v>64</v>
      </c>
      <c r="T46" t="s">
        <v>65</v>
      </c>
      <c r="U46" t="s">
        <v>97</v>
      </c>
      <c r="V46" t="s">
        <v>67</v>
      </c>
      <c r="W46" t="b">
        <v>0</v>
      </c>
      <c r="X46" t="b">
        <v>1</v>
      </c>
      <c r="Y46">
        <v>1</v>
      </c>
      <c r="Z46">
        <v>1</v>
      </c>
      <c r="AA46" t="s">
        <v>77</v>
      </c>
      <c r="AB46" t="s">
        <v>78</v>
      </c>
      <c r="AC46">
        <v>0.5</v>
      </c>
      <c r="AD46" t="b">
        <v>1</v>
      </c>
      <c r="AE46" t="s">
        <v>36</v>
      </c>
      <c r="AF46">
        <v>10000</v>
      </c>
      <c r="AG46">
        <v>1000</v>
      </c>
      <c r="AH46">
        <v>499</v>
      </c>
      <c r="AI46" t="b">
        <v>1</v>
      </c>
      <c r="AJ46" t="b">
        <v>0</v>
      </c>
      <c r="AK46" t="b">
        <v>1</v>
      </c>
      <c r="AL46" t="b">
        <v>0</v>
      </c>
      <c r="AM46">
        <v>0</v>
      </c>
    </row>
    <row r="47" spans="1:39" x14ac:dyDescent="0.25">
      <c r="A47">
        <v>46</v>
      </c>
      <c r="B47" t="s">
        <v>182</v>
      </c>
      <c r="C47" t="s">
        <v>55</v>
      </c>
      <c r="D47">
        <v>400</v>
      </c>
      <c r="E47">
        <v>2.5000000000000001E-2</v>
      </c>
      <c r="F47" t="s">
        <v>240</v>
      </c>
      <c r="G47" t="b">
        <v>1</v>
      </c>
      <c r="H47" t="s">
        <v>56</v>
      </c>
      <c r="I47" t="s">
        <v>58</v>
      </c>
      <c r="J47">
        <v>3</v>
      </c>
      <c r="K47">
        <v>1</v>
      </c>
      <c r="L47" t="s">
        <v>241</v>
      </c>
      <c r="M47" t="s">
        <v>242</v>
      </c>
      <c r="N47" t="s">
        <v>243</v>
      </c>
      <c r="O47" t="s">
        <v>56</v>
      </c>
      <c r="P47" t="s">
        <v>61</v>
      </c>
      <c r="Q47" t="s">
        <v>62</v>
      </c>
      <c r="R47" t="s">
        <v>63</v>
      </c>
      <c r="S47" t="s">
        <v>64</v>
      </c>
      <c r="T47" t="s">
        <v>65</v>
      </c>
      <c r="U47" t="s">
        <v>97</v>
      </c>
      <c r="V47" t="s">
        <v>67</v>
      </c>
      <c r="W47" t="b">
        <v>0</v>
      </c>
      <c r="X47" t="b">
        <v>1</v>
      </c>
      <c r="Y47">
        <v>1</v>
      </c>
      <c r="Z47">
        <v>1</v>
      </c>
      <c r="AA47" t="s">
        <v>77</v>
      </c>
      <c r="AB47" t="s">
        <v>78</v>
      </c>
      <c r="AC47">
        <v>0.25</v>
      </c>
      <c r="AD47" t="b">
        <v>1</v>
      </c>
      <c r="AE47" t="s">
        <v>36</v>
      </c>
      <c r="AF47">
        <v>10000</v>
      </c>
      <c r="AG47">
        <v>1000</v>
      </c>
      <c r="AH47">
        <v>30953</v>
      </c>
      <c r="AI47" t="b">
        <v>1</v>
      </c>
      <c r="AJ47" t="b">
        <v>0</v>
      </c>
      <c r="AK47" t="b">
        <v>1</v>
      </c>
      <c r="AL47" t="b">
        <v>0</v>
      </c>
      <c r="AM47">
        <v>0</v>
      </c>
    </row>
    <row r="48" spans="1:39" x14ac:dyDescent="0.25">
      <c r="A48">
        <v>47</v>
      </c>
      <c r="B48" t="s">
        <v>185</v>
      </c>
      <c r="C48" t="s">
        <v>55</v>
      </c>
      <c r="D48">
        <v>400</v>
      </c>
      <c r="E48">
        <v>2.5000000000000001E-2</v>
      </c>
      <c r="F48" t="s">
        <v>240</v>
      </c>
      <c r="G48" t="b">
        <v>1</v>
      </c>
      <c r="H48" t="s">
        <v>56</v>
      </c>
      <c r="I48" t="s">
        <v>58</v>
      </c>
      <c r="J48">
        <v>3</v>
      </c>
      <c r="K48">
        <v>1</v>
      </c>
      <c r="L48" t="s">
        <v>241</v>
      </c>
      <c r="M48" t="s">
        <v>242</v>
      </c>
      <c r="N48" t="s">
        <v>243</v>
      </c>
      <c r="O48" t="s">
        <v>56</v>
      </c>
      <c r="P48" t="s">
        <v>61</v>
      </c>
      <c r="Q48" t="s">
        <v>62</v>
      </c>
      <c r="R48" t="s">
        <v>63</v>
      </c>
      <c r="S48" t="s">
        <v>64</v>
      </c>
      <c r="T48" t="s">
        <v>65</v>
      </c>
      <c r="U48" t="s">
        <v>97</v>
      </c>
      <c r="V48" t="s">
        <v>67</v>
      </c>
      <c r="W48" t="b">
        <v>0</v>
      </c>
      <c r="X48" t="b">
        <v>1</v>
      </c>
      <c r="Y48">
        <v>1</v>
      </c>
      <c r="Z48">
        <v>1</v>
      </c>
      <c r="AA48" t="s">
        <v>77</v>
      </c>
      <c r="AB48" t="s">
        <v>73</v>
      </c>
      <c r="AC48">
        <v>1</v>
      </c>
      <c r="AD48" t="b">
        <v>1</v>
      </c>
      <c r="AE48" t="s">
        <v>36</v>
      </c>
      <c r="AF48">
        <v>10000</v>
      </c>
      <c r="AG48">
        <v>1000</v>
      </c>
      <c r="AH48">
        <v>59079</v>
      </c>
      <c r="AI48" t="b">
        <v>1</v>
      </c>
      <c r="AJ48" t="b">
        <v>0</v>
      </c>
      <c r="AK48" t="b">
        <v>1</v>
      </c>
      <c r="AL48" t="b">
        <v>0</v>
      </c>
      <c r="AM48">
        <v>0</v>
      </c>
    </row>
    <row r="49" spans="1:39" x14ac:dyDescent="0.25">
      <c r="A49">
        <v>48</v>
      </c>
      <c r="B49" t="s">
        <v>188</v>
      </c>
      <c r="C49" t="s">
        <v>55</v>
      </c>
      <c r="D49">
        <v>400</v>
      </c>
      <c r="E49">
        <v>2.5000000000000001E-2</v>
      </c>
      <c r="F49" t="s">
        <v>240</v>
      </c>
      <c r="G49" t="b">
        <v>1</v>
      </c>
      <c r="H49" t="s">
        <v>56</v>
      </c>
      <c r="I49" t="s">
        <v>58</v>
      </c>
      <c r="J49">
        <v>3</v>
      </c>
      <c r="K49">
        <v>1</v>
      </c>
      <c r="L49" t="s">
        <v>241</v>
      </c>
      <c r="M49" t="s">
        <v>242</v>
      </c>
      <c r="N49" t="s">
        <v>243</v>
      </c>
      <c r="O49" t="s">
        <v>56</v>
      </c>
      <c r="P49" t="s">
        <v>61</v>
      </c>
      <c r="Q49" t="s">
        <v>62</v>
      </c>
      <c r="R49" t="s">
        <v>63</v>
      </c>
      <c r="S49" t="s">
        <v>64</v>
      </c>
      <c r="T49" t="s">
        <v>65</v>
      </c>
      <c r="U49" t="s">
        <v>97</v>
      </c>
      <c r="V49" t="s">
        <v>67</v>
      </c>
      <c r="W49" t="b">
        <v>0</v>
      </c>
      <c r="X49" t="b">
        <v>1</v>
      </c>
      <c r="Y49">
        <v>1</v>
      </c>
      <c r="Z49">
        <v>1</v>
      </c>
      <c r="AA49" t="s">
        <v>77</v>
      </c>
      <c r="AB49" t="s">
        <v>73</v>
      </c>
      <c r="AC49">
        <v>2</v>
      </c>
      <c r="AD49" t="b">
        <v>1</v>
      </c>
      <c r="AE49" t="s">
        <v>36</v>
      </c>
      <c r="AF49">
        <v>10000</v>
      </c>
      <c r="AG49">
        <v>1000</v>
      </c>
      <c r="AH49">
        <v>58217</v>
      </c>
      <c r="AI49" t="b">
        <v>1</v>
      </c>
      <c r="AJ49" t="b">
        <v>0</v>
      </c>
      <c r="AK49" t="b">
        <v>1</v>
      </c>
      <c r="AL49" t="b">
        <v>0</v>
      </c>
      <c r="AM49">
        <v>0</v>
      </c>
    </row>
    <row r="50" spans="1:39" x14ac:dyDescent="0.25">
      <c r="A50">
        <v>49</v>
      </c>
      <c r="B50" t="s">
        <v>191</v>
      </c>
      <c r="C50" t="s">
        <v>55</v>
      </c>
      <c r="D50">
        <v>400</v>
      </c>
      <c r="E50">
        <v>2.5000000000000001E-2</v>
      </c>
      <c r="F50" t="s">
        <v>240</v>
      </c>
      <c r="G50" t="b">
        <v>1</v>
      </c>
      <c r="H50" t="s">
        <v>56</v>
      </c>
      <c r="I50" t="s">
        <v>68</v>
      </c>
      <c r="J50">
        <v>3</v>
      </c>
      <c r="K50">
        <v>1</v>
      </c>
      <c r="L50" t="s">
        <v>241</v>
      </c>
      <c r="M50" t="s">
        <v>242</v>
      </c>
      <c r="N50" t="s">
        <v>243</v>
      </c>
      <c r="O50" t="s">
        <v>56</v>
      </c>
      <c r="P50" t="s">
        <v>61</v>
      </c>
      <c r="Q50" t="s">
        <v>62</v>
      </c>
      <c r="R50" t="s">
        <v>63</v>
      </c>
      <c r="S50" t="s">
        <v>64</v>
      </c>
      <c r="T50" t="s">
        <v>65</v>
      </c>
      <c r="U50" t="s">
        <v>97</v>
      </c>
      <c r="V50" t="s">
        <v>67</v>
      </c>
      <c r="W50" t="b">
        <v>0</v>
      </c>
      <c r="X50" t="b">
        <v>0</v>
      </c>
      <c r="AC50" t="s">
        <v>56</v>
      </c>
      <c r="AE50" t="s">
        <v>68</v>
      </c>
      <c r="AF50">
        <v>10000</v>
      </c>
      <c r="AG50">
        <v>1000</v>
      </c>
      <c r="AH50">
        <v>97827</v>
      </c>
      <c r="AI50" t="b">
        <v>1</v>
      </c>
      <c r="AJ50" t="b">
        <v>0</v>
      </c>
      <c r="AK50" t="b">
        <v>1</v>
      </c>
      <c r="AL50" t="b">
        <v>0</v>
      </c>
      <c r="AM50">
        <v>0</v>
      </c>
    </row>
    <row r="51" spans="1:39" x14ac:dyDescent="0.25">
      <c r="A51">
        <v>50</v>
      </c>
      <c r="B51" t="s">
        <v>194</v>
      </c>
      <c r="C51" t="s">
        <v>55</v>
      </c>
      <c r="D51">
        <v>400</v>
      </c>
      <c r="E51">
        <v>2.5000000000000001E-2</v>
      </c>
      <c r="F51" t="s">
        <v>240</v>
      </c>
      <c r="G51" t="b">
        <v>1</v>
      </c>
      <c r="H51" t="s">
        <v>56</v>
      </c>
      <c r="I51" t="s">
        <v>68</v>
      </c>
      <c r="J51">
        <v>3</v>
      </c>
      <c r="K51">
        <v>1</v>
      </c>
      <c r="L51" t="s">
        <v>241</v>
      </c>
      <c r="M51" t="s">
        <v>242</v>
      </c>
      <c r="N51" t="s">
        <v>243</v>
      </c>
      <c r="O51" t="s">
        <v>56</v>
      </c>
      <c r="P51" t="s">
        <v>61</v>
      </c>
      <c r="Q51" t="s">
        <v>62</v>
      </c>
      <c r="R51" t="s">
        <v>63</v>
      </c>
      <c r="S51" t="s">
        <v>64</v>
      </c>
      <c r="T51" t="s">
        <v>65</v>
      </c>
      <c r="U51" t="s">
        <v>97</v>
      </c>
      <c r="V51" t="s">
        <v>67</v>
      </c>
      <c r="W51" t="b">
        <v>0</v>
      </c>
      <c r="X51" t="b">
        <v>1</v>
      </c>
      <c r="Y51">
        <v>1</v>
      </c>
      <c r="Z51">
        <v>1</v>
      </c>
      <c r="AA51" t="s">
        <v>72</v>
      </c>
      <c r="AB51" t="s">
        <v>73</v>
      </c>
      <c r="AC51">
        <v>0.5</v>
      </c>
      <c r="AD51" t="b">
        <v>0</v>
      </c>
      <c r="AE51" t="s">
        <v>68</v>
      </c>
      <c r="AF51">
        <v>10000</v>
      </c>
      <c r="AG51">
        <v>1000</v>
      </c>
      <c r="AH51">
        <v>70743</v>
      </c>
      <c r="AI51" t="b">
        <v>1</v>
      </c>
      <c r="AJ51" t="b">
        <v>0</v>
      </c>
      <c r="AK51" t="b">
        <v>1</v>
      </c>
      <c r="AL51" t="b">
        <v>0</v>
      </c>
      <c r="AM51">
        <v>0</v>
      </c>
    </row>
    <row r="52" spans="1:39" x14ac:dyDescent="0.25">
      <c r="A52">
        <v>51</v>
      </c>
      <c r="B52" t="s">
        <v>197</v>
      </c>
      <c r="C52" t="s">
        <v>55</v>
      </c>
      <c r="D52">
        <v>400</v>
      </c>
      <c r="E52">
        <v>2.5000000000000001E-2</v>
      </c>
      <c r="F52" t="s">
        <v>240</v>
      </c>
      <c r="G52" t="b">
        <v>1</v>
      </c>
      <c r="H52" t="s">
        <v>56</v>
      </c>
      <c r="I52" t="s">
        <v>68</v>
      </c>
      <c r="J52">
        <v>3</v>
      </c>
      <c r="K52">
        <v>1</v>
      </c>
      <c r="L52" t="s">
        <v>241</v>
      </c>
      <c r="M52" t="s">
        <v>242</v>
      </c>
      <c r="N52" t="s">
        <v>243</v>
      </c>
      <c r="O52" t="s">
        <v>56</v>
      </c>
      <c r="P52" t="s">
        <v>61</v>
      </c>
      <c r="Q52" t="s">
        <v>62</v>
      </c>
      <c r="R52" t="s">
        <v>63</v>
      </c>
      <c r="S52" t="s">
        <v>64</v>
      </c>
      <c r="T52" t="s">
        <v>65</v>
      </c>
      <c r="U52" t="s">
        <v>97</v>
      </c>
      <c r="V52" t="s">
        <v>67</v>
      </c>
      <c r="W52" t="b">
        <v>0</v>
      </c>
      <c r="X52" t="b">
        <v>1</v>
      </c>
      <c r="Y52">
        <v>1</v>
      </c>
      <c r="Z52">
        <v>1</v>
      </c>
      <c r="AA52" t="s">
        <v>77</v>
      </c>
      <c r="AB52" t="s">
        <v>78</v>
      </c>
      <c r="AC52">
        <v>0.5</v>
      </c>
      <c r="AD52" t="b">
        <v>0</v>
      </c>
      <c r="AE52" t="s">
        <v>68</v>
      </c>
      <c r="AF52">
        <v>10000</v>
      </c>
      <c r="AG52">
        <v>1000</v>
      </c>
      <c r="AH52">
        <v>2402</v>
      </c>
      <c r="AI52" t="b">
        <v>1</v>
      </c>
      <c r="AJ52" t="b">
        <v>0</v>
      </c>
      <c r="AK52" t="b">
        <v>1</v>
      </c>
      <c r="AL52" t="b">
        <v>0</v>
      </c>
      <c r="AM52">
        <v>0</v>
      </c>
    </row>
    <row r="53" spans="1:39" x14ac:dyDescent="0.25">
      <c r="A53">
        <v>52</v>
      </c>
      <c r="B53" t="s">
        <v>200</v>
      </c>
      <c r="C53" t="s">
        <v>55</v>
      </c>
      <c r="D53">
        <v>400</v>
      </c>
      <c r="E53">
        <v>2.5000000000000001E-2</v>
      </c>
      <c r="F53" t="s">
        <v>240</v>
      </c>
      <c r="G53" t="b">
        <v>1</v>
      </c>
      <c r="H53" t="s">
        <v>56</v>
      </c>
      <c r="I53" t="s">
        <v>68</v>
      </c>
      <c r="J53">
        <v>3</v>
      </c>
      <c r="K53">
        <v>1</v>
      </c>
      <c r="L53" t="s">
        <v>241</v>
      </c>
      <c r="M53" t="s">
        <v>242</v>
      </c>
      <c r="N53" t="s">
        <v>243</v>
      </c>
      <c r="O53" t="s">
        <v>56</v>
      </c>
      <c r="P53" t="s">
        <v>61</v>
      </c>
      <c r="Q53" t="s">
        <v>62</v>
      </c>
      <c r="R53" t="s">
        <v>63</v>
      </c>
      <c r="S53" t="s">
        <v>64</v>
      </c>
      <c r="T53" t="s">
        <v>65</v>
      </c>
      <c r="U53" t="s">
        <v>97</v>
      </c>
      <c r="V53" t="s">
        <v>67</v>
      </c>
      <c r="W53" t="b">
        <v>0</v>
      </c>
      <c r="X53" t="b">
        <v>1</v>
      </c>
      <c r="Y53">
        <v>1</v>
      </c>
      <c r="Z53">
        <v>1</v>
      </c>
      <c r="AA53" t="s">
        <v>77</v>
      </c>
      <c r="AB53" t="s">
        <v>78</v>
      </c>
      <c r="AC53">
        <v>0.75</v>
      </c>
      <c r="AD53" t="b">
        <v>1</v>
      </c>
      <c r="AE53" t="s">
        <v>36</v>
      </c>
      <c r="AF53">
        <v>10000</v>
      </c>
      <c r="AG53">
        <v>1000</v>
      </c>
      <c r="AH53">
        <v>2637</v>
      </c>
      <c r="AI53" t="b">
        <v>1</v>
      </c>
      <c r="AJ53" t="b">
        <v>0</v>
      </c>
      <c r="AK53" t="b">
        <v>1</v>
      </c>
      <c r="AL53" t="b">
        <v>0</v>
      </c>
      <c r="AM53">
        <v>0</v>
      </c>
    </row>
    <row r="54" spans="1:39" x14ac:dyDescent="0.25">
      <c r="A54">
        <v>53</v>
      </c>
      <c r="B54" t="s">
        <v>202</v>
      </c>
      <c r="C54" t="s">
        <v>55</v>
      </c>
      <c r="D54">
        <v>400</v>
      </c>
      <c r="E54">
        <v>2.5000000000000001E-2</v>
      </c>
      <c r="F54" t="s">
        <v>240</v>
      </c>
      <c r="G54" t="b">
        <v>1</v>
      </c>
      <c r="H54" t="s">
        <v>56</v>
      </c>
      <c r="I54" t="s">
        <v>68</v>
      </c>
      <c r="J54">
        <v>3</v>
      </c>
      <c r="K54">
        <v>1</v>
      </c>
      <c r="L54" t="s">
        <v>241</v>
      </c>
      <c r="M54" t="s">
        <v>242</v>
      </c>
      <c r="N54" t="s">
        <v>243</v>
      </c>
      <c r="O54" t="s">
        <v>56</v>
      </c>
      <c r="P54" t="s">
        <v>61</v>
      </c>
      <c r="Q54" t="s">
        <v>62</v>
      </c>
      <c r="R54" t="s">
        <v>63</v>
      </c>
      <c r="S54" t="s">
        <v>64</v>
      </c>
      <c r="T54" t="s">
        <v>65</v>
      </c>
      <c r="U54" t="s">
        <v>97</v>
      </c>
      <c r="V54" t="s">
        <v>67</v>
      </c>
      <c r="W54" t="b">
        <v>0</v>
      </c>
      <c r="X54" t="b">
        <v>1</v>
      </c>
      <c r="Y54">
        <v>1</v>
      </c>
      <c r="Z54">
        <v>1</v>
      </c>
      <c r="AA54" t="s">
        <v>77</v>
      </c>
      <c r="AB54" t="s">
        <v>78</v>
      </c>
      <c r="AC54">
        <v>0.5</v>
      </c>
      <c r="AD54" t="b">
        <v>1</v>
      </c>
      <c r="AE54" t="s">
        <v>36</v>
      </c>
      <c r="AF54">
        <v>10000</v>
      </c>
      <c r="AG54">
        <v>1000</v>
      </c>
      <c r="AH54">
        <v>499</v>
      </c>
      <c r="AI54" t="b">
        <v>1</v>
      </c>
      <c r="AJ54" t="b">
        <v>0</v>
      </c>
      <c r="AK54" t="b">
        <v>1</v>
      </c>
      <c r="AL54" t="b">
        <v>0</v>
      </c>
      <c r="AM54">
        <v>0</v>
      </c>
    </row>
    <row r="55" spans="1:39" x14ac:dyDescent="0.25">
      <c r="A55">
        <v>54</v>
      </c>
      <c r="B55" t="s">
        <v>205</v>
      </c>
      <c r="C55" t="s">
        <v>55</v>
      </c>
      <c r="D55">
        <v>400</v>
      </c>
      <c r="E55">
        <v>2.5000000000000001E-2</v>
      </c>
      <c r="F55" t="s">
        <v>240</v>
      </c>
      <c r="G55" t="b">
        <v>1</v>
      </c>
      <c r="H55" t="s">
        <v>56</v>
      </c>
      <c r="I55" t="s">
        <v>68</v>
      </c>
      <c r="J55">
        <v>3</v>
      </c>
      <c r="K55">
        <v>1</v>
      </c>
      <c r="L55" t="s">
        <v>241</v>
      </c>
      <c r="M55" t="s">
        <v>242</v>
      </c>
      <c r="N55" t="s">
        <v>243</v>
      </c>
      <c r="O55" t="s">
        <v>56</v>
      </c>
      <c r="P55" t="s">
        <v>61</v>
      </c>
      <c r="Q55" t="s">
        <v>62</v>
      </c>
      <c r="R55" t="s">
        <v>63</v>
      </c>
      <c r="S55" t="s">
        <v>64</v>
      </c>
      <c r="T55" t="s">
        <v>65</v>
      </c>
      <c r="U55" t="s">
        <v>97</v>
      </c>
      <c r="V55" t="s">
        <v>67</v>
      </c>
      <c r="W55" t="b">
        <v>0</v>
      </c>
      <c r="X55" t="b">
        <v>1</v>
      </c>
      <c r="Y55">
        <v>1</v>
      </c>
      <c r="Z55">
        <v>1</v>
      </c>
      <c r="AA55" t="s">
        <v>77</v>
      </c>
      <c r="AB55" t="s">
        <v>78</v>
      </c>
      <c r="AC55">
        <v>0.25</v>
      </c>
      <c r="AD55" t="b">
        <v>1</v>
      </c>
      <c r="AE55" t="s">
        <v>36</v>
      </c>
      <c r="AF55">
        <v>10000</v>
      </c>
      <c r="AG55">
        <v>1000</v>
      </c>
      <c r="AH55">
        <v>30953</v>
      </c>
      <c r="AI55" t="b">
        <v>1</v>
      </c>
      <c r="AJ55" t="b">
        <v>0</v>
      </c>
      <c r="AK55" t="b">
        <v>1</v>
      </c>
      <c r="AL55" t="b">
        <v>0</v>
      </c>
      <c r="AM55">
        <v>0</v>
      </c>
    </row>
    <row r="56" spans="1:39" x14ac:dyDescent="0.25">
      <c r="A56">
        <v>55</v>
      </c>
      <c r="B56" t="s">
        <v>208</v>
      </c>
      <c r="C56" t="s">
        <v>55</v>
      </c>
      <c r="D56">
        <v>400</v>
      </c>
      <c r="E56">
        <v>2.5000000000000001E-2</v>
      </c>
      <c r="F56" t="s">
        <v>240</v>
      </c>
      <c r="G56" t="b">
        <v>1</v>
      </c>
      <c r="H56" t="s">
        <v>56</v>
      </c>
      <c r="I56" t="s">
        <v>68</v>
      </c>
      <c r="J56">
        <v>3</v>
      </c>
      <c r="K56">
        <v>1</v>
      </c>
      <c r="L56" t="s">
        <v>241</v>
      </c>
      <c r="M56" t="s">
        <v>242</v>
      </c>
      <c r="N56" t="s">
        <v>243</v>
      </c>
      <c r="O56" t="s">
        <v>56</v>
      </c>
      <c r="P56" t="s">
        <v>61</v>
      </c>
      <c r="Q56" t="s">
        <v>62</v>
      </c>
      <c r="R56" t="s">
        <v>63</v>
      </c>
      <c r="S56" t="s">
        <v>64</v>
      </c>
      <c r="T56" t="s">
        <v>65</v>
      </c>
      <c r="U56" t="s">
        <v>97</v>
      </c>
      <c r="V56" t="s">
        <v>67</v>
      </c>
      <c r="W56" t="b">
        <v>0</v>
      </c>
      <c r="X56" t="b">
        <v>1</v>
      </c>
      <c r="Y56">
        <v>1</v>
      </c>
      <c r="Z56">
        <v>1</v>
      </c>
      <c r="AA56" t="s">
        <v>77</v>
      </c>
      <c r="AB56" t="s">
        <v>73</v>
      </c>
      <c r="AC56">
        <v>1</v>
      </c>
      <c r="AD56" t="b">
        <v>1</v>
      </c>
      <c r="AE56" t="s">
        <v>36</v>
      </c>
      <c r="AF56">
        <v>10000</v>
      </c>
      <c r="AG56">
        <v>1000</v>
      </c>
      <c r="AH56">
        <v>59079</v>
      </c>
      <c r="AI56" t="b">
        <v>1</v>
      </c>
      <c r="AJ56" t="b">
        <v>0</v>
      </c>
      <c r="AK56" t="b">
        <v>1</v>
      </c>
      <c r="AL56" t="b">
        <v>0</v>
      </c>
      <c r="AM56">
        <v>0</v>
      </c>
    </row>
    <row r="57" spans="1:39" x14ac:dyDescent="0.25">
      <c r="A57">
        <v>56</v>
      </c>
      <c r="B57" t="s">
        <v>211</v>
      </c>
      <c r="C57" t="s">
        <v>55</v>
      </c>
      <c r="D57">
        <v>400</v>
      </c>
      <c r="E57">
        <v>2.5000000000000001E-2</v>
      </c>
      <c r="F57" t="s">
        <v>240</v>
      </c>
      <c r="G57" t="b">
        <v>1</v>
      </c>
      <c r="H57" t="s">
        <v>56</v>
      </c>
      <c r="I57" t="s">
        <v>68</v>
      </c>
      <c r="J57">
        <v>3</v>
      </c>
      <c r="K57">
        <v>1</v>
      </c>
      <c r="L57" t="s">
        <v>241</v>
      </c>
      <c r="M57" t="s">
        <v>242</v>
      </c>
      <c r="N57" t="s">
        <v>243</v>
      </c>
      <c r="O57" t="s">
        <v>56</v>
      </c>
      <c r="P57" t="s">
        <v>61</v>
      </c>
      <c r="Q57" t="s">
        <v>62</v>
      </c>
      <c r="R57" t="s">
        <v>63</v>
      </c>
      <c r="S57" t="s">
        <v>64</v>
      </c>
      <c r="T57" t="s">
        <v>65</v>
      </c>
      <c r="U57" t="s">
        <v>97</v>
      </c>
      <c r="V57" t="s">
        <v>67</v>
      </c>
      <c r="W57" t="b">
        <v>0</v>
      </c>
      <c r="X57" t="b">
        <v>1</v>
      </c>
      <c r="Y57">
        <v>1</v>
      </c>
      <c r="Z57">
        <v>1</v>
      </c>
      <c r="AA57" t="s">
        <v>77</v>
      </c>
      <c r="AB57" t="s">
        <v>73</v>
      </c>
      <c r="AC57">
        <v>2</v>
      </c>
      <c r="AD57" t="b">
        <v>1</v>
      </c>
      <c r="AE57" t="s">
        <v>36</v>
      </c>
      <c r="AF57">
        <v>10000</v>
      </c>
      <c r="AG57">
        <v>1000</v>
      </c>
      <c r="AH57">
        <v>58217</v>
      </c>
      <c r="AI57" t="b">
        <v>1</v>
      </c>
      <c r="AJ57" t="b">
        <v>0</v>
      </c>
      <c r="AK57" t="b">
        <v>1</v>
      </c>
      <c r="AL57" t="b">
        <v>0</v>
      </c>
      <c r="AM5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97F-98BA-4FE4-ACCB-A8D908B40DD8}">
  <dimension ref="A1:AY21"/>
  <sheetViews>
    <sheetView workbookViewId="0">
      <selection activeCell="K12" sqref="K12"/>
    </sheetView>
  </sheetViews>
  <sheetFormatPr defaultRowHeight="15" x14ac:dyDescent="0.25"/>
  <cols>
    <col min="17" max="17" width="11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232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>
        <v>57</v>
      </c>
      <c r="B2" t="s">
        <v>50</v>
      </c>
      <c r="C2">
        <v>64564</v>
      </c>
      <c r="D2">
        <v>2.53286E-2</v>
      </c>
      <c r="E2">
        <v>0</v>
      </c>
      <c r="F2">
        <v>0</v>
      </c>
      <c r="G2">
        <v>2.53286E-2</v>
      </c>
      <c r="H2" t="s">
        <v>245</v>
      </c>
      <c r="I2" t="s">
        <v>52</v>
      </c>
      <c r="J2" t="s">
        <v>52</v>
      </c>
      <c r="K2" t="s">
        <v>245</v>
      </c>
      <c r="L2" s="1">
        <v>92175</v>
      </c>
      <c r="M2" t="s">
        <v>246</v>
      </c>
      <c r="N2">
        <v>0.50674322227637003</v>
      </c>
      <c r="O2" t="s">
        <v>54</v>
      </c>
      <c r="P2" t="s">
        <v>55</v>
      </c>
      <c r="Q2">
        <v>1000</v>
      </c>
      <c r="R2">
        <v>2.5000000000000001E-2</v>
      </c>
      <c r="S2" t="s">
        <v>56</v>
      </c>
      <c r="T2" t="s">
        <v>56</v>
      </c>
      <c r="U2" t="s">
        <v>57</v>
      </c>
      <c r="V2" t="s">
        <v>58</v>
      </c>
      <c r="W2">
        <v>3</v>
      </c>
      <c r="X2">
        <v>1</v>
      </c>
      <c r="Y2" t="s">
        <v>59</v>
      </c>
      <c r="Z2" t="s">
        <v>56</v>
      </c>
      <c r="AA2" t="s">
        <v>56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b">
        <v>0</v>
      </c>
      <c r="AK2" t="b">
        <v>0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68</v>
      </c>
      <c r="AS2">
        <v>10000</v>
      </c>
      <c r="AT2">
        <v>1000</v>
      </c>
      <c r="AU2">
        <v>64564</v>
      </c>
      <c r="AV2" t="b">
        <v>1</v>
      </c>
      <c r="AW2" t="b">
        <v>0</v>
      </c>
      <c r="AX2" t="b">
        <v>1</v>
      </c>
      <c r="AY2" t="b">
        <v>1</v>
      </c>
    </row>
    <row r="3" spans="1:51" x14ac:dyDescent="0.25">
      <c r="A3">
        <v>58</v>
      </c>
      <c r="B3" t="s">
        <v>74</v>
      </c>
      <c r="C3">
        <v>11111</v>
      </c>
      <c r="D3">
        <v>2.71132E-2</v>
      </c>
      <c r="E3">
        <v>0</v>
      </c>
      <c r="F3">
        <v>0</v>
      </c>
      <c r="G3">
        <v>2.71132E-2</v>
      </c>
      <c r="H3" t="s">
        <v>247</v>
      </c>
      <c r="I3" t="s">
        <v>52</v>
      </c>
      <c r="J3" t="s">
        <v>52</v>
      </c>
      <c r="K3" t="s">
        <v>247</v>
      </c>
      <c r="L3" s="1">
        <v>101180</v>
      </c>
      <c r="M3" t="s">
        <v>248</v>
      </c>
      <c r="N3">
        <v>0.32090279334121302</v>
      </c>
      <c r="O3" t="s">
        <v>54</v>
      </c>
      <c r="P3" t="s">
        <v>55</v>
      </c>
      <c r="Q3">
        <v>1000</v>
      </c>
      <c r="R3">
        <v>2.5000000000000001E-2</v>
      </c>
      <c r="S3" t="s">
        <v>56</v>
      </c>
      <c r="T3" t="s">
        <v>56</v>
      </c>
      <c r="U3" t="s">
        <v>57</v>
      </c>
      <c r="V3" t="s">
        <v>58</v>
      </c>
      <c r="W3">
        <v>3</v>
      </c>
      <c r="X3">
        <v>1</v>
      </c>
      <c r="Y3" t="s">
        <v>59</v>
      </c>
      <c r="Z3" t="s">
        <v>56</v>
      </c>
      <c r="AA3" t="s">
        <v>56</v>
      </c>
      <c r="AB3" t="s">
        <v>60</v>
      </c>
      <c r="AC3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66</v>
      </c>
      <c r="AI3" t="s">
        <v>67</v>
      </c>
      <c r="AJ3" t="b">
        <v>0</v>
      </c>
      <c r="AK3" t="b">
        <v>1</v>
      </c>
      <c r="AL3">
        <v>1</v>
      </c>
      <c r="AM3">
        <v>1</v>
      </c>
      <c r="AN3" t="s">
        <v>77</v>
      </c>
      <c r="AO3" t="s">
        <v>78</v>
      </c>
      <c r="AP3">
        <v>0.5</v>
      </c>
      <c r="AQ3" t="b">
        <v>0</v>
      </c>
      <c r="AR3" t="s">
        <v>68</v>
      </c>
      <c r="AS3">
        <v>10000</v>
      </c>
      <c r="AT3">
        <v>1000</v>
      </c>
      <c r="AU3">
        <v>11111</v>
      </c>
      <c r="AV3" t="b">
        <v>1</v>
      </c>
      <c r="AW3" t="b">
        <v>0</v>
      </c>
      <c r="AX3" t="b">
        <v>1</v>
      </c>
      <c r="AY3" t="b">
        <v>1</v>
      </c>
    </row>
    <row r="4" spans="1:51" x14ac:dyDescent="0.25">
      <c r="A4">
        <v>59</v>
      </c>
      <c r="B4" t="s">
        <v>79</v>
      </c>
      <c r="C4">
        <v>343</v>
      </c>
      <c r="D4">
        <v>2.5862199999999998E-2</v>
      </c>
      <c r="E4">
        <v>0</v>
      </c>
      <c r="F4">
        <v>0</v>
      </c>
      <c r="G4">
        <v>2.5862199999999998E-2</v>
      </c>
      <c r="H4" t="s">
        <v>249</v>
      </c>
      <c r="I4" t="s">
        <v>52</v>
      </c>
      <c r="J4" t="s">
        <v>52</v>
      </c>
      <c r="K4" t="s">
        <v>249</v>
      </c>
      <c r="L4" s="1">
        <v>89160</v>
      </c>
      <c r="M4" t="s">
        <v>250</v>
      </c>
      <c r="N4">
        <v>0.45921505941285001</v>
      </c>
      <c r="O4" t="s">
        <v>54</v>
      </c>
      <c r="P4" t="s">
        <v>55</v>
      </c>
      <c r="Q4">
        <v>1000</v>
      </c>
      <c r="R4">
        <v>2.5000000000000001E-2</v>
      </c>
      <c r="S4" t="s">
        <v>56</v>
      </c>
      <c r="T4" t="s">
        <v>56</v>
      </c>
      <c r="U4" t="s">
        <v>57</v>
      </c>
      <c r="V4" t="s">
        <v>68</v>
      </c>
      <c r="W4">
        <v>3</v>
      </c>
      <c r="X4">
        <v>1</v>
      </c>
      <c r="Y4" t="s">
        <v>59</v>
      </c>
      <c r="Z4" t="s">
        <v>56</v>
      </c>
      <c r="AA4" t="s">
        <v>56</v>
      </c>
      <c r="AB4" t="s">
        <v>60</v>
      </c>
      <c r="AC4" t="s">
        <v>61</v>
      </c>
      <c r="AD4" t="s">
        <v>62</v>
      </c>
      <c r="AE4" t="s">
        <v>63</v>
      </c>
      <c r="AF4" t="s">
        <v>64</v>
      </c>
      <c r="AG4" t="s">
        <v>65</v>
      </c>
      <c r="AH4" t="s">
        <v>66</v>
      </c>
      <c r="AI4" t="s">
        <v>67</v>
      </c>
      <c r="AJ4" t="b">
        <v>0</v>
      </c>
      <c r="AK4" t="b">
        <v>1</v>
      </c>
      <c r="AL4">
        <v>1</v>
      </c>
      <c r="AM4">
        <v>1</v>
      </c>
      <c r="AN4" t="s">
        <v>77</v>
      </c>
      <c r="AO4" t="s">
        <v>78</v>
      </c>
      <c r="AP4">
        <v>0.75</v>
      </c>
      <c r="AQ4" t="b">
        <v>1</v>
      </c>
      <c r="AR4" t="s">
        <v>36</v>
      </c>
      <c r="AS4">
        <v>10000</v>
      </c>
      <c r="AT4">
        <v>1000</v>
      </c>
      <c r="AU4">
        <v>343</v>
      </c>
      <c r="AV4" t="b">
        <v>1</v>
      </c>
      <c r="AW4" t="b">
        <v>0</v>
      </c>
      <c r="AX4" t="b">
        <v>1</v>
      </c>
      <c r="AY4" t="b">
        <v>1</v>
      </c>
    </row>
    <row r="5" spans="1:51" x14ac:dyDescent="0.25">
      <c r="A5">
        <v>60</v>
      </c>
      <c r="B5" t="s">
        <v>82</v>
      </c>
      <c r="C5">
        <v>84234</v>
      </c>
      <c r="D5">
        <v>2.77887E-2</v>
      </c>
      <c r="E5">
        <v>0</v>
      </c>
      <c r="F5">
        <v>0</v>
      </c>
      <c r="G5">
        <v>2.77887E-2</v>
      </c>
      <c r="H5" t="s">
        <v>251</v>
      </c>
      <c r="I5" t="s">
        <v>52</v>
      </c>
      <c r="J5" t="s">
        <v>52</v>
      </c>
      <c r="K5" t="s">
        <v>251</v>
      </c>
      <c r="L5" s="1">
        <v>96192</v>
      </c>
      <c r="M5" t="s">
        <v>252</v>
      </c>
      <c r="N5">
        <v>0.32008896721733898</v>
      </c>
      <c r="O5" t="s">
        <v>54</v>
      </c>
      <c r="P5" t="s">
        <v>55</v>
      </c>
      <c r="Q5">
        <v>1000</v>
      </c>
      <c r="R5">
        <v>2.5000000000000001E-2</v>
      </c>
      <c r="S5" t="s">
        <v>56</v>
      </c>
      <c r="T5" t="s">
        <v>56</v>
      </c>
      <c r="U5" t="s">
        <v>57</v>
      </c>
      <c r="V5" t="s">
        <v>58</v>
      </c>
      <c r="W5">
        <v>3</v>
      </c>
      <c r="X5">
        <v>1</v>
      </c>
      <c r="Y5" t="s">
        <v>59</v>
      </c>
      <c r="Z5" t="s">
        <v>56</v>
      </c>
      <c r="AA5" t="s">
        <v>56</v>
      </c>
      <c r="AB5" t="s">
        <v>60</v>
      </c>
      <c r="AC5" t="s">
        <v>61</v>
      </c>
      <c r="AD5" t="s">
        <v>62</v>
      </c>
      <c r="AE5" t="s">
        <v>63</v>
      </c>
      <c r="AF5" t="s">
        <v>64</v>
      </c>
      <c r="AG5" t="s">
        <v>65</v>
      </c>
      <c r="AH5" t="s">
        <v>66</v>
      </c>
      <c r="AI5" t="s">
        <v>67</v>
      </c>
      <c r="AJ5" t="b">
        <v>0</v>
      </c>
      <c r="AK5" t="b">
        <v>1</v>
      </c>
      <c r="AL5">
        <v>1</v>
      </c>
      <c r="AM5">
        <v>1</v>
      </c>
      <c r="AN5" t="s">
        <v>77</v>
      </c>
      <c r="AO5" t="s">
        <v>78</v>
      </c>
      <c r="AP5">
        <v>0.5</v>
      </c>
      <c r="AQ5" t="b">
        <v>1</v>
      </c>
      <c r="AR5" t="s">
        <v>36</v>
      </c>
      <c r="AS5">
        <v>10000</v>
      </c>
      <c r="AT5">
        <v>1000</v>
      </c>
      <c r="AU5">
        <v>84234</v>
      </c>
      <c r="AV5" t="b">
        <v>1</v>
      </c>
      <c r="AW5" t="b">
        <v>0</v>
      </c>
      <c r="AX5" t="b">
        <v>1</v>
      </c>
      <c r="AY5" t="b">
        <v>1</v>
      </c>
    </row>
    <row r="6" spans="1:51" x14ac:dyDescent="0.25">
      <c r="A6">
        <v>61</v>
      </c>
      <c r="B6" t="s">
        <v>85</v>
      </c>
      <c r="C6">
        <v>4346</v>
      </c>
      <c r="D6">
        <v>2.5324099999999999E-2</v>
      </c>
      <c r="E6">
        <v>0</v>
      </c>
      <c r="F6">
        <v>0</v>
      </c>
      <c r="G6">
        <v>2.5324099999999999E-2</v>
      </c>
      <c r="H6" t="s">
        <v>253</v>
      </c>
      <c r="I6" t="s">
        <v>52</v>
      </c>
      <c r="J6" t="s">
        <v>52</v>
      </c>
      <c r="K6" t="s">
        <v>253</v>
      </c>
      <c r="L6" s="1">
        <v>85165</v>
      </c>
      <c r="M6" t="s">
        <v>254</v>
      </c>
      <c r="N6">
        <v>0.19409105638662999</v>
      </c>
      <c r="O6" t="s">
        <v>54</v>
      </c>
      <c r="P6" t="s">
        <v>55</v>
      </c>
      <c r="Q6">
        <v>1000</v>
      </c>
      <c r="R6">
        <v>2.5000000000000001E-2</v>
      </c>
      <c r="S6" t="s">
        <v>56</v>
      </c>
      <c r="T6" t="s">
        <v>56</v>
      </c>
      <c r="U6" t="s">
        <v>57</v>
      </c>
      <c r="V6" t="s">
        <v>68</v>
      </c>
      <c r="W6">
        <v>3</v>
      </c>
      <c r="X6">
        <v>1</v>
      </c>
      <c r="Y6" t="s">
        <v>59</v>
      </c>
      <c r="Z6" t="s">
        <v>56</v>
      </c>
      <c r="AA6" t="s">
        <v>56</v>
      </c>
      <c r="AB6" t="s">
        <v>60</v>
      </c>
      <c r="AC6" t="s">
        <v>61</v>
      </c>
      <c r="AD6" t="s">
        <v>62</v>
      </c>
      <c r="AE6" t="s">
        <v>63</v>
      </c>
      <c r="AF6" t="s">
        <v>64</v>
      </c>
      <c r="AG6" t="s">
        <v>65</v>
      </c>
      <c r="AH6" t="s">
        <v>66</v>
      </c>
      <c r="AI6" t="s">
        <v>67</v>
      </c>
      <c r="AJ6" t="b">
        <v>0</v>
      </c>
      <c r="AK6" t="b">
        <v>1</v>
      </c>
      <c r="AL6">
        <v>1</v>
      </c>
      <c r="AM6">
        <v>1</v>
      </c>
      <c r="AN6" t="s">
        <v>77</v>
      </c>
      <c r="AO6" t="s">
        <v>78</v>
      </c>
      <c r="AP6">
        <v>0.25</v>
      </c>
      <c r="AQ6" t="b">
        <v>1</v>
      </c>
      <c r="AR6" t="s">
        <v>36</v>
      </c>
      <c r="AS6">
        <v>10000</v>
      </c>
      <c r="AT6">
        <v>1000</v>
      </c>
      <c r="AU6">
        <v>4346</v>
      </c>
      <c r="AV6" t="b">
        <v>1</v>
      </c>
      <c r="AW6" t="b">
        <v>0</v>
      </c>
      <c r="AX6" t="b">
        <v>1</v>
      </c>
      <c r="AY6" t="b">
        <v>1</v>
      </c>
    </row>
    <row r="7" spans="1:51" x14ac:dyDescent="0.25">
      <c r="A7">
        <v>62</v>
      </c>
      <c r="B7" t="s">
        <v>88</v>
      </c>
      <c r="C7">
        <v>9504</v>
      </c>
      <c r="D7">
        <v>2.67008E-2</v>
      </c>
      <c r="E7">
        <v>0</v>
      </c>
      <c r="F7">
        <v>0</v>
      </c>
      <c r="G7">
        <v>2.67008E-2</v>
      </c>
      <c r="H7" t="s">
        <v>255</v>
      </c>
      <c r="I7" t="s">
        <v>52</v>
      </c>
      <c r="J7" t="s">
        <v>52</v>
      </c>
      <c r="K7" t="s">
        <v>255</v>
      </c>
      <c r="L7" s="1">
        <v>93168</v>
      </c>
      <c r="M7" t="s">
        <v>256</v>
      </c>
      <c r="N7">
        <v>0.411450269156032</v>
      </c>
      <c r="O7" t="s">
        <v>54</v>
      </c>
      <c r="P7" t="s">
        <v>55</v>
      </c>
      <c r="Q7">
        <v>1000</v>
      </c>
      <c r="R7">
        <v>2.5000000000000001E-2</v>
      </c>
      <c r="S7" t="s">
        <v>56</v>
      </c>
      <c r="T7" t="s">
        <v>56</v>
      </c>
      <c r="U7" t="s">
        <v>57</v>
      </c>
      <c r="V7" t="s">
        <v>58</v>
      </c>
      <c r="W7">
        <v>3</v>
      </c>
      <c r="X7">
        <v>1</v>
      </c>
      <c r="Y7" t="s">
        <v>59</v>
      </c>
      <c r="Z7" t="s">
        <v>56</v>
      </c>
      <c r="AA7" t="s">
        <v>56</v>
      </c>
      <c r="AB7" t="s">
        <v>60</v>
      </c>
      <c r="AC7" t="s">
        <v>61</v>
      </c>
      <c r="AD7" t="s">
        <v>62</v>
      </c>
      <c r="AE7" t="s">
        <v>63</v>
      </c>
      <c r="AF7" t="s">
        <v>64</v>
      </c>
      <c r="AG7" t="s">
        <v>65</v>
      </c>
      <c r="AH7" t="s">
        <v>66</v>
      </c>
      <c r="AI7" t="s">
        <v>67</v>
      </c>
      <c r="AJ7" t="b">
        <v>0</v>
      </c>
      <c r="AK7" t="b">
        <v>1</v>
      </c>
      <c r="AL7">
        <v>1</v>
      </c>
      <c r="AM7">
        <v>1</v>
      </c>
      <c r="AN7" t="s">
        <v>77</v>
      </c>
      <c r="AO7" t="s">
        <v>73</v>
      </c>
      <c r="AP7">
        <v>1</v>
      </c>
      <c r="AQ7" t="b">
        <v>1</v>
      </c>
      <c r="AR7" t="s">
        <v>36</v>
      </c>
      <c r="AS7">
        <v>10000</v>
      </c>
      <c r="AT7">
        <v>1000</v>
      </c>
      <c r="AU7">
        <v>9504</v>
      </c>
      <c r="AV7" t="b">
        <v>1</v>
      </c>
      <c r="AW7" t="b">
        <v>0</v>
      </c>
      <c r="AX7" t="b">
        <v>1</v>
      </c>
      <c r="AY7" t="b">
        <v>1</v>
      </c>
    </row>
    <row r="8" spans="1:51" x14ac:dyDescent="0.25">
      <c r="A8">
        <v>63</v>
      </c>
      <c r="B8" t="s">
        <v>91</v>
      </c>
      <c r="C8">
        <v>2300</v>
      </c>
      <c r="D8">
        <v>2.6333599999999999E-2</v>
      </c>
      <c r="E8">
        <v>0</v>
      </c>
      <c r="F8">
        <v>0</v>
      </c>
      <c r="G8">
        <v>2.6333599999999999E-2</v>
      </c>
      <c r="H8" t="s">
        <v>257</v>
      </c>
      <c r="I8" t="s">
        <v>52</v>
      </c>
      <c r="J8" t="s">
        <v>52</v>
      </c>
      <c r="K8" t="s">
        <v>257</v>
      </c>
      <c r="L8" s="1">
        <v>92170</v>
      </c>
      <c r="M8" t="s">
        <v>258</v>
      </c>
      <c r="N8">
        <v>0.53629230499267599</v>
      </c>
      <c r="O8" t="s">
        <v>54</v>
      </c>
      <c r="P8" t="s">
        <v>55</v>
      </c>
      <c r="Q8">
        <v>1000</v>
      </c>
      <c r="R8">
        <v>2.5000000000000001E-2</v>
      </c>
      <c r="S8" t="s">
        <v>56</v>
      </c>
      <c r="T8" t="s">
        <v>56</v>
      </c>
      <c r="U8" t="s">
        <v>57</v>
      </c>
      <c r="V8" t="s">
        <v>68</v>
      </c>
      <c r="W8">
        <v>3</v>
      </c>
      <c r="X8">
        <v>1</v>
      </c>
      <c r="Y8" t="s">
        <v>59</v>
      </c>
      <c r="Z8" t="s">
        <v>56</v>
      </c>
      <c r="AA8" t="s">
        <v>56</v>
      </c>
      <c r="AB8" t="s">
        <v>60</v>
      </c>
      <c r="AC8" t="s">
        <v>61</v>
      </c>
      <c r="AD8" t="s">
        <v>62</v>
      </c>
      <c r="AE8" t="s">
        <v>63</v>
      </c>
      <c r="AF8" t="s">
        <v>64</v>
      </c>
      <c r="AG8" t="s">
        <v>65</v>
      </c>
      <c r="AH8" t="s">
        <v>66</v>
      </c>
      <c r="AI8" t="s">
        <v>67</v>
      </c>
      <c r="AJ8" t="b">
        <v>0</v>
      </c>
      <c r="AK8" t="b">
        <v>1</v>
      </c>
      <c r="AL8">
        <v>1</v>
      </c>
      <c r="AM8">
        <v>1</v>
      </c>
      <c r="AN8" t="s">
        <v>77</v>
      </c>
      <c r="AO8" t="s">
        <v>73</v>
      </c>
      <c r="AP8">
        <v>2</v>
      </c>
      <c r="AQ8" t="b">
        <v>1</v>
      </c>
      <c r="AR8" t="s">
        <v>36</v>
      </c>
      <c r="AS8">
        <v>10000</v>
      </c>
      <c r="AT8">
        <v>1000</v>
      </c>
      <c r="AU8">
        <v>2300</v>
      </c>
      <c r="AV8" t="b">
        <v>1</v>
      </c>
      <c r="AW8" t="b">
        <v>0</v>
      </c>
      <c r="AX8" t="b">
        <v>1</v>
      </c>
      <c r="AY8" t="b">
        <v>1</v>
      </c>
    </row>
    <row r="9" spans="1:51" x14ac:dyDescent="0.25">
      <c r="A9">
        <v>64</v>
      </c>
      <c r="B9" t="s">
        <v>50</v>
      </c>
      <c r="C9">
        <v>64564</v>
      </c>
      <c r="D9">
        <v>2.6143900000000001E-2</v>
      </c>
      <c r="E9">
        <v>0</v>
      </c>
      <c r="F9">
        <v>0</v>
      </c>
      <c r="G9">
        <v>2.6143900000000001E-2</v>
      </c>
      <c r="H9" t="s">
        <v>259</v>
      </c>
      <c r="I9" t="s">
        <v>52</v>
      </c>
      <c r="J9" t="s">
        <v>52</v>
      </c>
      <c r="K9" t="s">
        <v>259</v>
      </c>
      <c r="L9" s="1">
        <v>22271</v>
      </c>
      <c r="M9" t="s">
        <v>260</v>
      </c>
      <c r="N9">
        <v>0.50525137166182199</v>
      </c>
      <c r="O9" t="s">
        <v>54</v>
      </c>
      <c r="P9" t="s">
        <v>55</v>
      </c>
      <c r="Q9">
        <v>1000</v>
      </c>
      <c r="R9">
        <v>2.5000000000000001E-2</v>
      </c>
      <c r="S9" t="s">
        <v>56</v>
      </c>
      <c r="T9" t="s">
        <v>56</v>
      </c>
      <c r="U9" t="s">
        <v>57</v>
      </c>
      <c r="V9" t="s">
        <v>58</v>
      </c>
      <c r="W9">
        <v>3</v>
      </c>
      <c r="X9">
        <v>1</v>
      </c>
      <c r="Y9" t="s">
        <v>59</v>
      </c>
      <c r="Z9" t="s">
        <v>56</v>
      </c>
      <c r="AA9" t="s">
        <v>56</v>
      </c>
      <c r="AB9" t="s">
        <v>60</v>
      </c>
      <c r="AC9" t="s">
        <v>61</v>
      </c>
      <c r="AD9" t="s">
        <v>62</v>
      </c>
      <c r="AE9" t="s">
        <v>63</v>
      </c>
      <c r="AF9" t="s">
        <v>64</v>
      </c>
      <c r="AG9" t="s">
        <v>65</v>
      </c>
      <c r="AH9" t="s">
        <v>97</v>
      </c>
      <c r="AI9" t="s">
        <v>67</v>
      </c>
      <c r="AJ9" t="b">
        <v>0</v>
      </c>
      <c r="AK9" t="b">
        <v>0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68</v>
      </c>
      <c r="AS9">
        <v>10000</v>
      </c>
      <c r="AT9">
        <v>1000</v>
      </c>
      <c r="AU9">
        <v>64564</v>
      </c>
      <c r="AV9" t="b">
        <v>1</v>
      </c>
      <c r="AW9" t="b">
        <v>0</v>
      </c>
      <c r="AX9" t="b">
        <v>1</v>
      </c>
      <c r="AY9" t="b">
        <v>1</v>
      </c>
    </row>
    <row r="10" spans="1:51" x14ac:dyDescent="0.25">
      <c r="A10">
        <v>65</v>
      </c>
      <c r="B10" t="s">
        <v>82</v>
      </c>
      <c r="C10">
        <v>84234</v>
      </c>
      <c r="D10">
        <v>2.55611E-2</v>
      </c>
      <c r="E10">
        <v>0</v>
      </c>
      <c r="F10">
        <v>0</v>
      </c>
      <c r="G10">
        <v>2.55611E-2</v>
      </c>
      <c r="H10" t="s">
        <v>261</v>
      </c>
      <c r="I10" t="s">
        <v>52</v>
      </c>
      <c r="J10" t="s">
        <v>52</v>
      </c>
      <c r="K10" t="s">
        <v>261</v>
      </c>
      <c r="L10" s="1">
        <v>15248</v>
      </c>
      <c r="M10" t="s">
        <v>262</v>
      </c>
      <c r="N10">
        <v>0.322172209951613</v>
      </c>
      <c r="O10" t="s">
        <v>54</v>
      </c>
      <c r="P10" t="s">
        <v>55</v>
      </c>
      <c r="Q10">
        <v>1000</v>
      </c>
      <c r="R10">
        <v>2.5000000000000001E-2</v>
      </c>
      <c r="S10" t="s">
        <v>56</v>
      </c>
      <c r="T10" t="s">
        <v>56</v>
      </c>
      <c r="U10" t="s">
        <v>57</v>
      </c>
      <c r="V10" t="s">
        <v>58</v>
      </c>
      <c r="W10">
        <v>3</v>
      </c>
      <c r="X10">
        <v>1</v>
      </c>
      <c r="Y10" t="s">
        <v>59</v>
      </c>
      <c r="Z10" t="s">
        <v>56</v>
      </c>
      <c r="AA10" t="s">
        <v>56</v>
      </c>
      <c r="AB10" t="s">
        <v>60</v>
      </c>
      <c r="AC10" t="s">
        <v>61</v>
      </c>
      <c r="AD10" t="s">
        <v>62</v>
      </c>
      <c r="AE10" t="s">
        <v>63</v>
      </c>
      <c r="AF10" t="s">
        <v>64</v>
      </c>
      <c r="AG10" t="s">
        <v>65</v>
      </c>
      <c r="AH10" t="s">
        <v>97</v>
      </c>
      <c r="AI10" t="s">
        <v>67</v>
      </c>
      <c r="AJ10" t="b">
        <v>0</v>
      </c>
      <c r="AK10" t="b">
        <v>1</v>
      </c>
      <c r="AL10">
        <v>1</v>
      </c>
      <c r="AM10">
        <v>1</v>
      </c>
      <c r="AN10" t="s">
        <v>77</v>
      </c>
      <c r="AO10" t="s">
        <v>78</v>
      </c>
      <c r="AP10">
        <v>0.5</v>
      </c>
      <c r="AQ10" t="b">
        <v>1</v>
      </c>
      <c r="AR10" t="s">
        <v>36</v>
      </c>
      <c r="AS10">
        <v>10000</v>
      </c>
      <c r="AT10">
        <v>1000</v>
      </c>
      <c r="AU10">
        <v>84234</v>
      </c>
      <c r="AV10" t="b">
        <v>1</v>
      </c>
      <c r="AW10" t="b">
        <v>0</v>
      </c>
      <c r="AX10" t="b">
        <v>1</v>
      </c>
      <c r="AY10" t="b">
        <v>1</v>
      </c>
    </row>
    <row r="11" spans="1:51" x14ac:dyDescent="0.25">
      <c r="A11">
        <v>66</v>
      </c>
      <c r="B11" t="s">
        <v>88</v>
      </c>
      <c r="C11">
        <v>9504</v>
      </c>
      <c r="D11">
        <v>2.52701E-2</v>
      </c>
      <c r="E11">
        <v>0</v>
      </c>
      <c r="F11">
        <v>0</v>
      </c>
      <c r="G11">
        <v>2.52701E-2</v>
      </c>
      <c r="H11" t="s">
        <v>263</v>
      </c>
      <c r="I11" t="s">
        <v>52</v>
      </c>
      <c r="J11" t="s">
        <v>52</v>
      </c>
      <c r="K11" t="s">
        <v>263</v>
      </c>
      <c r="L11" s="1">
        <v>12259</v>
      </c>
      <c r="M11" t="s">
        <v>264</v>
      </c>
      <c r="N11">
        <v>0.414768513573541</v>
      </c>
      <c r="O11" t="s">
        <v>54</v>
      </c>
      <c r="P11" t="s">
        <v>55</v>
      </c>
      <c r="Q11">
        <v>1000</v>
      </c>
      <c r="R11">
        <v>2.5000000000000001E-2</v>
      </c>
      <c r="S11" t="s">
        <v>56</v>
      </c>
      <c r="T11" t="s">
        <v>56</v>
      </c>
      <c r="U11" t="s">
        <v>57</v>
      </c>
      <c r="V11" t="s">
        <v>58</v>
      </c>
      <c r="W11">
        <v>3</v>
      </c>
      <c r="X11">
        <v>1</v>
      </c>
      <c r="Y11" t="s">
        <v>59</v>
      </c>
      <c r="Z11" t="s">
        <v>56</v>
      </c>
      <c r="AA11" t="s">
        <v>56</v>
      </c>
      <c r="AB11" t="s">
        <v>60</v>
      </c>
      <c r="AC11" t="s">
        <v>61</v>
      </c>
      <c r="AD11" t="s">
        <v>62</v>
      </c>
      <c r="AE11" t="s">
        <v>63</v>
      </c>
      <c r="AF11" t="s">
        <v>64</v>
      </c>
      <c r="AG11" t="s">
        <v>65</v>
      </c>
      <c r="AH11" t="s">
        <v>97</v>
      </c>
      <c r="AI11" t="s">
        <v>67</v>
      </c>
      <c r="AJ11" t="b">
        <v>0</v>
      </c>
      <c r="AK11" t="b">
        <v>1</v>
      </c>
      <c r="AL11">
        <v>1</v>
      </c>
      <c r="AM11">
        <v>1</v>
      </c>
      <c r="AN11" t="s">
        <v>77</v>
      </c>
      <c r="AO11" t="s">
        <v>73</v>
      </c>
      <c r="AP11">
        <v>1</v>
      </c>
      <c r="AQ11" t="b">
        <v>1</v>
      </c>
      <c r="AR11" t="s">
        <v>36</v>
      </c>
      <c r="AS11">
        <v>10000</v>
      </c>
      <c r="AT11">
        <v>1000</v>
      </c>
      <c r="AU11">
        <v>9504</v>
      </c>
      <c r="AV11" t="b">
        <v>1</v>
      </c>
      <c r="AW11" t="b">
        <v>0</v>
      </c>
      <c r="AX11" t="b">
        <v>1</v>
      </c>
      <c r="AY11" t="b">
        <v>1</v>
      </c>
    </row>
    <row r="12" spans="1:51" x14ac:dyDescent="0.25">
      <c r="A12">
        <v>67</v>
      </c>
      <c r="B12" t="s">
        <v>50</v>
      </c>
      <c r="C12">
        <v>64564</v>
      </c>
      <c r="D12">
        <v>2.6152100000000001E-2</v>
      </c>
      <c r="E12">
        <v>0</v>
      </c>
      <c r="F12">
        <v>0</v>
      </c>
      <c r="G12">
        <v>2.6152100000000001E-2</v>
      </c>
      <c r="H12" t="s">
        <v>265</v>
      </c>
      <c r="I12" t="s">
        <v>52</v>
      </c>
      <c r="J12" t="s">
        <v>52</v>
      </c>
      <c r="K12" t="s">
        <v>265</v>
      </c>
      <c r="L12" s="1">
        <v>95185</v>
      </c>
      <c r="M12" t="s">
        <v>266</v>
      </c>
      <c r="N12">
        <v>0.49707779162459897</v>
      </c>
      <c r="O12" t="s">
        <v>54</v>
      </c>
      <c r="P12" t="s">
        <v>55</v>
      </c>
      <c r="Q12">
        <v>1000</v>
      </c>
      <c r="R12">
        <v>2.5000000000000001E-2</v>
      </c>
      <c r="S12" t="s">
        <v>56</v>
      </c>
      <c r="T12" t="s">
        <v>56</v>
      </c>
      <c r="U12" t="s">
        <v>57</v>
      </c>
      <c r="V12" t="s">
        <v>58</v>
      </c>
      <c r="W12">
        <v>3</v>
      </c>
      <c r="X12">
        <v>1</v>
      </c>
      <c r="Y12" t="s">
        <v>59</v>
      </c>
      <c r="Z12" t="s">
        <v>56</v>
      </c>
      <c r="AA12" t="s">
        <v>56</v>
      </c>
      <c r="AB12" t="s">
        <v>60</v>
      </c>
      <c r="AC12" t="s">
        <v>61</v>
      </c>
      <c r="AD12" t="s">
        <v>62</v>
      </c>
      <c r="AE12" t="s">
        <v>63</v>
      </c>
      <c r="AF12" t="s">
        <v>64</v>
      </c>
      <c r="AG12" t="s">
        <v>65</v>
      </c>
      <c r="AH12" t="s">
        <v>66</v>
      </c>
      <c r="AI12" t="s">
        <v>67</v>
      </c>
      <c r="AJ12" t="b">
        <v>0</v>
      </c>
      <c r="AK12" t="b">
        <v>0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68</v>
      </c>
      <c r="AS12">
        <v>10000</v>
      </c>
      <c r="AT12">
        <v>1000</v>
      </c>
      <c r="AU12">
        <v>64564</v>
      </c>
      <c r="AV12" t="b">
        <v>1</v>
      </c>
      <c r="AW12" t="b">
        <v>0</v>
      </c>
      <c r="AX12" t="b">
        <v>1</v>
      </c>
      <c r="AY12" t="b">
        <v>0</v>
      </c>
    </row>
    <row r="13" spans="1:51" x14ac:dyDescent="0.25">
      <c r="A13">
        <v>68</v>
      </c>
      <c r="B13" t="s">
        <v>74</v>
      </c>
      <c r="C13">
        <v>11111</v>
      </c>
      <c r="D13">
        <v>2.8136000000000001E-2</v>
      </c>
      <c r="E13">
        <v>0</v>
      </c>
      <c r="F13">
        <v>0</v>
      </c>
      <c r="G13">
        <v>2.8136000000000001E-2</v>
      </c>
      <c r="H13" t="s">
        <v>267</v>
      </c>
      <c r="I13" t="s">
        <v>52</v>
      </c>
      <c r="J13" t="s">
        <v>52</v>
      </c>
      <c r="K13" t="s">
        <v>267</v>
      </c>
      <c r="L13" s="1">
        <v>108182</v>
      </c>
      <c r="M13" t="s">
        <v>268</v>
      </c>
      <c r="N13">
        <v>0.31882374525070201</v>
      </c>
      <c r="O13" t="s">
        <v>54</v>
      </c>
      <c r="P13" t="s">
        <v>55</v>
      </c>
      <c r="Q13">
        <v>1000</v>
      </c>
      <c r="R13">
        <v>2.5000000000000001E-2</v>
      </c>
      <c r="S13" t="s">
        <v>56</v>
      </c>
      <c r="T13" t="s">
        <v>56</v>
      </c>
      <c r="U13" t="s">
        <v>57</v>
      </c>
      <c r="V13" t="s">
        <v>58</v>
      </c>
      <c r="W13">
        <v>3</v>
      </c>
      <c r="X13">
        <v>1</v>
      </c>
      <c r="Y13" t="s">
        <v>59</v>
      </c>
      <c r="Z13" t="s">
        <v>56</v>
      </c>
      <c r="AA13" t="s">
        <v>56</v>
      </c>
      <c r="AB13" t="s">
        <v>60</v>
      </c>
      <c r="AC13" t="s">
        <v>61</v>
      </c>
      <c r="AD13" t="s">
        <v>62</v>
      </c>
      <c r="AE13" t="s">
        <v>63</v>
      </c>
      <c r="AF13" t="s">
        <v>64</v>
      </c>
      <c r="AG13" t="s">
        <v>65</v>
      </c>
      <c r="AH13" t="s">
        <v>66</v>
      </c>
      <c r="AI13" t="s">
        <v>67</v>
      </c>
      <c r="AJ13" t="b">
        <v>0</v>
      </c>
      <c r="AK13" t="b">
        <v>1</v>
      </c>
      <c r="AL13">
        <v>1</v>
      </c>
      <c r="AM13">
        <v>1</v>
      </c>
      <c r="AN13" t="s">
        <v>77</v>
      </c>
      <c r="AO13" t="s">
        <v>78</v>
      </c>
      <c r="AP13">
        <v>0.5</v>
      </c>
      <c r="AQ13" t="b">
        <v>0</v>
      </c>
      <c r="AR13" t="s">
        <v>68</v>
      </c>
      <c r="AS13">
        <v>10000</v>
      </c>
      <c r="AT13">
        <v>1000</v>
      </c>
      <c r="AU13">
        <v>11111</v>
      </c>
      <c r="AV13" t="b">
        <v>1</v>
      </c>
      <c r="AW13" t="b">
        <v>0</v>
      </c>
      <c r="AX13" t="b">
        <v>1</v>
      </c>
      <c r="AY13" t="b">
        <v>0</v>
      </c>
    </row>
    <row r="14" spans="1:51" x14ac:dyDescent="0.25">
      <c r="A14">
        <v>69</v>
      </c>
      <c r="B14" t="s">
        <v>79</v>
      </c>
      <c r="C14">
        <v>343</v>
      </c>
      <c r="D14">
        <v>2.6299900000000001E-2</v>
      </c>
      <c r="E14">
        <v>0</v>
      </c>
      <c r="F14">
        <v>0</v>
      </c>
      <c r="G14">
        <v>2.6299900000000001E-2</v>
      </c>
      <c r="H14" t="s">
        <v>269</v>
      </c>
      <c r="I14" t="s">
        <v>52</v>
      </c>
      <c r="J14" t="s">
        <v>52</v>
      </c>
      <c r="K14" t="s">
        <v>269</v>
      </c>
      <c r="L14" s="1">
        <v>93162</v>
      </c>
      <c r="M14" t="s">
        <v>270</v>
      </c>
      <c r="N14">
        <v>0.46812382446395001</v>
      </c>
      <c r="O14" t="s">
        <v>54</v>
      </c>
      <c r="P14" t="s">
        <v>55</v>
      </c>
      <c r="Q14">
        <v>1000</v>
      </c>
      <c r="R14">
        <v>2.5000000000000001E-2</v>
      </c>
      <c r="S14" t="s">
        <v>56</v>
      </c>
      <c r="T14" t="s">
        <v>56</v>
      </c>
      <c r="U14" t="s">
        <v>57</v>
      </c>
      <c r="V14" t="s">
        <v>68</v>
      </c>
      <c r="W14">
        <v>3</v>
      </c>
      <c r="X14">
        <v>1</v>
      </c>
      <c r="Y14" t="s">
        <v>59</v>
      </c>
      <c r="Z14" t="s">
        <v>56</v>
      </c>
      <c r="AA14" t="s">
        <v>56</v>
      </c>
      <c r="AB14" t="s">
        <v>60</v>
      </c>
      <c r="AC14" t="s">
        <v>61</v>
      </c>
      <c r="AD14" t="s">
        <v>62</v>
      </c>
      <c r="AE14" t="s">
        <v>63</v>
      </c>
      <c r="AF14" t="s">
        <v>64</v>
      </c>
      <c r="AG14" t="s">
        <v>65</v>
      </c>
      <c r="AH14" t="s">
        <v>66</v>
      </c>
      <c r="AI14" t="s">
        <v>67</v>
      </c>
      <c r="AJ14" t="b">
        <v>0</v>
      </c>
      <c r="AK14" t="b">
        <v>1</v>
      </c>
      <c r="AL14">
        <v>1</v>
      </c>
      <c r="AM14">
        <v>1</v>
      </c>
      <c r="AN14" t="s">
        <v>77</v>
      </c>
      <c r="AO14" t="s">
        <v>78</v>
      </c>
      <c r="AP14">
        <v>0.75</v>
      </c>
      <c r="AQ14" t="b">
        <v>1</v>
      </c>
      <c r="AR14" t="s">
        <v>36</v>
      </c>
      <c r="AS14">
        <v>10000</v>
      </c>
      <c r="AT14">
        <v>1000</v>
      </c>
      <c r="AU14">
        <v>343</v>
      </c>
      <c r="AV14" t="b">
        <v>1</v>
      </c>
      <c r="AW14" t="b">
        <v>0</v>
      </c>
      <c r="AX14" t="b">
        <v>1</v>
      </c>
      <c r="AY14" t="b">
        <v>0</v>
      </c>
    </row>
    <row r="15" spans="1:51" x14ac:dyDescent="0.25">
      <c r="A15">
        <v>70</v>
      </c>
      <c r="B15" t="s">
        <v>82</v>
      </c>
      <c r="C15">
        <v>84234</v>
      </c>
      <c r="D15">
        <v>2.8706599999999999E-2</v>
      </c>
      <c r="E15">
        <v>0</v>
      </c>
      <c r="F15">
        <v>0</v>
      </c>
      <c r="G15">
        <v>2.8706599999999999E-2</v>
      </c>
      <c r="H15" t="s">
        <v>271</v>
      </c>
      <c r="I15" t="s">
        <v>52</v>
      </c>
      <c r="J15" t="s">
        <v>52</v>
      </c>
      <c r="K15" t="s">
        <v>271</v>
      </c>
      <c r="L15" s="1">
        <v>101197</v>
      </c>
      <c r="M15" t="s">
        <v>272</v>
      </c>
      <c r="N15">
        <v>0.324016863372591</v>
      </c>
      <c r="O15" t="s">
        <v>54</v>
      </c>
      <c r="P15" t="s">
        <v>55</v>
      </c>
      <c r="Q15">
        <v>1000</v>
      </c>
      <c r="R15">
        <v>2.5000000000000001E-2</v>
      </c>
      <c r="S15" t="s">
        <v>56</v>
      </c>
      <c r="T15" t="s">
        <v>56</v>
      </c>
      <c r="U15" t="s">
        <v>57</v>
      </c>
      <c r="V15" t="s">
        <v>58</v>
      </c>
      <c r="W15">
        <v>3</v>
      </c>
      <c r="X15">
        <v>1</v>
      </c>
      <c r="Y15" t="s">
        <v>59</v>
      </c>
      <c r="Z15" t="s">
        <v>56</v>
      </c>
      <c r="AA15" t="s">
        <v>56</v>
      </c>
      <c r="AB15" t="s">
        <v>60</v>
      </c>
      <c r="AC15" t="s">
        <v>61</v>
      </c>
      <c r="AD15" t="s">
        <v>62</v>
      </c>
      <c r="AE15" t="s">
        <v>63</v>
      </c>
      <c r="AF15" t="s">
        <v>64</v>
      </c>
      <c r="AG15" t="s">
        <v>65</v>
      </c>
      <c r="AH15" t="s">
        <v>66</v>
      </c>
      <c r="AI15" t="s">
        <v>67</v>
      </c>
      <c r="AJ15" t="b">
        <v>0</v>
      </c>
      <c r="AK15" t="b">
        <v>1</v>
      </c>
      <c r="AL15">
        <v>1</v>
      </c>
      <c r="AM15">
        <v>1</v>
      </c>
      <c r="AN15" t="s">
        <v>77</v>
      </c>
      <c r="AO15" t="s">
        <v>78</v>
      </c>
      <c r="AP15">
        <v>0.5</v>
      </c>
      <c r="AQ15" t="b">
        <v>1</v>
      </c>
      <c r="AR15" t="s">
        <v>36</v>
      </c>
      <c r="AS15">
        <v>10000</v>
      </c>
      <c r="AT15">
        <v>1000</v>
      </c>
      <c r="AU15">
        <v>84234</v>
      </c>
      <c r="AV15" t="b">
        <v>1</v>
      </c>
      <c r="AW15" t="b">
        <v>0</v>
      </c>
      <c r="AX15" t="b">
        <v>1</v>
      </c>
      <c r="AY15" t="b">
        <v>0</v>
      </c>
    </row>
    <row r="16" spans="1:51" x14ac:dyDescent="0.25">
      <c r="A16">
        <v>71</v>
      </c>
      <c r="B16" t="s">
        <v>85</v>
      </c>
      <c r="C16">
        <v>4346</v>
      </c>
      <c r="D16">
        <v>2.5854200000000001E-2</v>
      </c>
      <c r="E16">
        <v>0</v>
      </c>
      <c r="F16">
        <v>0</v>
      </c>
      <c r="G16">
        <v>2.5854200000000001E-2</v>
      </c>
      <c r="H16" t="s">
        <v>273</v>
      </c>
      <c r="I16" t="s">
        <v>52</v>
      </c>
      <c r="J16" t="s">
        <v>52</v>
      </c>
      <c r="K16" t="s">
        <v>273</v>
      </c>
      <c r="L16" s="1">
        <v>90165</v>
      </c>
      <c r="M16" t="s">
        <v>274</v>
      </c>
      <c r="N16">
        <v>0.19765629808108001</v>
      </c>
      <c r="O16" t="s">
        <v>54</v>
      </c>
      <c r="P16" t="s">
        <v>55</v>
      </c>
      <c r="Q16">
        <v>1000</v>
      </c>
      <c r="R16">
        <v>2.5000000000000001E-2</v>
      </c>
      <c r="S16" t="s">
        <v>56</v>
      </c>
      <c r="T16" t="s">
        <v>56</v>
      </c>
      <c r="U16" t="s">
        <v>57</v>
      </c>
      <c r="V16" t="s">
        <v>68</v>
      </c>
      <c r="W16">
        <v>3</v>
      </c>
      <c r="X16">
        <v>1</v>
      </c>
      <c r="Y16" t="s">
        <v>59</v>
      </c>
      <c r="Z16" t="s">
        <v>56</v>
      </c>
      <c r="AA16" t="s">
        <v>56</v>
      </c>
      <c r="AB16" t="s">
        <v>60</v>
      </c>
      <c r="AC16" t="s">
        <v>61</v>
      </c>
      <c r="AD16" t="s">
        <v>62</v>
      </c>
      <c r="AE16" t="s">
        <v>63</v>
      </c>
      <c r="AF16" t="s">
        <v>64</v>
      </c>
      <c r="AG16" t="s">
        <v>65</v>
      </c>
      <c r="AH16" t="s">
        <v>66</v>
      </c>
      <c r="AI16" t="s">
        <v>67</v>
      </c>
      <c r="AJ16" t="b">
        <v>0</v>
      </c>
      <c r="AK16" t="b">
        <v>1</v>
      </c>
      <c r="AL16">
        <v>1</v>
      </c>
      <c r="AM16">
        <v>1</v>
      </c>
      <c r="AN16" t="s">
        <v>77</v>
      </c>
      <c r="AO16" t="s">
        <v>78</v>
      </c>
      <c r="AP16">
        <v>0.25</v>
      </c>
      <c r="AQ16" t="b">
        <v>1</v>
      </c>
      <c r="AR16" t="s">
        <v>36</v>
      </c>
      <c r="AS16">
        <v>10000</v>
      </c>
      <c r="AT16">
        <v>1000</v>
      </c>
      <c r="AU16">
        <v>4346</v>
      </c>
      <c r="AV16" t="b">
        <v>1</v>
      </c>
      <c r="AW16" t="b">
        <v>0</v>
      </c>
      <c r="AX16" t="b">
        <v>1</v>
      </c>
      <c r="AY16" t="b">
        <v>0</v>
      </c>
    </row>
    <row r="17" spans="1:51" x14ac:dyDescent="0.25">
      <c r="A17">
        <v>72</v>
      </c>
      <c r="B17" t="s">
        <v>88</v>
      </c>
      <c r="C17">
        <v>9504</v>
      </c>
      <c r="D17">
        <v>2.7830899999999999E-2</v>
      </c>
      <c r="E17">
        <v>0</v>
      </c>
      <c r="F17">
        <v>0</v>
      </c>
      <c r="G17">
        <v>2.7830899999999999E-2</v>
      </c>
      <c r="H17" t="s">
        <v>275</v>
      </c>
      <c r="I17" t="s">
        <v>52</v>
      </c>
      <c r="J17" t="s">
        <v>52</v>
      </c>
      <c r="K17" t="s">
        <v>275</v>
      </c>
      <c r="L17" s="1">
        <v>103166</v>
      </c>
      <c r="M17" t="s">
        <v>276</v>
      </c>
      <c r="N17">
        <v>0.41144501143031598</v>
      </c>
      <c r="O17" t="s">
        <v>54</v>
      </c>
      <c r="P17" t="s">
        <v>55</v>
      </c>
      <c r="Q17">
        <v>1000</v>
      </c>
      <c r="R17">
        <v>2.5000000000000001E-2</v>
      </c>
      <c r="S17" t="s">
        <v>56</v>
      </c>
      <c r="T17" t="s">
        <v>56</v>
      </c>
      <c r="U17" t="s">
        <v>57</v>
      </c>
      <c r="V17" t="s">
        <v>58</v>
      </c>
      <c r="W17">
        <v>3</v>
      </c>
      <c r="X17">
        <v>1</v>
      </c>
      <c r="Y17" t="s">
        <v>59</v>
      </c>
      <c r="Z17" t="s">
        <v>56</v>
      </c>
      <c r="AA17" t="s">
        <v>56</v>
      </c>
      <c r="AB17" t="s">
        <v>60</v>
      </c>
      <c r="AC17" t="s">
        <v>61</v>
      </c>
      <c r="AD17" t="s">
        <v>62</v>
      </c>
      <c r="AE17" t="s">
        <v>63</v>
      </c>
      <c r="AF17" t="s">
        <v>64</v>
      </c>
      <c r="AG17" t="s">
        <v>65</v>
      </c>
      <c r="AH17" t="s">
        <v>66</v>
      </c>
      <c r="AI17" t="s">
        <v>67</v>
      </c>
      <c r="AJ17" t="b">
        <v>0</v>
      </c>
      <c r="AK17" t="b">
        <v>1</v>
      </c>
      <c r="AL17">
        <v>1</v>
      </c>
      <c r="AM17">
        <v>1</v>
      </c>
      <c r="AN17" t="s">
        <v>77</v>
      </c>
      <c r="AO17" t="s">
        <v>73</v>
      </c>
      <c r="AP17">
        <v>1</v>
      </c>
      <c r="AQ17" t="b">
        <v>1</v>
      </c>
      <c r="AR17" t="s">
        <v>36</v>
      </c>
      <c r="AS17">
        <v>10000</v>
      </c>
      <c r="AT17">
        <v>1000</v>
      </c>
      <c r="AU17">
        <v>9504</v>
      </c>
      <c r="AV17" t="b">
        <v>1</v>
      </c>
      <c r="AW17" t="b">
        <v>0</v>
      </c>
      <c r="AX17" t="b">
        <v>1</v>
      </c>
      <c r="AY17" t="b">
        <v>0</v>
      </c>
    </row>
    <row r="18" spans="1:51" x14ac:dyDescent="0.25">
      <c r="A18">
        <v>73</v>
      </c>
      <c r="B18" t="s">
        <v>91</v>
      </c>
      <c r="C18">
        <v>2300</v>
      </c>
      <c r="D18">
        <v>2.69211E-2</v>
      </c>
      <c r="E18">
        <v>0</v>
      </c>
      <c r="F18">
        <v>0</v>
      </c>
      <c r="G18">
        <v>2.69211E-2</v>
      </c>
      <c r="H18" t="s">
        <v>277</v>
      </c>
      <c r="I18" t="s">
        <v>52</v>
      </c>
      <c r="J18" t="s">
        <v>52</v>
      </c>
      <c r="K18" t="s">
        <v>277</v>
      </c>
      <c r="L18" s="1">
        <v>99170</v>
      </c>
      <c r="M18" t="s">
        <v>278</v>
      </c>
      <c r="N18">
        <v>0.53564194725619396</v>
      </c>
      <c r="O18" t="s">
        <v>54</v>
      </c>
      <c r="P18" t="s">
        <v>55</v>
      </c>
      <c r="Q18">
        <v>1000</v>
      </c>
      <c r="R18">
        <v>2.5000000000000001E-2</v>
      </c>
      <c r="S18" t="s">
        <v>56</v>
      </c>
      <c r="T18" t="s">
        <v>56</v>
      </c>
      <c r="U18" t="s">
        <v>57</v>
      </c>
      <c r="V18" t="s">
        <v>68</v>
      </c>
      <c r="W18">
        <v>3</v>
      </c>
      <c r="X18">
        <v>1</v>
      </c>
      <c r="Y18" t="s">
        <v>59</v>
      </c>
      <c r="Z18" t="s">
        <v>56</v>
      </c>
      <c r="AA18" t="s">
        <v>56</v>
      </c>
      <c r="AB18" t="s">
        <v>60</v>
      </c>
      <c r="AC18" t="s">
        <v>61</v>
      </c>
      <c r="AD18" t="s">
        <v>62</v>
      </c>
      <c r="AE18" t="s">
        <v>63</v>
      </c>
      <c r="AF18" t="s">
        <v>64</v>
      </c>
      <c r="AG18" t="s">
        <v>65</v>
      </c>
      <c r="AH18" t="s">
        <v>66</v>
      </c>
      <c r="AI18" t="s">
        <v>67</v>
      </c>
      <c r="AJ18" t="b">
        <v>0</v>
      </c>
      <c r="AK18" t="b">
        <v>1</v>
      </c>
      <c r="AL18">
        <v>1</v>
      </c>
      <c r="AM18">
        <v>1</v>
      </c>
      <c r="AN18" t="s">
        <v>77</v>
      </c>
      <c r="AO18" t="s">
        <v>73</v>
      </c>
      <c r="AP18">
        <v>2</v>
      </c>
      <c r="AQ18" t="b">
        <v>1</v>
      </c>
      <c r="AR18" t="s">
        <v>36</v>
      </c>
      <c r="AS18">
        <v>10000</v>
      </c>
      <c r="AT18">
        <v>1000</v>
      </c>
      <c r="AU18">
        <v>2300</v>
      </c>
      <c r="AV18" t="b">
        <v>1</v>
      </c>
      <c r="AW18" t="b">
        <v>0</v>
      </c>
      <c r="AX18" t="b">
        <v>1</v>
      </c>
      <c r="AY18" t="b">
        <v>0</v>
      </c>
    </row>
    <row r="19" spans="1:51" x14ac:dyDescent="0.25">
      <c r="A19">
        <v>74</v>
      </c>
      <c r="B19" t="s">
        <v>50</v>
      </c>
      <c r="C19">
        <v>64564</v>
      </c>
      <c r="D19">
        <v>2.71407E-2</v>
      </c>
      <c r="E19">
        <v>0</v>
      </c>
      <c r="F19">
        <v>0</v>
      </c>
      <c r="G19">
        <v>2.71407E-2</v>
      </c>
      <c r="H19" t="s">
        <v>279</v>
      </c>
      <c r="I19" t="s">
        <v>52</v>
      </c>
      <c r="J19" t="s">
        <v>52</v>
      </c>
      <c r="K19" t="s">
        <v>279</v>
      </c>
      <c r="L19" s="1">
        <v>22286</v>
      </c>
      <c r="M19" t="s">
        <v>280</v>
      </c>
      <c r="N19">
        <v>0.50504993690384803</v>
      </c>
      <c r="O19" t="s">
        <v>54</v>
      </c>
      <c r="P19" t="s">
        <v>55</v>
      </c>
      <c r="Q19">
        <v>1000</v>
      </c>
      <c r="R19">
        <v>2.5000000000000001E-2</v>
      </c>
      <c r="S19" t="s">
        <v>56</v>
      </c>
      <c r="T19" t="s">
        <v>56</v>
      </c>
      <c r="U19" t="s">
        <v>57</v>
      </c>
      <c r="V19" t="s">
        <v>58</v>
      </c>
      <c r="W19">
        <v>3</v>
      </c>
      <c r="X19">
        <v>1</v>
      </c>
      <c r="Y19" t="s">
        <v>59</v>
      </c>
      <c r="Z19" t="s">
        <v>56</v>
      </c>
      <c r="AA19" t="s">
        <v>56</v>
      </c>
      <c r="AB19" t="s">
        <v>60</v>
      </c>
      <c r="AC19" t="s">
        <v>61</v>
      </c>
      <c r="AD19" t="s">
        <v>62</v>
      </c>
      <c r="AE19" t="s">
        <v>63</v>
      </c>
      <c r="AF19" t="s">
        <v>64</v>
      </c>
      <c r="AG19" t="s">
        <v>65</v>
      </c>
      <c r="AH19" t="s">
        <v>97</v>
      </c>
      <c r="AI19" t="s">
        <v>67</v>
      </c>
      <c r="AJ19" t="b">
        <v>0</v>
      </c>
      <c r="AK19" t="b">
        <v>0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68</v>
      </c>
      <c r="AS19">
        <v>10000</v>
      </c>
      <c r="AT19">
        <v>1000</v>
      </c>
      <c r="AU19">
        <v>64564</v>
      </c>
      <c r="AV19" t="b">
        <v>1</v>
      </c>
      <c r="AW19" t="b">
        <v>0</v>
      </c>
      <c r="AX19" t="b">
        <v>1</v>
      </c>
      <c r="AY19" t="b">
        <v>0</v>
      </c>
    </row>
    <row r="20" spans="1:51" x14ac:dyDescent="0.25">
      <c r="A20">
        <v>75</v>
      </c>
      <c r="B20" t="s">
        <v>82</v>
      </c>
      <c r="C20">
        <v>84234</v>
      </c>
      <c r="D20">
        <v>2.6582600000000001E-2</v>
      </c>
      <c r="E20">
        <v>0</v>
      </c>
      <c r="F20">
        <v>0</v>
      </c>
      <c r="G20">
        <v>2.6582600000000001E-2</v>
      </c>
      <c r="H20" t="s">
        <v>281</v>
      </c>
      <c r="I20" t="s">
        <v>52</v>
      </c>
      <c r="J20" t="s">
        <v>52</v>
      </c>
      <c r="K20" t="s">
        <v>281</v>
      </c>
      <c r="L20" s="1">
        <v>17259</v>
      </c>
      <c r="M20" t="s">
        <v>282</v>
      </c>
      <c r="N20">
        <v>0.32029800752798698</v>
      </c>
      <c r="O20" t="s">
        <v>54</v>
      </c>
      <c r="P20" t="s">
        <v>55</v>
      </c>
      <c r="Q20">
        <v>1000</v>
      </c>
      <c r="R20">
        <v>2.5000000000000001E-2</v>
      </c>
      <c r="S20" t="s">
        <v>56</v>
      </c>
      <c r="T20" t="s">
        <v>56</v>
      </c>
      <c r="U20" t="s">
        <v>57</v>
      </c>
      <c r="V20" t="s">
        <v>58</v>
      </c>
      <c r="W20">
        <v>3</v>
      </c>
      <c r="X20">
        <v>1</v>
      </c>
      <c r="Y20" t="s">
        <v>59</v>
      </c>
      <c r="Z20" t="s">
        <v>56</v>
      </c>
      <c r="AA20" t="s">
        <v>56</v>
      </c>
      <c r="AB20" t="s">
        <v>60</v>
      </c>
      <c r="AC20" t="s">
        <v>61</v>
      </c>
      <c r="AD20" t="s">
        <v>62</v>
      </c>
      <c r="AE20" t="s">
        <v>63</v>
      </c>
      <c r="AF20" t="s">
        <v>64</v>
      </c>
      <c r="AG20" t="s">
        <v>65</v>
      </c>
      <c r="AH20" t="s">
        <v>97</v>
      </c>
      <c r="AI20" t="s">
        <v>67</v>
      </c>
      <c r="AJ20" t="b">
        <v>0</v>
      </c>
      <c r="AK20" t="b">
        <v>1</v>
      </c>
      <c r="AL20">
        <v>1</v>
      </c>
      <c r="AM20">
        <v>1</v>
      </c>
      <c r="AN20" t="s">
        <v>77</v>
      </c>
      <c r="AO20" t="s">
        <v>78</v>
      </c>
      <c r="AP20">
        <v>0.5</v>
      </c>
      <c r="AQ20" t="b">
        <v>1</v>
      </c>
      <c r="AR20" t="s">
        <v>36</v>
      </c>
      <c r="AS20">
        <v>10000</v>
      </c>
      <c r="AT20">
        <v>1000</v>
      </c>
      <c r="AU20">
        <v>84234</v>
      </c>
      <c r="AV20" t="b">
        <v>1</v>
      </c>
      <c r="AW20" t="b">
        <v>0</v>
      </c>
      <c r="AX20" t="b">
        <v>1</v>
      </c>
      <c r="AY20" t="b">
        <v>0</v>
      </c>
    </row>
    <row r="21" spans="1:51" x14ac:dyDescent="0.25">
      <c r="A21">
        <v>76</v>
      </c>
      <c r="B21" t="s">
        <v>88</v>
      </c>
      <c r="C21">
        <v>9504</v>
      </c>
      <c r="D21">
        <v>2.6086999999999999E-2</v>
      </c>
      <c r="E21">
        <v>0</v>
      </c>
      <c r="F21">
        <v>0</v>
      </c>
      <c r="G21">
        <v>2.6086999999999999E-2</v>
      </c>
      <c r="H21" t="s">
        <v>283</v>
      </c>
      <c r="I21" t="s">
        <v>52</v>
      </c>
      <c r="J21" t="s">
        <v>52</v>
      </c>
      <c r="K21" t="s">
        <v>283</v>
      </c>
      <c r="L21" s="1">
        <v>15270</v>
      </c>
      <c r="M21" t="s">
        <v>284</v>
      </c>
      <c r="N21">
        <v>0.41680716753005997</v>
      </c>
      <c r="O21" t="s">
        <v>54</v>
      </c>
      <c r="P21" t="s">
        <v>55</v>
      </c>
      <c r="Q21">
        <v>1000</v>
      </c>
      <c r="R21">
        <v>2.5000000000000001E-2</v>
      </c>
      <c r="S21" t="s">
        <v>56</v>
      </c>
      <c r="T21" t="s">
        <v>56</v>
      </c>
      <c r="U21" t="s">
        <v>57</v>
      </c>
      <c r="V21" t="s">
        <v>58</v>
      </c>
      <c r="W21">
        <v>3</v>
      </c>
      <c r="X21">
        <v>1</v>
      </c>
      <c r="Y21" t="s">
        <v>59</v>
      </c>
      <c r="Z21" t="s">
        <v>56</v>
      </c>
      <c r="AA21" t="s">
        <v>56</v>
      </c>
      <c r="AB21" t="s">
        <v>60</v>
      </c>
      <c r="AC21" t="s">
        <v>61</v>
      </c>
      <c r="AD21" t="s">
        <v>62</v>
      </c>
      <c r="AE21" t="s">
        <v>63</v>
      </c>
      <c r="AF21" t="s">
        <v>64</v>
      </c>
      <c r="AG21" t="s">
        <v>65</v>
      </c>
      <c r="AH21" t="s">
        <v>97</v>
      </c>
      <c r="AI21" t="s">
        <v>67</v>
      </c>
      <c r="AJ21" t="b">
        <v>0</v>
      </c>
      <c r="AK21" t="b">
        <v>1</v>
      </c>
      <c r="AL21">
        <v>1</v>
      </c>
      <c r="AM21">
        <v>1</v>
      </c>
      <c r="AN21" t="s">
        <v>77</v>
      </c>
      <c r="AO21" t="s">
        <v>73</v>
      </c>
      <c r="AP21">
        <v>1</v>
      </c>
      <c r="AQ21" t="b">
        <v>1</v>
      </c>
      <c r="AR21" t="s">
        <v>36</v>
      </c>
      <c r="AS21">
        <v>10000</v>
      </c>
      <c r="AT21">
        <v>1000</v>
      </c>
      <c r="AU21">
        <v>9504</v>
      </c>
      <c r="AV21" t="b">
        <v>1</v>
      </c>
      <c r="AW21" t="b">
        <v>0</v>
      </c>
      <c r="AX21" t="b">
        <v>1</v>
      </c>
      <c r="AY2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CC47-7C1E-4831-9FEF-A7ADD55B53F5}">
  <dimension ref="A1:AZ43"/>
  <sheetViews>
    <sheetView topLeftCell="Q1" zoomScaleNormal="100" workbookViewId="0">
      <pane ySplit="1" topLeftCell="A2" activePane="bottomLeft" state="frozen"/>
      <selection pane="bottomLeft" activeCell="Q1" sqref="Q1"/>
    </sheetView>
  </sheetViews>
  <sheetFormatPr defaultRowHeight="15" x14ac:dyDescent="0.25"/>
  <cols>
    <col min="2" max="2" width="63.28515625" bestFit="1" customWidth="1"/>
    <col min="16" max="16" width="7.5703125" bestFit="1" customWidth="1"/>
    <col min="17" max="17" width="11" bestFit="1" customWidth="1"/>
    <col min="18" max="18" width="6.7109375" bestFit="1" customWidth="1"/>
    <col min="19" max="19" width="12.140625" bestFit="1" customWidth="1"/>
    <col min="20" max="20" width="15.28515625" bestFit="1" customWidth="1"/>
    <col min="21" max="21" width="10.7109375" bestFit="1" customWidth="1"/>
    <col min="22" max="22" width="16.140625" bestFit="1" customWidth="1"/>
    <col min="23" max="23" width="6.7109375" bestFit="1" customWidth="1"/>
    <col min="24" max="24" width="5.42578125" bestFit="1" customWidth="1"/>
    <col min="25" max="25" width="17.7109375" bestFit="1" customWidth="1"/>
    <col min="26" max="26" width="11" bestFit="1" customWidth="1"/>
    <col min="27" max="27" width="12.42578125" bestFit="1" customWidth="1"/>
    <col min="28" max="28" width="23.5703125" bestFit="1" customWidth="1"/>
    <col min="29" max="29" width="15.42578125" bestFit="1" customWidth="1"/>
    <col min="30" max="30" width="9" bestFit="1" customWidth="1"/>
    <col min="31" max="31" width="12" bestFit="1" customWidth="1"/>
    <col min="32" max="32" width="25.28515625" bestFit="1" customWidth="1"/>
    <col min="33" max="33" width="10.7109375" bestFit="1" customWidth="1"/>
    <col min="34" max="34" width="8.85546875" bestFit="1" customWidth="1"/>
    <col min="35" max="35" width="12.7109375" bestFit="1" customWidth="1"/>
    <col min="36" max="36" width="15.5703125" bestFit="1" customWidth="1"/>
    <col min="38" max="38" width="13.28515625" bestFit="1" customWidth="1"/>
    <col min="39" max="39" width="14.140625" bestFit="1" customWidth="1"/>
    <col min="40" max="40" width="13.85546875" bestFit="1" customWidth="1"/>
    <col min="41" max="41" width="16.7109375" bestFit="1" customWidth="1"/>
    <col min="42" max="42" width="17.28515625" bestFit="1" customWidth="1"/>
    <col min="43" max="43" width="18.42578125" bestFit="1" customWidth="1"/>
    <col min="44" max="44" width="10.85546875" bestFit="1" customWidth="1"/>
    <col min="45" max="45" width="11.7109375" bestFit="1" customWidth="1"/>
    <col min="46" max="46" width="18.5703125" bestFit="1" customWidth="1"/>
    <col min="47" max="47" width="6.7109375" bestFit="1" customWidth="1"/>
    <col min="48" max="48" width="12.5703125" bestFit="1" customWidth="1"/>
    <col min="49" max="49" width="10.85546875" bestFit="1" customWidth="1"/>
    <col min="50" max="50" width="7.85546875" bestFit="1" customWidth="1"/>
    <col min="51" max="51" width="7.28515625" bestFit="1" customWidth="1"/>
    <col min="52" max="52" width="13.4257812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232</v>
      </c>
      <c r="AV1" t="s">
        <v>46</v>
      </c>
      <c r="AW1" t="s">
        <v>47</v>
      </c>
      <c r="AX1" t="s">
        <v>48</v>
      </c>
      <c r="AY1" t="s">
        <v>49</v>
      </c>
      <c r="AZ1" t="s">
        <v>285</v>
      </c>
    </row>
    <row r="2" spans="1:52" x14ac:dyDescent="0.25">
      <c r="A2">
        <v>57</v>
      </c>
      <c r="B2" t="s">
        <v>286</v>
      </c>
      <c r="C2">
        <v>64564</v>
      </c>
      <c r="D2">
        <v>2.5209949999999998E-2</v>
      </c>
      <c r="E2">
        <v>0</v>
      </c>
      <c r="F2">
        <v>0</v>
      </c>
      <c r="G2">
        <v>2.5209949999999998E-2</v>
      </c>
      <c r="H2" t="s">
        <v>287</v>
      </c>
      <c r="I2" t="s">
        <v>52</v>
      </c>
      <c r="J2" t="s">
        <v>52</v>
      </c>
      <c r="K2" t="s">
        <v>287</v>
      </c>
      <c r="L2" s="1">
        <v>33467</v>
      </c>
      <c r="M2" t="s">
        <v>288</v>
      </c>
      <c r="N2">
        <v>2.1383016338613299</v>
      </c>
      <c r="O2" t="s">
        <v>54</v>
      </c>
      <c r="P2" t="s">
        <v>55</v>
      </c>
      <c r="Q2">
        <v>10000</v>
      </c>
      <c r="R2">
        <v>2.5000000000000001E-2</v>
      </c>
      <c r="S2" t="s">
        <v>56</v>
      </c>
      <c r="T2" t="s">
        <v>56</v>
      </c>
      <c r="U2" t="s">
        <v>57</v>
      </c>
      <c r="V2" t="s">
        <v>58</v>
      </c>
      <c r="W2">
        <v>3</v>
      </c>
      <c r="X2">
        <v>1</v>
      </c>
      <c r="Y2" t="s">
        <v>59</v>
      </c>
      <c r="Z2" t="s">
        <v>56</v>
      </c>
      <c r="AA2" t="s">
        <v>56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97</v>
      </c>
      <c r="AI2" t="s">
        <v>67</v>
      </c>
      <c r="AJ2" t="b">
        <v>0</v>
      </c>
      <c r="AK2" t="b">
        <v>0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68</v>
      </c>
      <c r="AS2">
        <v>20000</v>
      </c>
      <c r="AT2">
        <v>2000</v>
      </c>
      <c r="AU2">
        <v>64564</v>
      </c>
      <c r="AV2" t="b">
        <v>1</v>
      </c>
      <c r="AW2" t="b">
        <v>0</v>
      </c>
      <c r="AX2" t="b">
        <v>1</v>
      </c>
      <c r="AY2" t="b">
        <v>0</v>
      </c>
      <c r="AZ2" t="s">
        <v>217</v>
      </c>
    </row>
    <row r="3" spans="1:52" x14ac:dyDescent="0.25">
      <c r="A3">
        <v>58</v>
      </c>
      <c r="B3" t="s">
        <v>289</v>
      </c>
      <c r="C3">
        <v>343</v>
      </c>
      <c r="D3">
        <v>2.5257149999999999E-2</v>
      </c>
      <c r="E3">
        <v>0</v>
      </c>
      <c r="F3">
        <v>0</v>
      </c>
      <c r="G3">
        <v>2.5257149999999999E-2</v>
      </c>
      <c r="H3" t="s">
        <v>290</v>
      </c>
      <c r="I3" t="s">
        <v>52</v>
      </c>
      <c r="J3" t="s">
        <v>52</v>
      </c>
      <c r="K3" t="s">
        <v>290</v>
      </c>
      <c r="L3" s="1">
        <v>24474</v>
      </c>
      <c r="M3" t="s">
        <v>190</v>
      </c>
      <c r="N3">
        <v>1.7797074350383499</v>
      </c>
      <c r="O3" t="s">
        <v>54</v>
      </c>
      <c r="P3" t="s">
        <v>55</v>
      </c>
      <c r="Q3">
        <v>10000</v>
      </c>
      <c r="R3">
        <v>2.5000000000000001E-2</v>
      </c>
      <c r="S3" t="s">
        <v>56</v>
      </c>
      <c r="T3" t="s">
        <v>56</v>
      </c>
      <c r="U3" t="s">
        <v>57</v>
      </c>
      <c r="V3" t="s">
        <v>58</v>
      </c>
      <c r="W3">
        <v>3</v>
      </c>
      <c r="X3">
        <v>1</v>
      </c>
      <c r="Y3" t="s">
        <v>59</v>
      </c>
      <c r="Z3" t="s">
        <v>56</v>
      </c>
      <c r="AA3" t="s">
        <v>56</v>
      </c>
      <c r="AB3" t="s">
        <v>60</v>
      </c>
      <c r="AC3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97</v>
      </c>
      <c r="AI3" t="s">
        <v>67</v>
      </c>
      <c r="AJ3" t="b">
        <v>0</v>
      </c>
      <c r="AK3" t="b">
        <v>1</v>
      </c>
      <c r="AL3">
        <v>1</v>
      </c>
      <c r="AM3">
        <v>1</v>
      </c>
      <c r="AN3" t="s">
        <v>77</v>
      </c>
      <c r="AO3" t="s">
        <v>78</v>
      </c>
      <c r="AP3">
        <v>0.75</v>
      </c>
      <c r="AQ3" t="b">
        <v>1</v>
      </c>
      <c r="AR3" t="s">
        <v>36</v>
      </c>
      <c r="AS3">
        <v>20000</v>
      </c>
      <c r="AT3">
        <v>2000</v>
      </c>
      <c r="AU3">
        <v>343</v>
      </c>
      <c r="AV3" t="b">
        <v>1</v>
      </c>
      <c r="AW3" t="b">
        <v>0</v>
      </c>
      <c r="AX3" t="b">
        <v>1</v>
      </c>
      <c r="AY3" t="b">
        <v>0</v>
      </c>
      <c r="AZ3" t="s">
        <v>217</v>
      </c>
    </row>
    <row r="4" spans="1:52" x14ac:dyDescent="0.25">
      <c r="A4">
        <v>59</v>
      </c>
      <c r="B4" t="s">
        <v>291</v>
      </c>
      <c r="C4">
        <v>4346</v>
      </c>
      <c r="D4">
        <v>2.4221224999999999E-2</v>
      </c>
      <c r="E4">
        <v>0</v>
      </c>
      <c r="F4">
        <v>0</v>
      </c>
      <c r="G4">
        <v>2.4221224999999999E-2</v>
      </c>
      <c r="H4" t="s">
        <v>292</v>
      </c>
      <c r="I4" t="s">
        <v>52</v>
      </c>
      <c r="J4" t="s">
        <v>52</v>
      </c>
      <c r="K4" t="s">
        <v>292</v>
      </c>
      <c r="L4" s="1">
        <v>23453</v>
      </c>
      <c r="M4" t="s">
        <v>293</v>
      </c>
      <c r="N4">
        <v>0.75496609972582895</v>
      </c>
      <c r="O4" t="s">
        <v>54</v>
      </c>
      <c r="P4" t="s">
        <v>55</v>
      </c>
      <c r="Q4">
        <v>10000</v>
      </c>
      <c r="R4">
        <v>2.5000000000000001E-2</v>
      </c>
      <c r="S4" t="s">
        <v>56</v>
      </c>
      <c r="T4" t="s">
        <v>56</v>
      </c>
      <c r="U4" t="s">
        <v>57</v>
      </c>
      <c r="V4" t="s">
        <v>58</v>
      </c>
      <c r="W4">
        <v>3</v>
      </c>
      <c r="X4">
        <v>1</v>
      </c>
      <c r="Y4" t="s">
        <v>59</v>
      </c>
      <c r="Z4" t="s">
        <v>56</v>
      </c>
      <c r="AA4" t="s">
        <v>56</v>
      </c>
      <c r="AB4" t="s">
        <v>60</v>
      </c>
      <c r="AC4" t="s">
        <v>61</v>
      </c>
      <c r="AD4" t="s">
        <v>62</v>
      </c>
      <c r="AE4" t="s">
        <v>63</v>
      </c>
      <c r="AF4" t="s">
        <v>64</v>
      </c>
      <c r="AG4" t="s">
        <v>65</v>
      </c>
      <c r="AH4" t="s">
        <v>97</v>
      </c>
      <c r="AI4" t="s">
        <v>67</v>
      </c>
      <c r="AJ4" t="b">
        <v>0</v>
      </c>
      <c r="AK4" t="b">
        <v>1</v>
      </c>
      <c r="AL4">
        <v>1</v>
      </c>
      <c r="AM4">
        <v>1</v>
      </c>
      <c r="AN4" t="s">
        <v>77</v>
      </c>
      <c r="AO4" t="s">
        <v>78</v>
      </c>
      <c r="AP4">
        <v>0.25</v>
      </c>
      <c r="AQ4" t="b">
        <v>1</v>
      </c>
      <c r="AR4" t="s">
        <v>36</v>
      </c>
      <c r="AS4">
        <v>20000</v>
      </c>
      <c r="AT4">
        <v>2000</v>
      </c>
      <c r="AU4">
        <v>4346</v>
      </c>
      <c r="AV4" t="b">
        <v>1</v>
      </c>
      <c r="AW4" t="b">
        <v>0</v>
      </c>
      <c r="AX4" t="b">
        <v>1</v>
      </c>
      <c r="AY4" t="b">
        <v>0</v>
      </c>
      <c r="AZ4" t="s">
        <v>217</v>
      </c>
    </row>
    <row r="5" spans="1:52" x14ac:dyDescent="0.25">
      <c r="A5">
        <v>60</v>
      </c>
      <c r="B5" t="s">
        <v>294</v>
      </c>
      <c r="C5">
        <v>2300</v>
      </c>
      <c r="D5">
        <v>2.526865E-2</v>
      </c>
      <c r="E5">
        <v>0</v>
      </c>
      <c r="F5">
        <v>0</v>
      </c>
      <c r="G5">
        <v>2.526865E-2</v>
      </c>
      <c r="H5" t="s">
        <v>295</v>
      </c>
      <c r="I5" t="s">
        <v>52</v>
      </c>
      <c r="J5" t="s">
        <v>52</v>
      </c>
      <c r="K5" t="s">
        <v>295</v>
      </c>
      <c r="L5" s="1">
        <v>23463</v>
      </c>
      <c r="M5" t="s">
        <v>296</v>
      </c>
      <c r="N5">
        <v>2.1095258655150699</v>
      </c>
      <c r="O5" t="s">
        <v>54</v>
      </c>
      <c r="P5" t="s">
        <v>55</v>
      </c>
      <c r="Q5">
        <v>10000</v>
      </c>
      <c r="R5">
        <v>2.5000000000000001E-2</v>
      </c>
      <c r="S5" t="s">
        <v>56</v>
      </c>
      <c r="T5" t="s">
        <v>56</v>
      </c>
      <c r="U5" t="s">
        <v>57</v>
      </c>
      <c r="V5" t="s">
        <v>58</v>
      </c>
      <c r="W5">
        <v>3</v>
      </c>
      <c r="X5">
        <v>1</v>
      </c>
      <c r="Y5" t="s">
        <v>59</v>
      </c>
      <c r="Z5" t="s">
        <v>56</v>
      </c>
      <c r="AA5" t="s">
        <v>56</v>
      </c>
      <c r="AB5" t="s">
        <v>60</v>
      </c>
      <c r="AC5" t="s">
        <v>61</v>
      </c>
      <c r="AD5" t="s">
        <v>62</v>
      </c>
      <c r="AE5" t="s">
        <v>63</v>
      </c>
      <c r="AF5" t="s">
        <v>64</v>
      </c>
      <c r="AG5" t="s">
        <v>65</v>
      </c>
      <c r="AH5" t="s">
        <v>97</v>
      </c>
      <c r="AI5" t="s">
        <v>67</v>
      </c>
      <c r="AJ5" t="b">
        <v>0</v>
      </c>
      <c r="AK5" t="b">
        <v>1</v>
      </c>
      <c r="AL5">
        <v>1</v>
      </c>
      <c r="AM5">
        <v>1</v>
      </c>
      <c r="AN5" t="s">
        <v>77</v>
      </c>
      <c r="AO5" t="s">
        <v>73</v>
      </c>
      <c r="AP5">
        <v>2</v>
      </c>
      <c r="AQ5" t="b">
        <v>1</v>
      </c>
      <c r="AR5" t="s">
        <v>36</v>
      </c>
      <c r="AS5">
        <v>20000</v>
      </c>
      <c r="AT5">
        <v>2000</v>
      </c>
      <c r="AU5">
        <v>2300</v>
      </c>
      <c r="AV5" t="b">
        <v>1</v>
      </c>
      <c r="AW5" t="b">
        <v>0</v>
      </c>
      <c r="AX5" t="b">
        <v>1</v>
      </c>
      <c r="AY5" t="b">
        <v>0</v>
      </c>
      <c r="AZ5" t="s">
        <v>217</v>
      </c>
    </row>
    <row r="6" spans="1:52" x14ac:dyDescent="0.25">
      <c r="A6">
        <v>61</v>
      </c>
      <c r="B6" t="s">
        <v>297</v>
      </c>
      <c r="C6">
        <v>2402</v>
      </c>
      <c r="D6">
        <v>2.52502E-2</v>
      </c>
      <c r="E6">
        <v>0</v>
      </c>
      <c r="F6">
        <v>0</v>
      </c>
      <c r="G6">
        <v>2.52502E-2</v>
      </c>
      <c r="H6" t="s">
        <v>298</v>
      </c>
      <c r="I6" t="s">
        <v>52</v>
      </c>
      <c r="J6" t="s">
        <v>52</v>
      </c>
      <c r="K6" t="s">
        <v>298</v>
      </c>
      <c r="L6" s="1">
        <v>24457</v>
      </c>
      <c r="M6" t="s">
        <v>299</v>
      </c>
      <c r="N6">
        <v>1.29350862695111</v>
      </c>
      <c r="O6" t="s">
        <v>54</v>
      </c>
      <c r="P6" t="s">
        <v>55</v>
      </c>
      <c r="Q6">
        <v>10000</v>
      </c>
      <c r="R6">
        <v>2.5000000000000001E-2</v>
      </c>
      <c r="S6" t="s">
        <v>56</v>
      </c>
      <c r="T6" t="s">
        <v>56</v>
      </c>
      <c r="U6" t="s">
        <v>57</v>
      </c>
      <c r="V6" t="s">
        <v>58</v>
      </c>
      <c r="W6">
        <v>3</v>
      </c>
      <c r="X6">
        <v>1</v>
      </c>
      <c r="Y6" t="s">
        <v>59</v>
      </c>
      <c r="Z6" t="s">
        <v>56</v>
      </c>
      <c r="AA6" t="s">
        <v>56</v>
      </c>
      <c r="AB6" t="s">
        <v>60</v>
      </c>
      <c r="AC6" t="s">
        <v>61</v>
      </c>
      <c r="AD6" t="s">
        <v>62</v>
      </c>
      <c r="AE6" t="s">
        <v>63</v>
      </c>
      <c r="AF6" t="s">
        <v>64</v>
      </c>
      <c r="AG6" t="s">
        <v>65</v>
      </c>
      <c r="AH6" t="s">
        <v>97</v>
      </c>
      <c r="AI6" t="s">
        <v>67</v>
      </c>
      <c r="AJ6" t="b">
        <v>0</v>
      </c>
      <c r="AK6" t="b">
        <v>1</v>
      </c>
      <c r="AL6">
        <v>1</v>
      </c>
      <c r="AM6">
        <v>1</v>
      </c>
      <c r="AN6" t="s">
        <v>77</v>
      </c>
      <c r="AO6" t="s">
        <v>78</v>
      </c>
      <c r="AP6">
        <v>0.5</v>
      </c>
      <c r="AQ6" t="b">
        <v>0</v>
      </c>
      <c r="AR6" t="s">
        <v>68</v>
      </c>
      <c r="AS6">
        <v>20000</v>
      </c>
      <c r="AT6">
        <v>2000</v>
      </c>
      <c r="AU6">
        <v>2402</v>
      </c>
      <c r="AV6" t="b">
        <v>1</v>
      </c>
      <c r="AW6" t="b">
        <v>0</v>
      </c>
      <c r="AX6" t="b">
        <v>1</v>
      </c>
      <c r="AY6" t="b">
        <v>0</v>
      </c>
      <c r="AZ6" t="s">
        <v>217</v>
      </c>
    </row>
    <row r="7" spans="1:52" x14ac:dyDescent="0.25">
      <c r="A7">
        <v>62</v>
      </c>
      <c r="B7" t="s">
        <v>300</v>
      </c>
      <c r="C7">
        <v>64564</v>
      </c>
      <c r="D7">
        <v>2.5111325E-2</v>
      </c>
      <c r="E7">
        <v>0</v>
      </c>
      <c r="F7">
        <v>0</v>
      </c>
      <c r="G7">
        <v>2.5111325E-2</v>
      </c>
      <c r="H7" t="s">
        <v>301</v>
      </c>
      <c r="I7" t="s">
        <v>52</v>
      </c>
      <c r="J7" t="s">
        <v>52</v>
      </c>
      <c r="K7" t="s">
        <v>301</v>
      </c>
      <c r="L7" s="1">
        <v>33466</v>
      </c>
      <c r="M7" t="s">
        <v>302</v>
      </c>
      <c r="N7">
        <v>2.1058584594726599</v>
      </c>
      <c r="O7" t="s">
        <v>54</v>
      </c>
      <c r="P7" t="s">
        <v>55</v>
      </c>
      <c r="Q7">
        <v>10000</v>
      </c>
      <c r="R7">
        <v>2.5000000000000001E-2</v>
      </c>
      <c r="S7" t="s">
        <v>56</v>
      </c>
      <c r="T7" t="s">
        <v>56</v>
      </c>
      <c r="U7" t="s">
        <v>57</v>
      </c>
      <c r="V7" t="s">
        <v>58</v>
      </c>
      <c r="W7">
        <v>3</v>
      </c>
      <c r="X7">
        <v>1</v>
      </c>
      <c r="Y7" t="s">
        <v>59</v>
      </c>
      <c r="Z7" t="s">
        <v>56</v>
      </c>
      <c r="AA7" t="s">
        <v>56</v>
      </c>
      <c r="AB7" t="s">
        <v>60</v>
      </c>
      <c r="AC7" t="s">
        <v>61</v>
      </c>
      <c r="AD7" t="s">
        <v>62</v>
      </c>
      <c r="AE7" t="s">
        <v>63</v>
      </c>
      <c r="AF7" t="s">
        <v>64</v>
      </c>
      <c r="AG7" t="s">
        <v>65</v>
      </c>
      <c r="AH7" t="s">
        <v>97</v>
      </c>
      <c r="AI7" t="s">
        <v>67</v>
      </c>
      <c r="AJ7" t="b">
        <v>0</v>
      </c>
      <c r="AK7" t="b">
        <v>0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68</v>
      </c>
      <c r="AS7">
        <v>20000</v>
      </c>
      <c r="AT7">
        <v>2000</v>
      </c>
      <c r="AU7">
        <v>64564</v>
      </c>
      <c r="AV7" t="b">
        <v>1</v>
      </c>
      <c r="AW7" t="b">
        <v>0</v>
      </c>
      <c r="AX7" t="b">
        <v>1</v>
      </c>
      <c r="AY7" t="b">
        <v>1</v>
      </c>
      <c r="AZ7" t="s">
        <v>217</v>
      </c>
    </row>
    <row r="8" spans="1:52" x14ac:dyDescent="0.25">
      <c r="A8">
        <v>63</v>
      </c>
      <c r="B8" t="s">
        <v>303</v>
      </c>
      <c r="C8">
        <v>343</v>
      </c>
      <c r="D8">
        <v>2.5157100000000002E-2</v>
      </c>
      <c r="E8">
        <v>0</v>
      </c>
      <c r="F8">
        <v>0</v>
      </c>
      <c r="G8">
        <v>2.5157100000000002E-2</v>
      </c>
      <c r="H8" t="s">
        <v>304</v>
      </c>
      <c r="I8" t="s">
        <v>52</v>
      </c>
      <c r="J8" t="s">
        <v>52</v>
      </c>
      <c r="K8" t="s">
        <v>304</v>
      </c>
      <c r="L8" s="1">
        <v>24472</v>
      </c>
      <c r="M8" t="s">
        <v>213</v>
      </c>
      <c r="N8">
        <v>1.77883916887972</v>
      </c>
      <c r="O8" t="s">
        <v>54</v>
      </c>
      <c r="P8" t="s">
        <v>55</v>
      </c>
      <c r="Q8">
        <v>10000</v>
      </c>
      <c r="R8">
        <v>2.5000000000000001E-2</v>
      </c>
      <c r="S8" t="s">
        <v>56</v>
      </c>
      <c r="T8" t="s">
        <v>56</v>
      </c>
      <c r="U8" t="s">
        <v>57</v>
      </c>
      <c r="V8" t="s">
        <v>58</v>
      </c>
      <c r="W8">
        <v>3</v>
      </c>
      <c r="X8">
        <v>1</v>
      </c>
      <c r="Y8" t="s">
        <v>59</v>
      </c>
      <c r="Z8" t="s">
        <v>56</v>
      </c>
      <c r="AA8" t="s">
        <v>56</v>
      </c>
      <c r="AB8" t="s">
        <v>60</v>
      </c>
      <c r="AC8" t="s">
        <v>61</v>
      </c>
      <c r="AD8" t="s">
        <v>62</v>
      </c>
      <c r="AE8" t="s">
        <v>63</v>
      </c>
      <c r="AF8" t="s">
        <v>64</v>
      </c>
      <c r="AG8" t="s">
        <v>65</v>
      </c>
      <c r="AH8" t="s">
        <v>97</v>
      </c>
      <c r="AI8" t="s">
        <v>67</v>
      </c>
      <c r="AJ8" t="b">
        <v>0</v>
      </c>
      <c r="AK8" t="b">
        <v>1</v>
      </c>
      <c r="AL8">
        <v>1</v>
      </c>
      <c r="AM8">
        <v>1</v>
      </c>
      <c r="AN8" t="s">
        <v>77</v>
      </c>
      <c r="AO8" t="s">
        <v>78</v>
      </c>
      <c r="AP8">
        <v>0.75</v>
      </c>
      <c r="AQ8" t="b">
        <v>1</v>
      </c>
      <c r="AR8" t="s">
        <v>36</v>
      </c>
      <c r="AS8">
        <v>20000</v>
      </c>
      <c r="AT8">
        <v>2000</v>
      </c>
      <c r="AU8">
        <v>343</v>
      </c>
      <c r="AV8" t="b">
        <v>1</v>
      </c>
      <c r="AW8" t="b">
        <v>0</v>
      </c>
      <c r="AX8" t="b">
        <v>1</v>
      </c>
      <c r="AY8" t="b">
        <v>1</v>
      </c>
      <c r="AZ8" t="s">
        <v>217</v>
      </c>
    </row>
    <row r="9" spans="1:52" x14ac:dyDescent="0.25">
      <c r="A9">
        <v>64</v>
      </c>
      <c r="B9" t="s">
        <v>305</v>
      </c>
      <c r="C9">
        <v>4346</v>
      </c>
      <c r="D9">
        <v>2.4137425000000001E-2</v>
      </c>
      <c r="E9">
        <v>0</v>
      </c>
      <c r="F9">
        <v>0</v>
      </c>
      <c r="G9">
        <v>2.4137425000000001E-2</v>
      </c>
      <c r="H9" t="s">
        <v>306</v>
      </c>
      <c r="I9" t="s">
        <v>52</v>
      </c>
      <c r="J9" t="s">
        <v>52</v>
      </c>
      <c r="K9" t="s">
        <v>306</v>
      </c>
      <c r="L9" s="1">
        <v>23449</v>
      </c>
      <c r="M9" t="s">
        <v>307</v>
      </c>
      <c r="N9">
        <v>0.74600336750348395</v>
      </c>
      <c r="O9" t="s">
        <v>54</v>
      </c>
      <c r="P9" t="s">
        <v>55</v>
      </c>
      <c r="Q9">
        <v>10000</v>
      </c>
      <c r="R9">
        <v>2.5000000000000001E-2</v>
      </c>
      <c r="S9" t="s">
        <v>56</v>
      </c>
      <c r="T9" t="s">
        <v>56</v>
      </c>
      <c r="U9" t="s">
        <v>57</v>
      </c>
      <c r="V9" t="s">
        <v>58</v>
      </c>
      <c r="W9">
        <v>3</v>
      </c>
      <c r="X9">
        <v>1</v>
      </c>
      <c r="Y9" t="s">
        <v>59</v>
      </c>
      <c r="Z9" t="s">
        <v>56</v>
      </c>
      <c r="AA9" t="s">
        <v>56</v>
      </c>
      <c r="AB9" t="s">
        <v>60</v>
      </c>
      <c r="AC9" t="s">
        <v>61</v>
      </c>
      <c r="AD9" t="s">
        <v>62</v>
      </c>
      <c r="AE9" t="s">
        <v>63</v>
      </c>
      <c r="AF9" t="s">
        <v>64</v>
      </c>
      <c r="AG9" t="s">
        <v>65</v>
      </c>
      <c r="AH9" t="s">
        <v>97</v>
      </c>
      <c r="AI9" t="s">
        <v>67</v>
      </c>
      <c r="AJ9" t="b">
        <v>0</v>
      </c>
      <c r="AK9" t="b">
        <v>1</v>
      </c>
      <c r="AL9">
        <v>1</v>
      </c>
      <c r="AM9">
        <v>1</v>
      </c>
      <c r="AN9" t="s">
        <v>77</v>
      </c>
      <c r="AO9" t="s">
        <v>78</v>
      </c>
      <c r="AP9">
        <v>0.25</v>
      </c>
      <c r="AQ9" t="b">
        <v>1</v>
      </c>
      <c r="AR9" t="s">
        <v>36</v>
      </c>
      <c r="AS9">
        <v>20000</v>
      </c>
      <c r="AT9">
        <v>2000</v>
      </c>
      <c r="AU9">
        <v>4346</v>
      </c>
      <c r="AV9" t="b">
        <v>1</v>
      </c>
      <c r="AW9" t="b">
        <v>0</v>
      </c>
      <c r="AX9" t="b">
        <v>1</v>
      </c>
      <c r="AY9" t="b">
        <v>1</v>
      </c>
      <c r="AZ9" t="s">
        <v>217</v>
      </c>
    </row>
    <row r="10" spans="1:52" x14ac:dyDescent="0.25">
      <c r="A10">
        <v>65</v>
      </c>
      <c r="B10" t="s">
        <v>308</v>
      </c>
      <c r="C10">
        <v>2300</v>
      </c>
      <c r="D10">
        <v>2.5167849999999999E-2</v>
      </c>
      <c r="E10">
        <v>0</v>
      </c>
      <c r="F10">
        <v>0</v>
      </c>
      <c r="G10">
        <v>2.5167849999999999E-2</v>
      </c>
      <c r="H10" t="s">
        <v>309</v>
      </c>
      <c r="I10" t="s">
        <v>52</v>
      </c>
      <c r="J10" t="s">
        <v>52</v>
      </c>
      <c r="K10" t="s">
        <v>309</v>
      </c>
      <c r="L10" s="1">
        <v>23460</v>
      </c>
      <c r="M10" t="s">
        <v>310</v>
      </c>
      <c r="N10">
        <v>2.07878851811091</v>
      </c>
      <c r="O10" t="s">
        <v>54</v>
      </c>
      <c r="P10" t="s">
        <v>55</v>
      </c>
      <c r="Q10">
        <v>10000</v>
      </c>
      <c r="R10">
        <v>2.5000000000000001E-2</v>
      </c>
      <c r="S10" t="s">
        <v>56</v>
      </c>
      <c r="T10" t="s">
        <v>56</v>
      </c>
      <c r="U10" t="s">
        <v>57</v>
      </c>
      <c r="V10" t="s">
        <v>58</v>
      </c>
      <c r="W10">
        <v>3</v>
      </c>
      <c r="X10">
        <v>1</v>
      </c>
      <c r="Y10" t="s">
        <v>59</v>
      </c>
      <c r="Z10" t="s">
        <v>56</v>
      </c>
      <c r="AA10" t="s">
        <v>56</v>
      </c>
      <c r="AB10" t="s">
        <v>60</v>
      </c>
      <c r="AC10" t="s">
        <v>61</v>
      </c>
      <c r="AD10" t="s">
        <v>62</v>
      </c>
      <c r="AE10" t="s">
        <v>63</v>
      </c>
      <c r="AF10" t="s">
        <v>64</v>
      </c>
      <c r="AG10" t="s">
        <v>65</v>
      </c>
      <c r="AH10" t="s">
        <v>97</v>
      </c>
      <c r="AI10" t="s">
        <v>67</v>
      </c>
      <c r="AJ10" t="b">
        <v>0</v>
      </c>
      <c r="AK10" t="b">
        <v>1</v>
      </c>
      <c r="AL10">
        <v>1</v>
      </c>
      <c r="AM10">
        <v>1</v>
      </c>
      <c r="AN10" t="s">
        <v>77</v>
      </c>
      <c r="AO10" t="s">
        <v>73</v>
      </c>
      <c r="AP10">
        <v>2</v>
      </c>
      <c r="AQ10" t="b">
        <v>1</v>
      </c>
      <c r="AR10" t="s">
        <v>36</v>
      </c>
      <c r="AS10">
        <v>20000</v>
      </c>
      <c r="AT10">
        <v>2000</v>
      </c>
      <c r="AU10">
        <v>2300</v>
      </c>
      <c r="AV10" t="b">
        <v>1</v>
      </c>
      <c r="AW10" t="b">
        <v>0</v>
      </c>
      <c r="AX10" t="b">
        <v>1</v>
      </c>
      <c r="AY10" t="b">
        <v>1</v>
      </c>
      <c r="AZ10" t="s">
        <v>217</v>
      </c>
    </row>
    <row r="11" spans="1:52" x14ac:dyDescent="0.25">
      <c r="A11">
        <v>66</v>
      </c>
      <c r="B11" t="s">
        <v>311</v>
      </c>
      <c r="C11">
        <v>2402</v>
      </c>
      <c r="D11">
        <v>2.5151699999999999E-2</v>
      </c>
      <c r="E11">
        <v>0</v>
      </c>
      <c r="F11">
        <v>0</v>
      </c>
      <c r="G11">
        <v>2.5151699999999999E-2</v>
      </c>
      <c r="H11" t="s">
        <v>312</v>
      </c>
      <c r="I11" t="s">
        <v>52</v>
      </c>
      <c r="J11" t="s">
        <v>52</v>
      </c>
      <c r="K11" t="s">
        <v>312</v>
      </c>
      <c r="L11" s="1">
        <v>24453</v>
      </c>
      <c r="M11" t="s">
        <v>313</v>
      </c>
      <c r="N11">
        <v>1.3339072483115699</v>
      </c>
      <c r="O11" t="s">
        <v>54</v>
      </c>
      <c r="P11" t="s">
        <v>55</v>
      </c>
      <c r="Q11">
        <v>10000</v>
      </c>
      <c r="R11">
        <v>2.5000000000000001E-2</v>
      </c>
      <c r="S11" t="s">
        <v>56</v>
      </c>
      <c r="T11" t="s">
        <v>56</v>
      </c>
      <c r="U11" t="s">
        <v>57</v>
      </c>
      <c r="V11" t="s">
        <v>58</v>
      </c>
      <c r="W11">
        <v>3</v>
      </c>
      <c r="X11">
        <v>1</v>
      </c>
      <c r="Y11" t="s">
        <v>59</v>
      </c>
      <c r="Z11" t="s">
        <v>56</v>
      </c>
      <c r="AA11" t="s">
        <v>56</v>
      </c>
      <c r="AB11" t="s">
        <v>60</v>
      </c>
      <c r="AC11" t="s">
        <v>61</v>
      </c>
      <c r="AD11" t="s">
        <v>62</v>
      </c>
      <c r="AE11" t="s">
        <v>63</v>
      </c>
      <c r="AF11" t="s">
        <v>64</v>
      </c>
      <c r="AG11" t="s">
        <v>65</v>
      </c>
      <c r="AH11" t="s">
        <v>97</v>
      </c>
      <c r="AI11" t="s">
        <v>67</v>
      </c>
      <c r="AJ11" t="b">
        <v>0</v>
      </c>
      <c r="AK11" t="b">
        <v>1</v>
      </c>
      <c r="AL11">
        <v>1</v>
      </c>
      <c r="AM11">
        <v>1</v>
      </c>
      <c r="AN11" t="s">
        <v>77</v>
      </c>
      <c r="AO11" t="s">
        <v>78</v>
      </c>
      <c r="AP11">
        <v>0.5</v>
      </c>
      <c r="AQ11" t="b">
        <v>0</v>
      </c>
      <c r="AR11" t="s">
        <v>68</v>
      </c>
      <c r="AS11">
        <v>20000</v>
      </c>
      <c r="AT11">
        <v>2000</v>
      </c>
      <c r="AU11">
        <v>2402</v>
      </c>
      <c r="AV11" t="b">
        <v>1</v>
      </c>
      <c r="AW11" t="b">
        <v>0</v>
      </c>
      <c r="AX11" t="b">
        <v>1</v>
      </c>
      <c r="AY11" t="b">
        <v>1</v>
      </c>
      <c r="AZ11" t="s">
        <v>217</v>
      </c>
    </row>
    <row r="12" spans="1:52" x14ac:dyDescent="0.25">
      <c r="A12">
        <v>67</v>
      </c>
      <c r="B12" t="s">
        <v>314</v>
      </c>
      <c r="C12">
        <v>64564</v>
      </c>
      <c r="D12">
        <v>2.54968E-2</v>
      </c>
      <c r="E12">
        <v>0</v>
      </c>
      <c r="F12">
        <v>0</v>
      </c>
      <c r="G12">
        <v>2.54968E-2</v>
      </c>
      <c r="H12" t="s">
        <v>315</v>
      </c>
      <c r="I12" t="s">
        <v>52</v>
      </c>
      <c r="J12" t="s">
        <v>52</v>
      </c>
      <c r="K12" t="s">
        <v>315</v>
      </c>
      <c r="L12" s="1">
        <v>38479</v>
      </c>
      <c r="M12" t="s">
        <v>316</v>
      </c>
      <c r="N12">
        <v>2.00365673972501</v>
      </c>
      <c r="O12" t="s">
        <v>54</v>
      </c>
      <c r="P12" t="s">
        <v>55</v>
      </c>
      <c r="Q12">
        <v>1000</v>
      </c>
      <c r="R12">
        <v>2.5000000000000001E-2</v>
      </c>
      <c r="S12" t="s">
        <v>56</v>
      </c>
      <c r="T12" t="s">
        <v>56</v>
      </c>
      <c r="U12" t="s">
        <v>57</v>
      </c>
      <c r="V12" t="s">
        <v>58</v>
      </c>
      <c r="W12">
        <v>3</v>
      </c>
      <c r="X12">
        <v>1</v>
      </c>
      <c r="Y12" t="s">
        <v>59</v>
      </c>
      <c r="Z12" t="s">
        <v>56</v>
      </c>
      <c r="AA12" t="s">
        <v>56</v>
      </c>
      <c r="AB12" t="s">
        <v>60</v>
      </c>
      <c r="AC12" t="s">
        <v>61</v>
      </c>
      <c r="AD12" t="s">
        <v>62</v>
      </c>
      <c r="AE12" t="s">
        <v>63</v>
      </c>
      <c r="AF12" t="s">
        <v>64</v>
      </c>
      <c r="AG12" t="s">
        <v>65</v>
      </c>
      <c r="AH12" t="s">
        <v>97</v>
      </c>
      <c r="AI12" t="s">
        <v>67</v>
      </c>
      <c r="AJ12" t="b">
        <v>0</v>
      </c>
      <c r="AK12" t="b">
        <v>0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68</v>
      </c>
      <c r="AS12">
        <v>20000</v>
      </c>
      <c r="AT12">
        <v>2000</v>
      </c>
      <c r="AU12">
        <v>64564</v>
      </c>
      <c r="AV12" t="b">
        <v>1</v>
      </c>
      <c r="AW12" t="b">
        <v>0</v>
      </c>
      <c r="AX12" t="b">
        <v>1</v>
      </c>
      <c r="AY12" t="b">
        <v>0</v>
      </c>
      <c r="AZ12" t="s">
        <v>317</v>
      </c>
    </row>
    <row r="13" spans="1:52" x14ac:dyDescent="0.25">
      <c r="A13">
        <v>68</v>
      </c>
      <c r="B13" t="s">
        <v>318</v>
      </c>
      <c r="C13">
        <v>343</v>
      </c>
      <c r="D13">
        <v>2.5973550000000001E-2</v>
      </c>
      <c r="E13">
        <v>0</v>
      </c>
      <c r="F13">
        <v>0</v>
      </c>
      <c r="G13">
        <v>2.5973550000000001E-2</v>
      </c>
      <c r="H13" t="s">
        <v>319</v>
      </c>
      <c r="I13" t="s">
        <v>52</v>
      </c>
      <c r="J13" t="s">
        <v>52</v>
      </c>
      <c r="K13" t="s">
        <v>319</v>
      </c>
      <c r="L13" s="1">
        <v>33491</v>
      </c>
      <c r="M13" t="s">
        <v>320</v>
      </c>
      <c r="N13">
        <v>1.65424529307418</v>
      </c>
      <c r="O13" t="s">
        <v>54</v>
      </c>
      <c r="P13" t="s">
        <v>55</v>
      </c>
      <c r="Q13">
        <v>1000</v>
      </c>
      <c r="R13">
        <v>2.5000000000000001E-2</v>
      </c>
      <c r="S13" t="s">
        <v>56</v>
      </c>
      <c r="T13" t="s">
        <v>56</v>
      </c>
      <c r="U13" t="s">
        <v>57</v>
      </c>
      <c r="V13" t="s">
        <v>58</v>
      </c>
      <c r="W13">
        <v>3</v>
      </c>
      <c r="X13">
        <v>1</v>
      </c>
      <c r="Y13" t="s">
        <v>59</v>
      </c>
      <c r="Z13" t="s">
        <v>56</v>
      </c>
      <c r="AA13" t="s">
        <v>56</v>
      </c>
      <c r="AB13" t="s">
        <v>60</v>
      </c>
      <c r="AC13" t="s">
        <v>61</v>
      </c>
      <c r="AD13" t="s">
        <v>62</v>
      </c>
      <c r="AE13" t="s">
        <v>63</v>
      </c>
      <c r="AF13" t="s">
        <v>64</v>
      </c>
      <c r="AG13" t="s">
        <v>65</v>
      </c>
      <c r="AH13" t="s">
        <v>97</v>
      </c>
      <c r="AI13" t="s">
        <v>67</v>
      </c>
      <c r="AJ13" t="b">
        <v>0</v>
      </c>
      <c r="AK13" t="b">
        <v>1</v>
      </c>
      <c r="AL13">
        <v>1</v>
      </c>
      <c r="AM13">
        <v>1</v>
      </c>
      <c r="AN13" t="s">
        <v>77</v>
      </c>
      <c r="AO13" t="s">
        <v>78</v>
      </c>
      <c r="AP13">
        <v>0.75</v>
      </c>
      <c r="AQ13" t="b">
        <v>1</v>
      </c>
      <c r="AR13" t="s">
        <v>36</v>
      </c>
      <c r="AS13">
        <v>20000</v>
      </c>
      <c r="AT13">
        <v>2000</v>
      </c>
      <c r="AU13">
        <v>343</v>
      </c>
      <c r="AV13" t="b">
        <v>1</v>
      </c>
      <c r="AW13" t="b">
        <v>0</v>
      </c>
      <c r="AX13" t="b">
        <v>1</v>
      </c>
      <c r="AY13" t="b">
        <v>0</v>
      </c>
      <c r="AZ13" t="s">
        <v>317</v>
      </c>
    </row>
    <row r="14" spans="1:52" x14ac:dyDescent="0.25">
      <c r="A14">
        <v>69</v>
      </c>
      <c r="B14" t="s">
        <v>321</v>
      </c>
      <c r="C14">
        <v>4346</v>
      </c>
      <c r="D14">
        <v>2.46965E-2</v>
      </c>
      <c r="E14">
        <v>0</v>
      </c>
      <c r="F14">
        <v>0</v>
      </c>
      <c r="G14">
        <v>2.46965E-2</v>
      </c>
      <c r="H14" t="s">
        <v>322</v>
      </c>
      <c r="I14" t="s">
        <v>52</v>
      </c>
      <c r="J14" t="s">
        <v>52</v>
      </c>
      <c r="K14" t="s">
        <v>322</v>
      </c>
      <c r="L14" s="1">
        <v>31460</v>
      </c>
      <c r="M14" t="s">
        <v>323</v>
      </c>
      <c r="N14">
        <v>0.69112240049574103</v>
      </c>
      <c r="O14" t="s">
        <v>54</v>
      </c>
      <c r="P14" t="s">
        <v>55</v>
      </c>
      <c r="Q14">
        <v>1000</v>
      </c>
      <c r="R14">
        <v>2.5000000000000001E-2</v>
      </c>
      <c r="S14" t="s">
        <v>56</v>
      </c>
      <c r="T14" t="s">
        <v>56</v>
      </c>
      <c r="U14" t="s">
        <v>57</v>
      </c>
      <c r="V14" t="s">
        <v>58</v>
      </c>
      <c r="W14">
        <v>3</v>
      </c>
      <c r="X14">
        <v>1</v>
      </c>
      <c r="Y14" t="s">
        <v>59</v>
      </c>
      <c r="Z14" t="s">
        <v>56</v>
      </c>
      <c r="AA14" t="s">
        <v>56</v>
      </c>
      <c r="AB14" t="s">
        <v>60</v>
      </c>
      <c r="AC14" t="s">
        <v>61</v>
      </c>
      <c r="AD14" t="s">
        <v>62</v>
      </c>
      <c r="AE14" t="s">
        <v>63</v>
      </c>
      <c r="AF14" t="s">
        <v>64</v>
      </c>
      <c r="AG14" t="s">
        <v>65</v>
      </c>
      <c r="AH14" t="s">
        <v>97</v>
      </c>
      <c r="AI14" t="s">
        <v>67</v>
      </c>
      <c r="AJ14" t="b">
        <v>0</v>
      </c>
      <c r="AK14" t="b">
        <v>1</v>
      </c>
      <c r="AL14">
        <v>1</v>
      </c>
      <c r="AM14">
        <v>1</v>
      </c>
      <c r="AN14" t="s">
        <v>77</v>
      </c>
      <c r="AO14" t="s">
        <v>78</v>
      </c>
      <c r="AP14">
        <v>0.25</v>
      </c>
      <c r="AQ14" t="b">
        <v>1</v>
      </c>
      <c r="AR14" t="s">
        <v>36</v>
      </c>
      <c r="AS14">
        <v>20000</v>
      </c>
      <c r="AT14">
        <v>2000</v>
      </c>
      <c r="AU14">
        <v>4346</v>
      </c>
      <c r="AV14" t="b">
        <v>1</v>
      </c>
      <c r="AW14" t="b">
        <v>0</v>
      </c>
      <c r="AX14" t="b">
        <v>1</v>
      </c>
      <c r="AY14" t="b">
        <v>0</v>
      </c>
      <c r="AZ14" t="s">
        <v>317</v>
      </c>
    </row>
    <row r="15" spans="1:52" x14ac:dyDescent="0.25">
      <c r="A15">
        <v>70</v>
      </c>
      <c r="B15" t="s">
        <v>324</v>
      </c>
      <c r="C15">
        <v>2300</v>
      </c>
      <c r="D15">
        <v>2.6193850000000001E-2</v>
      </c>
      <c r="E15">
        <v>0</v>
      </c>
      <c r="F15">
        <v>0</v>
      </c>
      <c r="G15">
        <v>2.6193850000000001E-2</v>
      </c>
      <c r="H15" t="s">
        <v>325</v>
      </c>
      <c r="I15" t="s">
        <v>52</v>
      </c>
      <c r="J15" t="s">
        <v>52</v>
      </c>
      <c r="K15" t="s">
        <v>325</v>
      </c>
      <c r="L15" s="1">
        <v>33493</v>
      </c>
      <c r="M15" t="s">
        <v>326</v>
      </c>
      <c r="N15">
        <v>1.9920662163363601</v>
      </c>
      <c r="O15" t="s">
        <v>54</v>
      </c>
      <c r="P15" t="s">
        <v>55</v>
      </c>
      <c r="Q15">
        <v>1000</v>
      </c>
      <c r="R15">
        <v>2.5000000000000001E-2</v>
      </c>
      <c r="S15" t="s">
        <v>56</v>
      </c>
      <c r="T15" t="s">
        <v>56</v>
      </c>
      <c r="U15" t="s">
        <v>57</v>
      </c>
      <c r="V15" t="s">
        <v>58</v>
      </c>
      <c r="W15">
        <v>3</v>
      </c>
      <c r="X15">
        <v>1</v>
      </c>
      <c r="Y15" t="s">
        <v>59</v>
      </c>
      <c r="Z15" t="s">
        <v>56</v>
      </c>
      <c r="AA15" t="s">
        <v>56</v>
      </c>
      <c r="AB15" t="s">
        <v>60</v>
      </c>
      <c r="AC15" t="s">
        <v>61</v>
      </c>
      <c r="AD15" t="s">
        <v>62</v>
      </c>
      <c r="AE15" t="s">
        <v>63</v>
      </c>
      <c r="AF15" t="s">
        <v>64</v>
      </c>
      <c r="AG15" t="s">
        <v>65</v>
      </c>
      <c r="AH15" t="s">
        <v>97</v>
      </c>
      <c r="AI15" t="s">
        <v>67</v>
      </c>
      <c r="AJ15" t="b">
        <v>0</v>
      </c>
      <c r="AK15" t="b">
        <v>1</v>
      </c>
      <c r="AL15">
        <v>1</v>
      </c>
      <c r="AM15">
        <v>1</v>
      </c>
      <c r="AN15" t="s">
        <v>77</v>
      </c>
      <c r="AO15" t="s">
        <v>73</v>
      </c>
      <c r="AP15">
        <v>2</v>
      </c>
      <c r="AQ15" t="b">
        <v>1</v>
      </c>
      <c r="AR15" t="s">
        <v>36</v>
      </c>
      <c r="AS15">
        <v>20000</v>
      </c>
      <c r="AT15">
        <v>2000</v>
      </c>
      <c r="AU15">
        <v>2300</v>
      </c>
      <c r="AV15" t="b">
        <v>1</v>
      </c>
      <c r="AW15" t="b">
        <v>0</v>
      </c>
      <c r="AX15" t="b">
        <v>1</v>
      </c>
      <c r="AY15" t="b">
        <v>0</v>
      </c>
      <c r="AZ15" t="s">
        <v>317</v>
      </c>
    </row>
    <row r="16" spans="1:52" x14ac:dyDescent="0.25">
      <c r="A16">
        <v>71</v>
      </c>
      <c r="B16" t="s">
        <v>327</v>
      </c>
      <c r="C16">
        <v>2402</v>
      </c>
      <c r="D16">
        <v>2.6067799999999999E-2</v>
      </c>
      <c r="E16">
        <v>0</v>
      </c>
      <c r="F16">
        <v>0</v>
      </c>
      <c r="G16">
        <v>2.6067799999999999E-2</v>
      </c>
      <c r="H16" t="s">
        <v>328</v>
      </c>
      <c r="I16" t="s">
        <v>52</v>
      </c>
      <c r="J16" t="s">
        <v>52</v>
      </c>
      <c r="K16" t="s">
        <v>328</v>
      </c>
      <c r="L16" s="1">
        <v>33489</v>
      </c>
      <c r="M16" t="s">
        <v>329</v>
      </c>
      <c r="N16">
        <v>1.2638837911023</v>
      </c>
      <c r="O16" t="s">
        <v>54</v>
      </c>
      <c r="P16" t="s">
        <v>55</v>
      </c>
      <c r="Q16">
        <v>1000</v>
      </c>
      <c r="R16">
        <v>2.5000000000000001E-2</v>
      </c>
      <c r="S16" t="s">
        <v>56</v>
      </c>
      <c r="T16" t="s">
        <v>56</v>
      </c>
      <c r="U16" t="s">
        <v>57</v>
      </c>
      <c r="V16" t="s">
        <v>58</v>
      </c>
      <c r="W16">
        <v>3</v>
      </c>
      <c r="X16">
        <v>1</v>
      </c>
      <c r="Y16" t="s">
        <v>59</v>
      </c>
      <c r="Z16" t="s">
        <v>56</v>
      </c>
      <c r="AA16" t="s">
        <v>56</v>
      </c>
      <c r="AB16" t="s">
        <v>60</v>
      </c>
      <c r="AC16" t="s">
        <v>61</v>
      </c>
      <c r="AD16" t="s">
        <v>62</v>
      </c>
      <c r="AE16" t="s">
        <v>63</v>
      </c>
      <c r="AF16" t="s">
        <v>64</v>
      </c>
      <c r="AG16" t="s">
        <v>65</v>
      </c>
      <c r="AH16" t="s">
        <v>97</v>
      </c>
      <c r="AI16" t="s">
        <v>67</v>
      </c>
      <c r="AJ16" t="b">
        <v>0</v>
      </c>
      <c r="AK16" t="b">
        <v>1</v>
      </c>
      <c r="AL16">
        <v>1</v>
      </c>
      <c r="AM16">
        <v>1</v>
      </c>
      <c r="AN16" t="s">
        <v>77</v>
      </c>
      <c r="AO16" t="s">
        <v>78</v>
      </c>
      <c r="AP16">
        <v>0.5</v>
      </c>
      <c r="AQ16" t="b">
        <v>0</v>
      </c>
      <c r="AR16" t="s">
        <v>68</v>
      </c>
      <c r="AS16">
        <v>20000</v>
      </c>
      <c r="AT16">
        <v>2000</v>
      </c>
      <c r="AU16">
        <v>2402</v>
      </c>
      <c r="AV16" t="b">
        <v>1</v>
      </c>
      <c r="AW16" t="b">
        <v>0</v>
      </c>
      <c r="AX16" t="b">
        <v>1</v>
      </c>
      <c r="AY16" t="b">
        <v>0</v>
      </c>
      <c r="AZ16" t="s">
        <v>317</v>
      </c>
    </row>
    <row r="17" spans="1:52" x14ac:dyDescent="0.25">
      <c r="A17">
        <v>72</v>
      </c>
      <c r="B17" t="s">
        <v>330</v>
      </c>
      <c r="C17">
        <v>64564</v>
      </c>
      <c r="D17">
        <v>2.4516474999999999E-2</v>
      </c>
      <c r="E17">
        <v>0</v>
      </c>
      <c r="F17">
        <v>0</v>
      </c>
      <c r="G17">
        <v>2.4516474999999999E-2</v>
      </c>
      <c r="H17" t="s">
        <v>331</v>
      </c>
      <c r="I17" t="s">
        <v>52</v>
      </c>
      <c r="J17" t="s">
        <v>52</v>
      </c>
      <c r="K17" t="s">
        <v>331</v>
      </c>
      <c r="L17" s="1">
        <v>34466</v>
      </c>
      <c r="M17" t="s">
        <v>332</v>
      </c>
      <c r="N17">
        <v>1.9920019178257999</v>
      </c>
      <c r="O17" t="s">
        <v>54</v>
      </c>
      <c r="P17" t="s">
        <v>55</v>
      </c>
      <c r="Q17">
        <v>1000</v>
      </c>
      <c r="R17">
        <v>2.5000000000000001E-2</v>
      </c>
      <c r="S17" t="s">
        <v>56</v>
      </c>
      <c r="T17" t="s">
        <v>56</v>
      </c>
      <c r="U17" t="s">
        <v>57</v>
      </c>
      <c r="V17" t="s">
        <v>58</v>
      </c>
      <c r="W17">
        <v>3</v>
      </c>
      <c r="X17">
        <v>1</v>
      </c>
      <c r="Y17" t="s">
        <v>59</v>
      </c>
      <c r="Z17" t="s">
        <v>56</v>
      </c>
      <c r="AA17" t="s">
        <v>56</v>
      </c>
      <c r="AB17" t="s">
        <v>60</v>
      </c>
      <c r="AC17" t="s">
        <v>61</v>
      </c>
      <c r="AD17" t="s">
        <v>62</v>
      </c>
      <c r="AE17" t="s">
        <v>63</v>
      </c>
      <c r="AF17" t="s">
        <v>64</v>
      </c>
      <c r="AG17" t="s">
        <v>65</v>
      </c>
      <c r="AH17" t="s">
        <v>97</v>
      </c>
      <c r="AI17" t="s">
        <v>67</v>
      </c>
      <c r="AJ17" t="b">
        <v>0</v>
      </c>
      <c r="AK17" t="b">
        <v>0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68</v>
      </c>
      <c r="AS17">
        <v>20000</v>
      </c>
      <c r="AT17">
        <v>2000</v>
      </c>
      <c r="AU17">
        <v>64564</v>
      </c>
      <c r="AV17" t="b">
        <v>1</v>
      </c>
      <c r="AW17" t="b">
        <v>0</v>
      </c>
      <c r="AX17" t="b">
        <v>1</v>
      </c>
      <c r="AY17" t="b">
        <v>1</v>
      </c>
      <c r="AZ17" t="s">
        <v>317</v>
      </c>
    </row>
    <row r="18" spans="1:52" x14ac:dyDescent="0.25">
      <c r="A18">
        <v>73</v>
      </c>
      <c r="B18" t="s">
        <v>333</v>
      </c>
      <c r="C18">
        <v>343</v>
      </c>
      <c r="D18">
        <v>2.4937424999999999E-2</v>
      </c>
      <c r="E18">
        <v>0</v>
      </c>
      <c r="F18">
        <v>0</v>
      </c>
      <c r="G18">
        <v>2.4937424999999999E-2</v>
      </c>
      <c r="H18" t="s">
        <v>334</v>
      </c>
      <c r="I18" t="s">
        <v>52</v>
      </c>
      <c r="J18" t="s">
        <v>52</v>
      </c>
      <c r="K18" t="s">
        <v>334</v>
      </c>
      <c r="L18" s="1">
        <v>28476</v>
      </c>
      <c r="M18" t="s">
        <v>335</v>
      </c>
      <c r="N18">
        <v>1.69775827162796</v>
      </c>
      <c r="O18" t="s">
        <v>54</v>
      </c>
      <c r="P18" t="s">
        <v>55</v>
      </c>
      <c r="Q18">
        <v>1000</v>
      </c>
      <c r="R18">
        <v>2.5000000000000001E-2</v>
      </c>
      <c r="S18" t="s">
        <v>56</v>
      </c>
      <c r="T18" t="s">
        <v>56</v>
      </c>
      <c r="U18" t="s">
        <v>57</v>
      </c>
      <c r="V18" t="s">
        <v>58</v>
      </c>
      <c r="W18">
        <v>3</v>
      </c>
      <c r="X18">
        <v>1</v>
      </c>
      <c r="Y18" t="s">
        <v>59</v>
      </c>
      <c r="Z18" t="s">
        <v>56</v>
      </c>
      <c r="AA18" t="s">
        <v>56</v>
      </c>
      <c r="AB18" t="s">
        <v>60</v>
      </c>
      <c r="AC18" t="s">
        <v>61</v>
      </c>
      <c r="AD18" t="s">
        <v>62</v>
      </c>
      <c r="AE18" t="s">
        <v>63</v>
      </c>
      <c r="AF18" t="s">
        <v>64</v>
      </c>
      <c r="AG18" t="s">
        <v>65</v>
      </c>
      <c r="AH18" t="s">
        <v>97</v>
      </c>
      <c r="AI18" t="s">
        <v>67</v>
      </c>
      <c r="AJ18" t="b">
        <v>0</v>
      </c>
      <c r="AK18" t="b">
        <v>1</v>
      </c>
      <c r="AL18">
        <v>1</v>
      </c>
      <c r="AM18">
        <v>1</v>
      </c>
      <c r="AN18" t="s">
        <v>77</v>
      </c>
      <c r="AO18" t="s">
        <v>78</v>
      </c>
      <c r="AP18">
        <v>0.75</v>
      </c>
      <c r="AQ18" t="b">
        <v>1</v>
      </c>
      <c r="AR18" t="s">
        <v>36</v>
      </c>
      <c r="AS18">
        <v>20000</v>
      </c>
      <c r="AT18">
        <v>2000</v>
      </c>
      <c r="AU18">
        <v>343</v>
      </c>
      <c r="AV18" t="b">
        <v>1</v>
      </c>
      <c r="AW18" t="b">
        <v>0</v>
      </c>
      <c r="AX18" t="b">
        <v>1</v>
      </c>
      <c r="AY18" t="b">
        <v>1</v>
      </c>
      <c r="AZ18" t="s">
        <v>317</v>
      </c>
    </row>
    <row r="19" spans="1:52" x14ac:dyDescent="0.25">
      <c r="A19">
        <v>74</v>
      </c>
      <c r="B19" t="s">
        <v>336</v>
      </c>
      <c r="C19">
        <v>4346</v>
      </c>
      <c r="D19">
        <v>2.3796600000000001E-2</v>
      </c>
      <c r="E19">
        <v>0</v>
      </c>
      <c r="F19">
        <v>0</v>
      </c>
      <c r="G19">
        <v>2.3796600000000001E-2</v>
      </c>
      <c r="H19" t="s">
        <v>337</v>
      </c>
      <c r="I19" t="s">
        <v>52</v>
      </c>
      <c r="J19" t="s">
        <v>52</v>
      </c>
      <c r="K19" t="s">
        <v>337</v>
      </c>
      <c r="L19" s="1">
        <v>27446</v>
      </c>
      <c r="M19" t="s">
        <v>338</v>
      </c>
      <c r="N19">
        <v>0.701999331712723</v>
      </c>
      <c r="O19" t="s">
        <v>54</v>
      </c>
      <c r="P19" t="s">
        <v>55</v>
      </c>
      <c r="Q19">
        <v>1000</v>
      </c>
      <c r="R19">
        <v>2.5000000000000001E-2</v>
      </c>
      <c r="S19" t="s">
        <v>56</v>
      </c>
      <c r="T19" t="s">
        <v>56</v>
      </c>
      <c r="U19" t="s">
        <v>57</v>
      </c>
      <c r="V19" t="s">
        <v>58</v>
      </c>
      <c r="W19">
        <v>3</v>
      </c>
      <c r="X19">
        <v>1</v>
      </c>
      <c r="Y19" t="s">
        <v>59</v>
      </c>
      <c r="Z19" t="s">
        <v>56</v>
      </c>
      <c r="AA19" t="s">
        <v>56</v>
      </c>
      <c r="AB19" t="s">
        <v>60</v>
      </c>
      <c r="AC19" t="s">
        <v>61</v>
      </c>
      <c r="AD19" t="s">
        <v>62</v>
      </c>
      <c r="AE19" t="s">
        <v>63</v>
      </c>
      <c r="AF19" t="s">
        <v>64</v>
      </c>
      <c r="AG19" t="s">
        <v>65</v>
      </c>
      <c r="AH19" t="s">
        <v>97</v>
      </c>
      <c r="AI19" t="s">
        <v>67</v>
      </c>
      <c r="AJ19" t="b">
        <v>0</v>
      </c>
      <c r="AK19" t="b">
        <v>1</v>
      </c>
      <c r="AL19">
        <v>1</v>
      </c>
      <c r="AM19">
        <v>1</v>
      </c>
      <c r="AN19" t="s">
        <v>77</v>
      </c>
      <c r="AO19" t="s">
        <v>78</v>
      </c>
      <c r="AP19">
        <v>0.25</v>
      </c>
      <c r="AQ19" t="b">
        <v>1</v>
      </c>
      <c r="AR19" t="s">
        <v>36</v>
      </c>
      <c r="AS19">
        <v>20000</v>
      </c>
      <c r="AT19">
        <v>2000</v>
      </c>
      <c r="AU19">
        <v>4346</v>
      </c>
      <c r="AV19" t="b">
        <v>1</v>
      </c>
      <c r="AW19" t="b">
        <v>0</v>
      </c>
      <c r="AX19" t="b">
        <v>1</v>
      </c>
      <c r="AY19" t="b">
        <v>1</v>
      </c>
      <c r="AZ19" t="s">
        <v>317</v>
      </c>
    </row>
    <row r="20" spans="1:52" x14ac:dyDescent="0.25">
      <c r="A20">
        <v>75</v>
      </c>
      <c r="B20" t="s">
        <v>339</v>
      </c>
      <c r="C20">
        <v>2300</v>
      </c>
      <c r="D20">
        <v>2.5166424999999999E-2</v>
      </c>
      <c r="E20">
        <v>0</v>
      </c>
      <c r="F20">
        <v>0</v>
      </c>
      <c r="G20">
        <v>2.5166424999999999E-2</v>
      </c>
      <c r="H20" t="s">
        <v>340</v>
      </c>
      <c r="I20" t="s">
        <v>52</v>
      </c>
      <c r="J20" t="s">
        <v>52</v>
      </c>
      <c r="K20" t="s">
        <v>340</v>
      </c>
      <c r="L20" s="1">
        <v>29477</v>
      </c>
      <c r="M20" t="s">
        <v>341</v>
      </c>
      <c r="N20">
        <v>1.9568133172724</v>
      </c>
      <c r="O20" t="s">
        <v>54</v>
      </c>
      <c r="P20" t="s">
        <v>55</v>
      </c>
      <c r="Q20">
        <v>1000</v>
      </c>
      <c r="R20">
        <v>2.5000000000000001E-2</v>
      </c>
      <c r="S20" t="s">
        <v>56</v>
      </c>
      <c r="T20" t="s">
        <v>56</v>
      </c>
      <c r="U20" t="s">
        <v>57</v>
      </c>
      <c r="V20" t="s">
        <v>58</v>
      </c>
      <c r="W20">
        <v>3</v>
      </c>
      <c r="X20">
        <v>1</v>
      </c>
      <c r="Y20" t="s">
        <v>59</v>
      </c>
      <c r="Z20" t="s">
        <v>56</v>
      </c>
      <c r="AA20" t="s">
        <v>56</v>
      </c>
      <c r="AB20" t="s">
        <v>60</v>
      </c>
      <c r="AC20" t="s">
        <v>61</v>
      </c>
      <c r="AD20" t="s">
        <v>62</v>
      </c>
      <c r="AE20" t="s">
        <v>63</v>
      </c>
      <c r="AF20" t="s">
        <v>64</v>
      </c>
      <c r="AG20" t="s">
        <v>65</v>
      </c>
      <c r="AH20" t="s">
        <v>97</v>
      </c>
      <c r="AI20" t="s">
        <v>67</v>
      </c>
      <c r="AJ20" t="b">
        <v>0</v>
      </c>
      <c r="AK20" t="b">
        <v>1</v>
      </c>
      <c r="AL20">
        <v>1</v>
      </c>
      <c r="AM20">
        <v>1</v>
      </c>
      <c r="AN20" t="s">
        <v>77</v>
      </c>
      <c r="AO20" t="s">
        <v>73</v>
      </c>
      <c r="AP20">
        <v>2</v>
      </c>
      <c r="AQ20" t="b">
        <v>1</v>
      </c>
      <c r="AR20" t="s">
        <v>36</v>
      </c>
      <c r="AS20">
        <v>20000</v>
      </c>
      <c r="AT20">
        <v>2000</v>
      </c>
      <c r="AU20">
        <v>2300</v>
      </c>
      <c r="AV20" t="b">
        <v>1</v>
      </c>
      <c r="AW20" t="b">
        <v>0</v>
      </c>
      <c r="AX20" t="b">
        <v>1</v>
      </c>
      <c r="AY20" t="b">
        <v>1</v>
      </c>
      <c r="AZ20" t="s">
        <v>317</v>
      </c>
    </row>
    <row r="21" spans="1:52" x14ac:dyDescent="0.25">
      <c r="A21">
        <v>76</v>
      </c>
      <c r="B21" t="s">
        <v>342</v>
      </c>
      <c r="C21">
        <v>2402</v>
      </c>
      <c r="D21">
        <v>2.5045524999999999E-2</v>
      </c>
      <c r="E21">
        <v>0</v>
      </c>
      <c r="F21">
        <v>0</v>
      </c>
      <c r="G21">
        <v>2.5045524999999999E-2</v>
      </c>
      <c r="H21" t="s">
        <v>343</v>
      </c>
      <c r="I21" t="s">
        <v>52</v>
      </c>
      <c r="J21" t="s">
        <v>52</v>
      </c>
      <c r="K21" t="s">
        <v>343</v>
      </c>
      <c r="L21" s="1">
        <v>29474</v>
      </c>
      <c r="M21" t="s">
        <v>344</v>
      </c>
      <c r="N21">
        <v>1.2638709744479899</v>
      </c>
      <c r="O21" t="s">
        <v>54</v>
      </c>
      <c r="P21" t="s">
        <v>55</v>
      </c>
      <c r="Q21">
        <v>1000</v>
      </c>
      <c r="R21">
        <v>2.5000000000000001E-2</v>
      </c>
      <c r="S21" t="s">
        <v>56</v>
      </c>
      <c r="T21" t="s">
        <v>56</v>
      </c>
      <c r="U21" t="s">
        <v>57</v>
      </c>
      <c r="V21" t="s">
        <v>58</v>
      </c>
      <c r="W21">
        <v>3</v>
      </c>
      <c r="X21">
        <v>1</v>
      </c>
      <c r="Y21" t="s">
        <v>59</v>
      </c>
      <c r="Z21" t="s">
        <v>56</v>
      </c>
      <c r="AA21" t="s">
        <v>56</v>
      </c>
      <c r="AB21" t="s">
        <v>60</v>
      </c>
      <c r="AC21" t="s">
        <v>61</v>
      </c>
      <c r="AD21" t="s">
        <v>62</v>
      </c>
      <c r="AE21" t="s">
        <v>63</v>
      </c>
      <c r="AF21" t="s">
        <v>64</v>
      </c>
      <c r="AG21" t="s">
        <v>65</v>
      </c>
      <c r="AH21" t="s">
        <v>97</v>
      </c>
      <c r="AI21" t="s">
        <v>67</v>
      </c>
      <c r="AJ21" t="b">
        <v>0</v>
      </c>
      <c r="AK21" t="b">
        <v>1</v>
      </c>
      <c r="AL21">
        <v>1</v>
      </c>
      <c r="AM21">
        <v>1</v>
      </c>
      <c r="AN21" t="s">
        <v>77</v>
      </c>
      <c r="AO21" t="s">
        <v>78</v>
      </c>
      <c r="AP21">
        <v>0.5</v>
      </c>
      <c r="AQ21" t="b">
        <v>0</v>
      </c>
      <c r="AR21" t="s">
        <v>68</v>
      </c>
      <c r="AS21">
        <v>20000</v>
      </c>
      <c r="AT21">
        <v>2000</v>
      </c>
      <c r="AU21">
        <v>2402</v>
      </c>
      <c r="AV21" t="b">
        <v>1</v>
      </c>
      <c r="AW21" t="b">
        <v>0</v>
      </c>
      <c r="AX21" t="b">
        <v>1</v>
      </c>
      <c r="AY21" t="b">
        <v>1</v>
      </c>
      <c r="AZ21" t="s">
        <v>317</v>
      </c>
    </row>
    <row r="22" spans="1:52" x14ac:dyDescent="0.25">
      <c r="A22">
        <v>77</v>
      </c>
      <c r="B22" t="s">
        <v>345</v>
      </c>
      <c r="C22">
        <v>64564</v>
      </c>
      <c r="D22">
        <v>2.4440125E-2</v>
      </c>
      <c r="E22">
        <v>0</v>
      </c>
      <c r="F22">
        <v>0</v>
      </c>
      <c r="G22">
        <v>2.4440125E-2</v>
      </c>
      <c r="H22" t="s">
        <v>346</v>
      </c>
      <c r="I22" t="s">
        <v>52</v>
      </c>
      <c r="J22" t="s">
        <v>52</v>
      </c>
      <c r="K22" t="s">
        <v>346</v>
      </c>
      <c r="L22" s="1">
        <v>33433</v>
      </c>
      <c r="M22" t="s">
        <v>347</v>
      </c>
      <c r="N22">
        <v>2.0589073380496798</v>
      </c>
      <c r="O22" t="s">
        <v>54</v>
      </c>
      <c r="P22" t="s">
        <v>55</v>
      </c>
      <c r="Q22">
        <v>3000</v>
      </c>
      <c r="R22">
        <v>2.5000000000000001E-2</v>
      </c>
      <c r="S22" t="s">
        <v>56</v>
      </c>
      <c r="T22" t="s">
        <v>56</v>
      </c>
      <c r="U22" t="s">
        <v>57</v>
      </c>
      <c r="V22" t="s">
        <v>58</v>
      </c>
      <c r="W22">
        <v>3</v>
      </c>
      <c r="X22">
        <v>1</v>
      </c>
      <c r="Y22" t="s">
        <v>59</v>
      </c>
      <c r="Z22" t="s">
        <v>56</v>
      </c>
      <c r="AA22" t="s">
        <v>56</v>
      </c>
      <c r="AB22" t="s">
        <v>60</v>
      </c>
      <c r="AC22" t="s">
        <v>61</v>
      </c>
      <c r="AD22" t="s">
        <v>62</v>
      </c>
      <c r="AE22" t="s">
        <v>63</v>
      </c>
      <c r="AF22" t="s">
        <v>64</v>
      </c>
      <c r="AG22" t="s">
        <v>65</v>
      </c>
      <c r="AH22" t="s">
        <v>97</v>
      </c>
      <c r="AI22" t="s">
        <v>67</v>
      </c>
      <c r="AJ22" t="b">
        <v>0</v>
      </c>
      <c r="AK22" t="b">
        <v>0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68</v>
      </c>
      <c r="AS22">
        <v>20000</v>
      </c>
      <c r="AT22">
        <v>2000</v>
      </c>
      <c r="AU22">
        <v>64564</v>
      </c>
      <c r="AV22" t="b">
        <v>1</v>
      </c>
      <c r="AW22" t="b">
        <v>0</v>
      </c>
      <c r="AX22" t="b">
        <v>1</v>
      </c>
      <c r="AY22" t="b">
        <v>0</v>
      </c>
      <c r="AZ22" t="s">
        <v>244</v>
      </c>
    </row>
    <row r="23" spans="1:52" x14ac:dyDescent="0.25">
      <c r="A23">
        <v>78</v>
      </c>
      <c r="B23" t="s">
        <v>348</v>
      </c>
      <c r="C23">
        <v>343</v>
      </c>
      <c r="D23">
        <v>2.6058375000000002E-2</v>
      </c>
      <c r="E23">
        <v>0</v>
      </c>
      <c r="F23">
        <v>0</v>
      </c>
      <c r="G23">
        <v>2.6058375000000002E-2</v>
      </c>
      <c r="H23" t="s">
        <v>349</v>
      </c>
      <c r="I23" t="s">
        <v>52</v>
      </c>
      <c r="J23" t="s">
        <v>52</v>
      </c>
      <c r="K23" t="s">
        <v>349</v>
      </c>
      <c r="L23" s="1">
        <v>34446</v>
      </c>
      <c r="M23" t="s">
        <v>350</v>
      </c>
      <c r="N23">
        <v>1.6671249085664701</v>
      </c>
      <c r="O23" t="s">
        <v>54</v>
      </c>
      <c r="P23" t="s">
        <v>55</v>
      </c>
      <c r="Q23">
        <v>3000</v>
      </c>
      <c r="R23">
        <v>2.5000000000000001E-2</v>
      </c>
      <c r="S23" t="s">
        <v>56</v>
      </c>
      <c r="T23" t="s">
        <v>56</v>
      </c>
      <c r="U23" t="s">
        <v>57</v>
      </c>
      <c r="V23" t="s">
        <v>58</v>
      </c>
      <c r="W23">
        <v>3</v>
      </c>
      <c r="X23">
        <v>1</v>
      </c>
      <c r="Y23" t="s">
        <v>59</v>
      </c>
      <c r="Z23" t="s">
        <v>56</v>
      </c>
      <c r="AA23" t="s">
        <v>56</v>
      </c>
      <c r="AB23" t="s">
        <v>60</v>
      </c>
      <c r="AC23" t="s">
        <v>61</v>
      </c>
      <c r="AD23" t="s">
        <v>62</v>
      </c>
      <c r="AE23" t="s">
        <v>63</v>
      </c>
      <c r="AF23" t="s">
        <v>64</v>
      </c>
      <c r="AG23" t="s">
        <v>65</v>
      </c>
      <c r="AH23" t="s">
        <v>97</v>
      </c>
      <c r="AI23" t="s">
        <v>67</v>
      </c>
      <c r="AJ23" t="b">
        <v>0</v>
      </c>
      <c r="AK23" t="b">
        <v>1</v>
      </c>
      <c r="AL23">
        <v>1</v>
      </c>
      <c r="AM23">
        <v>1</v>
      </c>
      <c r="AN23" t="s">
        <v>77</v>
      </c>
      <c r="AO23" t="s">
        <v>78</v>
      </c>
      <c r="AP23">
        <v>0.75</v>
      </c>
      <c r="AQ23" t="b">
        <v>1</v>
      </c>
      <c r="AR23" t="s">
        <v>36</v>
      </c>
      <c r="AS23">
        <v>20000</v>
      </c>
      <c r="AT23">
        <v>2000</v>
      </c>
      <c r="AU23">
        <v>343</v>
      </c>
      <c r="AV23" t="b">
        <v>1</v>
      </c>
      <c r="AW23" t="b">
        <v>0</v>
      </c>
      <c r="AX23" t="b">
        <v>1</v>
      </c>
      <c r="AY23" t="b">
        <v>0</v>
      </c>
      <c r="AZ23" t="s">
        <v>244</v>
      </c>
    </row>
    <row r="24" spans="1:52" x14ac:dyDescent="0.25">
      <c r="A24">
        <v>79</v>
      </c>
      <c r="B24" t="s">
        <v>351</v>
      </c>
      <c r="C24">
        <v>4346</v>
      </c>
      <c r="D24">
        <v>2.4750125000000001E-2</v>
      </c>
      <c r="E24">
        <v>0</v>
      </c>
      <c r="F24">
        <v>0</v>
      </c>
      <c r="G24">
        <v>2.4750125000000001E-2</v>
      </c>
      <c r="H24" t="s">
        <v>352</v>
      </c>
      <c r="I24" t="s">
        <v>52</v>
      </c>
      <c r="J24" t="s">
        <v>52</v>
      </c>
      <c r="K24" t="s">
        <v>352</v>
      </c>
      <c r="L24" s="1">
        <v>31437</v>
      </c>
      <c r="M24" t="s">
        <v>353</v>
      </c>
      <c r="N24">
        <v>0.70380943026807596</v>
      </c>
      <c r="O24" t="s">
        <v>54</v>
      </c>
      <c r="P24" t="s">
        <v>55</v>
      </c>
      <c r="Q24">
        <v>3000</v>
      </c>
      <c r="R24">
        <v>2.5000000000000001E-2</v>
      </c>
      <c r="S24" t="s">
        <v>56</v>
      </c>
      <c r="T24" t="s">
        <v>56</v>
      </c>
      <c r="U24" t="s">
        <v>57</v>
      </c>
      <c r="V24" t="s">
        <v>58</v>
      </c>
      <c r="W24">
        <v>3</v>
      </c>
      <c r="X24">
        <v>1</v>
      </c>
      <c r="Y24" t="s">
        <v>59</v>
      </c>
      <c r="Z24" t="s">
        <v>56</v>
      </c>
      <c r="AA24" t="s">
        <v>56</v>
      </c>
      <c r="AB24" t="s">
        <v>60</v>
      </c>
      <c r="AC24" t="s">
        <v>61</v>
      </c>
      <c r="AD24" t="s">
        <v>62</v>
      </c>
      <c r="AE24" t="s">
        <v>63</v>
      </c>
      <c r="AF24" t="s">
        <v>64</v>
      </c>
      <c r="AG24" t="s">
        <v>65</v>
      </c>
      <c r="AH24" t="s">
        <v>97</v>
      </c>
      <c r="AI24" t="s">
        <v>67</v>
      </c>
      <c r="AJ24" t="b">
        <v>0</v>
      </c>
      <c r="AK24" t="b">
        <v>1</v>
      </c>
      <c r="AL24">
        <v>1</v>
      </c>
      <c r="AM24">
        <v>1</v>
      </c>
      <c r="AN24" t="s">
        <v>77</v>
      </c>
      <c r="AO24" t="s">
        <v>78</v>
      </c>
      <c r="AP24">
        <v>0.25</v>
      </c>
      <c r="AQ24" t="b">
        <v>1</v>
      </c>
      <c r="AR24" t="s">
        <v>36</v>
      </c>
      <c r="AS24">
        <v>20000</v>
      </c>
      <c r="AT24">
        <v>2000</v>
      </c>
      <c r="AU24">
        <v>4346</v>
      </c>
      <c r="AV24" t="b">
        <v>1</v>
      </c>
      <c r="AW24" t="b">
        <v>0</v>
      </c>
      <c r="AX24" t="b">
        <v>1</v>
      </c>
      <c r="AY24" t="b">
        <v>0</v>
      </c>
      <c r="AZ24" t="s">
        <v>244</v>
      </c>
    </row>
    <row r="25" spans="1:52" x14ac:dyDescent="0.25">
      <c r="A25">
        <v>80</v>
      </c>
      <c r="B25" t="s">
        <v>354</v>
      </c>
      <c r="C25">
        <v>2300</v>
      </c>
      <c r="D25">
        <v>2.602645E-2</v>
      </c>
      <c r="E25">
        <v>0</v>
      </c>
      <c r="F25">
        <v>0</v>
      </c>
      <c r="G25">
        <v>2.602645E-2</v>
      </c>
      <c r="H25" t="s">
        <v>355</v>
      </c>
      <c r="I25" t="s">
        <v>52</v>
      </c>
      <c r="J25" t="s">
        <v>52</v>
      </c>
      <c r="K25" t="s">
        <v>355</v>
      </c>
      <c r="L25" s="1">
        <v>28459</v>
      </c>
      <c r="M25" t="s">
        <v>356</v>
      </c>
      <c r="N25">
        <v>2.01785904751884</v>
      </c>
      <c r="O25" t="s">
        <v>54</v>
      </c>
      <c r="P25" t="s">
        <v>55</v>
      </c>
      <c r="Q25">
        <v>3000</v>
      </c>
      <c r="R25">
        <v>2.5000000000000001E-2</v>
      </c>
      <c r="S25" t="s">
        <v>56</v>
      </c>
      <c r="T25" t="s">
        <v>56</v>
      </c>
      <c r="U25" t="s">
        <v>57</v>
      </c>
      <c r="V25" t="s">
        <v>58</v>
      </c>
      <c r="W25">
        <v>3</v>
      </c>
      <c r="X25">
        <v>1</v>
      </c>
      <c r="Y25" t="s">
        <v>59</v>
      </c>
      <c r="Z25" t="s">
        <v>56</v>
      </c>
      <c r="AA25" t="s">
        <v>56</v>
      </c>
      <c r="AB25" t="s">
        <v>60</v>
      </c>
      <c r="AC25" t="s">
        <v>61</v>
      </c>
      <c r="AD25" t="s">
        <v>62</v>
      </c>
      <c r="AE25" t="s">
        <v>63</v>
      </c>
      <c r="AF25" t="s">
        <v>64</v>
      </c>
      <c r="AG25" t="s">
        <v>65</v>
      </c>
      <c r="AH25" t="s">
        <v>97</v>
      </c>
      <c r="AI25" t="s">
        <v>67</v>
      </c>
      <c r="AJ25" t="b">
        <v>0</v>
      </c>
      <c r="AK25" t="b">
        <v>1</v>
      </c>
      <c r="AL25">
        <v>1</v>
      </c>
      <c r="AM25">
        <v>1</v>
      </c>
      <c r="AN25" t="s">
        <v>77</v>
      </c>
      <c r="AO25" t="s">
        <v>73</v>
      </c>
      <c r="AP25">
        <v>2</v>
      </c>
      <c r="AQ25" t="b">
        <v>1</v>
      </c>
      <c r="AR25" t="s">
        <v>36</v>
      </c>
      <c r="AS25">
        <v>20000</v>
      </c>
      <c r="AT25">
        <v>2000</v>
      </c>
      <c r="AU25">
        <v>2300</v>
      </c>
      <c r="AV25" t="b">
        <v>1</v>
      </c>
      <c r="AW25" t="b">
        <v>0</v>
      </c>
      <c r="AX25" t="b">
        <v>1</v>
      </c>
      <c r="AY25" t="b">
        <v>0</v>
      </c>
      <c r="AZ25" t="s">
        <v>244</v>
      </c>
    </row>
    <row r="26" spans="1:52" x14ac:dyDescent="0.25">
      <c r="A26">
        <v>81</v>
      </c>
      <c r="B26" t="s">
        <v>357</v>
      </c>
      <c r="C26">
        <v>2402</v>
      </c>
      <c r="D26">
        <v>2.5948224999999998E-2</v>
      </c>
      <c r="E26">
        <v>0</v>
      </c>
      <c r="F26">
        <v>0</v>
      </c>
      <c r="G26">
        <v>2.5948224999999998E-2</v>
      </c>
      <c r="H26" t="s">
        <v>358</v>
      </c>
      <c r="I26" t="s">
        <v>52</v>
      </c>
      <c r="J26" t="s">
        <v>52</v>
      </c>
      <c r="K26" t="s">
        <v>358</v>
      </c>
      <c r="L26" s="1">
        <v>28460</v>
      </c>
      <c r="M26" t="s">
        <v>359</v>
      </c>
      <c r="N26">
        <v>1.2682143010695801</v>
      </c>
      <c r="O26" t="s">
        <v>54</v>
      </c>
      <c r="P26" t="s">
        <v>55</v>
      </c>
      <c r="Q26">
        <v>3000</v>
      </c>
      <c r="R26">
        <v>2.5000000000000001E-2</v>
      </c>
      <c r="S26" t="s">
        <v>56</v>
      </c>
      <c r="T26" t="s">
        <v>56</v>
      </c>
      <c r="U26" t="s">
        <v>57</v>
      </c>
      <c r="V26" t="s">
        <v>58</v>
      </c>
      <c r="W26">
        <v>3</v>
      </c>
      <c r="X26">
        <v>1</v>
      </c>
      <c r="Y26" t="s">
        <v>59</v>
      </c>
      <c r="Z26" t="s">
        <v>56</v>
      </c>
      <c r="AA26" t="s">
        <v>56</v>
      </c>
      <c r="AB26" t="s">
        <v>60</v>
      </c>
      <c r="AC26" t="s">
        <v>61</v>
      </c>
      <c r="AD26" t="s">
        <v>62</v>
      </c>
      <c r="AE26" t="s">
        <v>63</v>
      </c>
      <c r="AF26" t="s">
        <v>64</v>
      </c>
      <c r="AG26" t="s">
        <v>65</v>
      </c>
      <c r="AH26" t="s">
        <v>97</v>
      </c>
      <c r="AI26" t="s">
        <v>67</v>
      </c>
      <c r="AJ26" t="b">
        <v>0</v>
      </c>
      <c r="AK26" t="b">
        <v>1</v>
      </c>
      <c r="AL26">
        <v>1</v>
      </c>
      <c r="AM26">
        <v>1</v>
      </c>
      <c r="AN26" t="s">
        <v>77</v>
      </c>
      <c r="AO26" t="s">
        <v>78</v>
      </c>
      <c r="AP26">
        <v>0.5</v>
      </c>
      <c r="AQ26" t="b">
        <v>0</v>
      </c>
      <c r="AR26" t="s">
        <v>68</v>
      </c>
      <c r="AS26">
        <v>20000</v>
      </c>
      <c r="AT26">
        <v>2000</v>
      </c>
      <c r="AU26">
        <v>2402</v>
      </c>
      <c r="AV26" t="b">
        <v>1</v>
      </c>
      <c r="AW26" t="b">
        <v>0</v>
      </c>
      <c r="AX26" t="b">
        <v>1</v>
      </c>
      <c r="AY26" t="b">
        <v>0</v>
      </c>
      <c r="AZ26" t="s">
        <v>244</v>
      </c>
    </row>
    <row r="27" spans="1:52" x14ac:dyDescent="0.25">
      <c r="A27">
        <v>82</v>
      </c>
      <c r="B27" t="s">
        <v>360</v>
      </c>
      <c r="C27">
        <v>64564</v>
      </c>
      <c r="D27">
        <v>2.429715E-2</v>
      </c>
      <c r="E27">
        <v>0</v>
      </c>
      <c r="F27">
        <v>0</v>
      </c>
      <c r="G27">
        <v>2.429715E-2</v>
      </c>
      <c r="H27" t="s">
        <v>361</v>
      </c>
      <c r="I27" t="s">
        <v>52</v>
      </c>
      <c r="J27" t="s">
        <v>52</v>
      </c>
      <c r="K27" t="s">
        <v>361</v>
      </c>
      <c r="L27" s="1">
        <v>33429</v>
      </c>
      <c r="M27" t="s">
        <v>362</v>
      </c>
      <c r="N27">
        <v>2.07239866442151</v>
      </c>
      <c r="O27" t="s">
        <v>54</v>
      </c>
      <c r="P27" t="s">
        <v>55</v>
      </c>
      <c r="Q27">
        <v>3000</v>
      </c>
      <c r="R27">
        <v>2.5000000000000001E-2</v>
      </c>
      <c r="S27" t="s">
        <v>56</v>
      </c>
      <c r="T27" t="s">
        <v>56</v>
      </c>
      <c r="U27" t="s">
        <v>57</v>
      </c>
      <c r="V27" t="s">
        <v>58</v>
      </c>
      <c r="W27">
        <v>3</v>
      </c>
      <c r="X27">
        <v>1</v>
      </c>
      <c r="Y27" t="s">
        <v>59</v>
      </c>
      <c r="Z27" t="s">
        <v>56</v>
      </c>
      <c r="AA27" t="s">
        <v>56</v>
      </c>
      <c r="AB27" t="s">
        <v>60</v>
      </c>
      <c r="AC27" t="s">
        <v>61</v>
      </c>
      <c r="AD27" t="s">
        <v>62</v>
      </c>
      <c r="AE27" t="s">
        <v>63</v>
      </c>
      <c r="AF27" t="s">
        <v>64</v>
      </c>
      <c r="AG27" t="s">
        <v>65</v>
      </c>
      <c r="AH27" t="s">
        <v>97</v>
      </c>
      <c r="AI27" t="s">
        <v>67</v>
      </c>
      <c r="AJ27" t="b">
        <v>0</v>
      </c>
      <c r="AK27" t="b">
        <v>0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68</v>
      </c>
      <c r="AS27">
        <v>20000</v>
      </c>
      <c r="AT27">
        <v>2000</v>
      </c>
      <c r="AU27">
        <v>64564</v>
      </c>
      <c r="AV27" t="b">
        <v>1</v>
      </c>
      <c r="AW27" t="b">
        <v>0</v>
      </c>
      <c r="AX27" t="b">
        <v>1</v>
      </c>
      <c r="AY27" t="b">
        <v>1</v>
      </c>
      <c r="AZ27" t="s">
        <v>244</v>
      </c>
    </row>
    <row r="28" spans="1:52" x14ac:dyDescent="0.25">
      <c r="A28">
        <v>83</v>
      </c>
      <c r="B28" t="s">
        <v>363</v>
      </c>
      <c r="C28">
        <v>343</v>
      </c>
      <c r="D28">
        <v>2.5912825E-2</v>
      </c>
      <c r="E28">
        <v>0</v>
      </c>
      <c r="F28">
        <v>0</v>
      </c>
      <c r="G28">
        <v>2.5912825E-2</v>
      </c>
      <c r="H28" t="s">
        <v>364</v>
      </c>
      <c r="I28" t="s">
        <v>52</v>
      </c>
      <c r="J28" t="s">
        <v>52</v>
      </c>
      <c r="K28" t="s">
        <v>364</v>
      </c>
      <c r="L28" s="1">
        <v>34443</v>
      </c>
      <c r="M28" t="s">
        <v>365</v>
      </c>
      <c r="N28">
        <v>1.6704443005720799</v>
      </c>
      <c r="O28" t="s">
        <v>54</v>
      </c>
      <c r="P28" t="s">
        <v>55</v>
      </c>
      <c r="Q28">
        <v>3000</v>
      </c>
      <c r="R28">
        <v>2.5000000000000001E-2</v>
      </c>
      <c r="S28" t="s">
        <v>56</v>
      </c>
      <c r="T28" t="s">
        <v>56</v>
      </c>
      <c r="U28" t="s">
        <v>57</v>
      </c>
      <c r="V28" t="s">
        <v>58</v>
      </c>
      <c r="W28">
        <v>3</v>
      </c>
      <c r="X28">
        <v>1</v>
      </c>
      <c r="Y28" t="s">
        <v>59</v>
      </c>
      <c r="Z28" t="s">
        <v>56</v>
      </c>
      <c r="AA28" t="s">
        <v>56</v>
      </c>
      <c r="AB28" t="s">
        <v>60</v>
      </c>
      <c r="AC28" t="s">
        <v>61</v>
      </c>
      <c r="AD28" t="s">
        <v>62</v>
      </c>
      <c r="AE28" t="s">
        <v>63</v>
      </c>
      <c r="AF28" t="s">
        <v>64</v>
      </c>
      <c r="AG28" t="s">
        <v>65</v>
      </c>
      <c r="AH28" t="s">
        <v>97</v>
      </c>
      <c r="AI28" t="s">
        <v>67</v>
      </c>
      <c r="AJ28" t="b">
        <v>0</v>
      </c>
      <c r="AK28" t="b">
        <v>1</v>
      </c>
      <c r="AL28">
        <v>1</v>
      </c>
      <c r="AM28">
        <v>1</v>
      </c>
      <c r="AN28" t="s">
        <v>77</v>
      </c>
      <c r="AO28" t="s">
        <v>78</v>
      </c>
      <c r="AP28">
        <v>0.75</v>
      </c>
      <c r="AQ28" t="b">
        <v>1</v>
      </c>
      <c r="AR28" t="s">
        <v>36</v>
      </c>
      <c r="AS28">
        <v>20000</v>
      </c>
      <c r="AT28">
        <v>2000</v>
      </c>
      <c r="AU28">
        <v>343</v>
      </c>
      <c r="AV28" t="b">
        <v>1</v>
      </c>
      <c r="AW28" t="b">
        <v>0</v>
      </c>
      <c r="AX28" t="b">
        <v>1</v>
      </c>
      <c r="AY28" t="b">
        <v>1</v>
      </c>
      <c r="AZ28" t="s">
        <v>244</v>
      </c>
    </row>
    <row r="29" spans="1:52" x14ac:dyDescent="0.25">
      <c r="A29">
        <v>84</v>
      </c>
      <c r="B29" t="s">
        <v>366</v>
      </c>
      <c r="C29">
        <v>4346</v>
      </c>
      <c r="D29">
        <v>2.4604075E-2</v>
      </c>
      <c r="E29">
        <v>0</v>
      </c>
      <c r="F29">
        <v>0</v>
      </c>
      <c r="G29">
        <v>2.4604075E-2</v>
      </c>
      <c r="H29" t="s">
        <v>367</v>
      </c>
      <c r="I29" t="s">
        <v>52</v>
      </c>
      <c r="J29" t="s">
        <v>52</v>
      </c>
      <c r="K29" t="s">
        <v>367</v>
      </c>
      <c r="L29" s="1">
        <v>31435</v>
      </c>
      <c r="M29" t="s">
        <v>368</v>
      </c>
      <c r="N29">
        <v>0.70170077582200396</v>
      </c>
      <c r="O29" t="s">
        <v>54</v>
      </c>
      <c r="P29" t="s">
        <v>55</v>
      </c>
      <c r="Q29">
        <v>3000</v>
      </c>
      <c r="R29">
        <v>2.5000000000000001E-2</v>
      </c>
      <c r="S29" t="s">
        <v>56</v>
      </c>
      <c r="T29" t="s">
        <v>56</v>
      </c>
      <c r="U29" t="s">
        <v>57</v>
      </c>
      <c r="V29" t="s">
        <v>58</v>
      </c>
      <c r="W29">
        <v>3</v>
      </c>
      <c r="X29">
        <v>1</v>
      </c>
      <c r="Y29" t="s">
        <v>59</v>
      </c>
      <c r="Z29" t="s">
        <v>56</v>
      </c>
      <c r="AA29" t="s">
        <v>56</v>
      </c>
      <c r="AB29" t="s">
        <v>60</v>
      </c>
      <c r="AC29" t="s">
        <v>61</v>
      </c>
      <c r="AD29" t="s">
        <v>62</v>
      </c>
      <c r="AE29" t="s">
        <v>63</v>
      </c>
      <c r="AF29" t="s">
        <v>64</v>
      </c>
      <c r="AG29" t="s">
        <v>65</v>
      </c>
      <c r="AH29" t="s">
        <v>97</v>
      </c>
      <c r="AI29" t="s">
        <v>67</v>
      </c>
      <c r="AJ29" t="b">
        <v>0</v>
      </c>
      <c r="AK29" t="b">
        <v>1</v>
      </c>
      <c r="AL29">
        <v>1</v>
      </c>
      <c r="AM29">
        <v>1</v>
      </c>
      <c r="AN29" t="s">
        <v>77</v>
      </c>
      <c r="AO29" t="s">
        <v>78</v>
      </c>
      <c r="AP29">
        <v>0.25</v>
      </c>
      <c r="AQ29" t="b">
        <v>1</v>
      </c>
      <c r="AR29" t="s">
        <v>36</v>
      </c>
      <c r="AS29">
        <v>20000</v>
      </c>
      <c r="AT29">
        <v>2000</v>
      </c>
      <c r="AU29">
        <v>4346</v>
      </c>
      <c r="AV29" t="b">
        <v>1</v>
      </c>
      <c r="AW29" t="b">
        <v>0</v>
      </c>
      <c r="AX29" t="b">
        <v>1</v>
      </c>
      <c r="AY29" t="b">
        <v>1</v>
      </c>
      <c r="AZ29" t="s">
        <v>244</v>
      </c>
    </row>
    <row r="30" spans="1:52" x14ac:dyDescent="0.25">
      <c r="A30">
        <v>85</v>
      </c>
      <c r="B30" t="s">
        <v>369</v>
      </c>
      <c r="C30">
        <v>2300</v>
      </c>
      <c r="D30">
        <v>2.5882024999999999E-2</v>
      </c>
      <c r="E30">
        <v>0</v>
      </c>
      <c r="F30">
        <v>0</v>
      </c>
      <c r="G30">
        <v>2.5882024999999999E-2</v>
      </c>
      <c r="H30" t="s">
        <v>370</v>
      </c>
      <c r="I30" t="s">
        <v>52</v>
      </c>
      <c r="J30" t="s">
        <v>52</v>
      </c>
      <c r="K30" t="s">
        <v>370</v>
      </c>
      <c r="L30" s="1">
        <v>28456</v>
      </c>
      <c r="M30" t="s">
        <v>371</v>
      </c>
      <c r="N30">
        <v>2.0113618594407998</v>
      </c>
      <c r="O30" t="s">
        <v>54</v>
      </c>
      <c r="P30" t="s">
        <v>55</v>
      </c>
      <c r="Q30">
        <v>3000</v>
      </c>
      <c r="R30">
        <v>2.5000000000000001E-2</v>
      </c>
      <c r="S30" t="s">
        <v>56</v>
      </c>
      <c r="T30" t="s">
        <v>56</v>
      </c>
      <c r="U30" t="s">
        <v>57</v>
      </c>
      <c r="V30" t="s">
        <v>58</v>
      </c>
      <c r="W30">
        <v>3</v>
      </c>
      <c r="X30">
        <v>1</v>
      </c>
      <c r="Y30" t="s">
        <v>59</v>
      </c>
      <c r="Z30" t="s">
        <v>56</v>
      </c>
      <c r="AA30" t="s">
        <v>56</v>
      </c>
      <c r="AB30" t="s">
        <v>60</v>
      </c>
      <c r="AC30" t="s">
        <v>61</v>
      </c>
      <c r="AD30" t="s">
        <v>62</v>
      </c>
      <c r="AE30" t="s">
        <v>63</v>
      </c>
      <c r="AF30" t="s">
        <v>64</v>
      </c>
      <c r="AG30" t="s">
        <v>65</v>
      </c>
      <c r="AH30" t="s">
        <v>97</v>
      </c>
      <c r="AI30" t="s">
        <v>67</v>
      </c>
      <c r="AJ30" t="b">
        <v>0</v>
      </c>
      <c r="AK30" t="b">
        <v>1</v>
      </c>
      <c r="AL30">
        <v>1</v>
      </c>
      <c r="AM30">
        <v>1</v>
      </c>
      <c r="AN30" t="s">
        <v>77</v>
      </c>
      <c r="AO30" t="s">
        <v>73</v>
      </c>
      <c r="AP30">
        <v>2</v>
      </c>
      <c r="AQ30" t="b">
        <v>1</v>
      </c>
      <c r="AR30" t="s">
        <v>36</v>
      </c>
      <c r="AS30">
        <v>20000</v>
      </c>
      <c r="AT30">
        <v>2000</v>
      </c>
      <c r="AU30">
        <v>2300</v>
      </c>
      <c r="AV30" t="b">
        <v>1</v>
      </c>
      <c r="AW30" t="b">
        <v>0</v>
      </c>
      <c r="AX30" t="b">
        <v>1</v>
      </c>
      <c r="AY30" t="b">
        <v>1</v>
      </c>
      <c r="AZ30" t="s">
        <v>244</v>
      </c>
    </row>
    <row r="31" spans="1:52" x14ac:dyDescent="0.25">
      <c r="A31">
        <v>86</v>
      </c>
      <c r="B31" t="s">
        <v>372</v>
      </c>
      <c r="C31">
        <v>2402</v>
      </c>
      <c r="D31">
        <v>2.5807424999999998E-2</v>
      </c>
      <c r="E31">
        <v>0</v>
      </c>
      <c r="F31">
        <v>0</v>
      </c>
      <c r="G31">
        <v>2.5807424999999998E-2</v>
      </c>
      <c r="H31" t="s">
        <v>373</v>
      </c>
      <c r="I31" t="s">
        <v>52</v>
      </c>
      <c r="J31" t="s">
        <v>52</v>
      </c>
      <c r="K31" t="s">
        <v>373</v>
      </c>
      <c r="L31" s="1">
        <v>28458</v>
      </c>
      <c r="M31" t="s">
        <v>374</v>
      </c>
      <c r="N31">
        <v>1.2883558524979499</v>
      </c>
      <c r="O31" t="s">
        <v>54</v>
      </c>
      <c r="P31" t="s">
        <v>55</v>
      </c>
      <c r="Q31">
        <v>3000</v>
      </c>
      <c r="R31">
        <v>2.5000000000000001E-2</v>
      </c>
      <c r="S31" t="s">
        <v>56</v>
      </c>
      <c r="T31" t="s">
        <v>56</v>
      </c>
      <c r="U31" t="s">
        <v>57</v>
      </c>
      <c r="V31" t="s">
        <v>58</v>
      </c>
      <c r="W31">
        <v>3</v>
      </c>
      <c r="X31">
        <v>1</v>
      </c>
      <c r="Y31" t="s">
        <v>59</v>
      </c>
      <c r="Z31" t="s">
        <v>56</v>
      </c>
      <c r="AA31" t="s">
        <v>56</v>
      </c>
      <c r="AB31" t="s">
        <v>60</v>
      </c>
      <c r="AC31" t="s">
        <v>61</v>
      </c>
      <c r="AD31" t="s">
        <v>62</v>
      </c>
      <c r="AE31" t="s">
        <v>63</v>
      </c>
      <c r="AF31" t="s">
        <v>64</v>
      </c>
      <c r="AG31" t="s">
        <v>65</v>
      </c>
      <c r="AH31" t="s">
        <v>97</v>
      </c>
      <c r="AI31" t="s">
        <v>67</v>
      </c>
      <c r="AJ31" t="b">
        <v>0</v>
      </c>
      <c r="AK31" t="b">
        <v>1</v>
      </c>
      <c r="AL31">
        <v>1</v>
      </c>
      <c r="AM31">
        <v>1</v>
      </c>
      <c r="AN31" t="s">
        <v>77</v>
      </c>
      <c r="AO31" t="s">
        <v>78</v>
      </c>
      <c r="AP31">
        <v>0.5</v>
      </c>
      <c r="AQ31" t="b">
        <v>0</v>
      </c>
      <c r="AR31" t="s">
        <v>68</v>
      </c>
      <c r="AS31">
        <v>20000</v>
      </c>
      <c r="AT31">
        <v>2000</v>
      </c>
      <c r="AU31">
        <v>2402</v>
      </c>
      <c r="AV31" t="b">
        <v>1</v>
      </c>
      <c r="AW31" t="b">
        <v>0</v>
      </c>
      <c r="AX31" t="b">
        <v>1</v>
      </c>
      <c r="AY31" t="b">
        <v>1</v>
      </c>
      <c r="AZ31" t="s">
        <v>244</v>
      </c>
    </row>
    <row r="32" spans="1:52" x14ac:dyDescent="0.25">
      <c r="A32">
        <v>87</v>
      </c>
      <c r="B32" t="s">
        <v>375</v>
      </c>
      <c r="C32">
        <v>2402</v>
      </c>
      <c r="D32">
        <v>2.6378200000000001E-2</v>
      </c>
      <c r="E32">
        <v>0</v>
      </c>
      <c r="F32">
        <v>0</v>
      </c>
      <c r="G32">
        <v>2.6378200000000001E-2</v>
      </c>
      <c r="H32" t="s">
        <v>376</v>
      </c>
      <c r="I32" t="s">
        <v>52</v>
      </c>
      <c r="J32" t="s">
        <v>52</v>
      </c>
      <c r="K32" t="s">
        <v>376</v>
      </c>
      <c r="L32" s="1">
        <v>217300</v>
      </c>
      <c r="M32" t="s">
        <v>377</v>
      </c>
      <c r="N32">
        <v>1.2428011927339799</v>
      </c>
      <c r="O32" t="s">
        <v>54</v>
      </c>
      <c r="P32" t="s">
        <v>55</v>
      </c>
      <c r="Q32">
        <v>10000</v>
      </c>
      <c r="R32">
        <v>2.5000000000000001E-2</v>
      </c>
      <c r="S32" t="s">
        <v>56</v>
      </c>
      <c r="T32" t="s">
        <v>56</v>
      </c>
      <c r="U32" t="s">
        <v>57</v>
      </c>
      <c r="V32" t="s">
        <v>58</v>
      </c>
      <c r="W32">
        <v>3</v>
      </c>
      <c r="X32">
        <v>1</v>
      </c>
      <c r="Y32" t="s">
        <v>59</v>
      </c>
      <c r="Z32" t="s">
        <v>56</v>
      </c>
      <c r="AA32" t="s">
        <v>56</v>
      </c>
      <c r="AB32" t="s">
        <v>60</v>
      </c>
      <c r="AC32" t="s">
        <v>61</v>
      </c>
      <c r="AD32" t="s">
        <v>62</v>
      </c>
      <c r="AE32" t="s">
        <v>63</v>
      </c>
      <c r="AF32" t="s">
        <v>64</v>
      </c>
      <c r="AG32" t="s">
        <v>65</v>
      </c>
      <c r="AH32" t="s">
        <v>66</v>
      </c>
      <c r="AI32" t="s">
        <v>67</v>
      </c>
      <c r="AJ32" t="b">
        <v>0</v>
      </c>
      <c r="AK32" t="b">
        <v>1</v>
      </c>
      <c r="AL32">
        <v>1</v>
      </c>
      <c r="AM32">
        <v>1</v>
      </c>
      <c r="AN32" t="s">
        <v>77</v>
      </c>
      <c r="AO32" t="s">
        <v>78</v>
      </c>
      <c r="AP32">
        <v>0.5</v>
      </c>
      <c r="AQ32" t="b">
        <v>0</v>
      </c>
      <c r="AR32" t="s">
        <v>68</v>
      </c>
      <c r="AS32">
        <v>20000</v>
      </c>
      <c r="AT32">
        <v>2000</v>
      </c>
      <c r="AU32">
        <v>2402</v>
      </c>
      <c r="AV32" t="b">
        <v>1</v>
      </c>
      <c r="AW32" t="b">
        <v>0</v>
      </c>
      <c r="AX32" t="b">
        <v>1</v>
      </c>
      <c r="AY32" t="b">
        <v>0</v>
      </c>
      <c r="AZ32" t="s">
        <v>378</v>
      </c>
    </row>
    <row r="33" spans="1:52" x14ac:dyDescent="0.25">
      <c r="A33">
        <v>88</v>
      </c>
      <c r="B33" t="s">
        <v>379</v>
      </c>
      <c r="C33">
        <v>64564</v>
      </c>
      <c r="D33">
        <v>2.48401E-2</v>
      </c>
      <c r="E33">
        <v>0</v>
      </c>
      <c r="F33">
        <v>0</v>
      </c>
      <c r="G33">
        <v>2.48401E-2</v>
      </c>
      <c r="H33" t="s">
        <v>380</v>
      </c>
      <c r="I33" t="s">
        <v>52</v>
      </c>
      <c r="J33" t="s">
        <v>52</v>
      </c>
      <c r="K33" t="s">
        <v>380</v>
      </c>
      <c r="L33" s="1">
        <v>200297</v>
      </c>
      <c r="M33" t="s">
        <v>381</v>
      </c>
      <c r="N33">
        <v>1.9949012300041</v>
      </c>
      <c r="O33" t="s">
        <v>54</v>
      </c>
      <c r="P33" t="s">
        <v>55</v>
      </c>
      <c r="Q33">
        <v>1000</v>
      </c>
      <c r="R33">
        <v>2.5000000000000001E-2</v>
      </c>
      <c r="S33" t="s">
        <v>56</v>
      </c>
      <c r="T33" t="s">
        <v>56</v>
      </c>
      <c r="U33" t="s">
        <v>57</v>
      </c>
      <c r="V33" t="s">
        <v>58</v>
      </c>
      <c r="W33">
        <v>3</v>
      </c>
      <c r="X33">
        <v>1</v>
      </c>
      <c r="Y33" t="s">
        <v>59</v>
      </c>
      <c r="Z33" t="s">
        <v>56</v>
      </c>
      <c r="AA33" t="s">
        <v>56</v>
      </c>
      <c r="AB33" t="s">
        <v>60</v>
      </c>
      <c r="AC33" t="s">
        <v>61</v>
      </c>
      <c r="AD33" t="s">
        <v>62</v>
      </c>
      <c r="AE33" t="s">
        <v>63</v>
      </c>
      <c r="AF33" t="s">
        <v>64</v>
      </c>
      <c r="AG33" t="s">
        <v>65</v>
      </c>
      <c r="AH33" t="s">
        <v>66</v>
      </c>
      <c r="AI33" t="s">
        <v>67</v>
      </c>
      <c r="AJ33" t="b">
        <v>0</v>
      </c>
      <c r="AK33" t="b">
        <v>0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68</v>
      </c>
      <c r="AS33">
        <v>20000</v>
      </c>
      <c r="AT33">
        <v>2000</v>
      </c>
      <c r="AU33">
        <v>64564</v>
      </c>
      <c r="AV33" t="b">
        <v>1</v>
      </c>
      <c r="AW33" t="b">
        <v>0</v>
      </c>
      <c r="AX33" t="b">
        <v>1</v>
      </c>
      <c r="AY33" t="b">
        <v>0</v>
      </c>
      <c r="AZ33" t="s">
        <v>378</v>
      </c>
    </row>
    <row r="34" spans="1:52" x14ac:dyDescent="0.25">
      <c r="A34">
        <v>89</v>
      </c>
      <c r="B34" t="s">
        <v>382</v>
      </c>
      <c r="C34">
        <v>64564</v>
      </c>
      <c r="D34">
        <v>2.488435E-2</v>
      </c>
      <c r="E34">
        <v>0</v>
      </c>
      <c r="F34">
        <v>0</v>
      </c>
      <c r="G34">
        <v>2.488435E-2</v>
      </c>
      <c r="H34" t="s">
        <v>383</v>
      </c>
      <c r="I34" t="s">
        <v>52</v>
      </c>
      <c r="J34" t="s">
        <v>52</v>
      </c>
      <c r="K34" t="s">
        <v>383</v>
      </c>
      <c r="L34" s="1">
        <v>195300</v>
      </c>
      <c r="M34" t="s">
        <v>384</v>
      </c>
      <c r="N34">
        <v>2.0398623975118002</v>
      </c>
      <c r="O34" t="s">
        <v>54</v>
      </c>
      <c r="P34" t="s">
        <v>55</v>
      </c>
      <c r="Q34">
        <v>3000</v>
      </c>
      <c r="R34">
        <v>2.5000000000000001E-2</v>
      </c>
      <c r="S34" t="s">
        <v>56</v>
      </c>
      <c r="T34" t="s">
        <v>56</v>
      </c>
      <c r="U34" t="s">
        <v>57</v>
      </c>
      <c r="V34" t="s">
        <v>58</v>
      </c>
      <c r="W34">
        <v>3</v>
      </c>
      <c r="X34">
        <v>1</v>
      </c>
      <c r="Y34" t="s">
        <v>59</v>
      </c>
      <c r="Z34" t="s">
        <v>56</v>
      </c>
      <c r="AA34" t="s">
        <v>56</v>
      </c>
      <c r="AB34" t="s">
        <v>60</v>
      </c>
      <c r="AC34" t="s">
        <v>61</v>
      </c>
      <c r="AD34" t="s">
        <v>62</v>
      </c>
      <c r="AE34" t="s">
        <v>63</v>
      </c>
      <c r="AF34" t="s">
        <v>64</v>
      </c>
      <c r="AG34" t="s">
        <v>65</v>
      </c>
      <c r="AH34" t="s">
        <v>66</v>
      </c>
      <c r="AI34" t="s">
        <v>67</v>
      </c>
      <c r="AJ34" t="b">
        <v>0</v>
      </c>
      <c r="AK34" t="b">
        <v>0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68</v>
      </c>
      <c r="AS34">
        <v>20000</v>
      </c>
      <c r="AT34">
        <v>2000</v>
      </c>
      <c r="AU34">
        <v>64564</v>
      </c>
      <c r="AV34" t="b">
        <v>1</v>
      </c>
      <c r="AW34" t="b">
        <v>0</v>
      </c>
      <c r="AX34" t="b">
        <v>1</v>
      </c>
      <c r="AY34" t="b">
        <v>0</v>
      </c>
      <c r="AZ34" t="s">
        <v>378</v>
      </c>
    </row>
    <row r="35" spans="1:52" x14ac:dyDescent="0.25">
      <c r="A35">
        <v>90</v>
      </c>
      <c r="B35" t="s">
        <v>385</v>
      </c>
      <c r="C35">
        <v>2300</v>
      </c>
      <c r="D35">
        <v>2.6235925E-2</v>
      </c>
      <c r="E35">
        <v>0</v>
      </c>
      <c r="F35">
        <v>0</v>
      </c>
      <c r="G35">
        <v>2.6235925E-2</v>
      </c>
      <c r="H35" t="s">
        <v>386</v>
      </c>
      <c r="I35" t="s">
        <v>52</v>
      </c>
      <c r="J35" t="s">
        <v>52</v>
      </c>
      <c r="K35" t="s">
        <v>386</v>
      </c>
      <c r="L35" s="1">
        <v>214300</v>
      </c>
      <c r="M35" t="s">
        <v>387</v>
      </c>
      <c r="N35">
        <v>2.0060361480050601</v>
      </c>
      <c r="O35" t="s">
        <v>54</v>
      </c>
      <c r="P35" t="s">
        <v>55</v>
      </c>
      <c r="Q35">
        <v>10000</v>
      </c>
      <c r="R35">
        <v>2.5000000000000001E-2</v>
      </c>
      <c r="S35" t="s">
        <v>56</v>
      </c>
      <c r="T35" t="s">
        <v>56</v>
      </c>
      <c r="U35" t="s">
        <v>57</v>
      </c>
      <c r="V35" t="s">
        <v>58</v>
      </c>
      <c r="W35">
        <v>3</v>
      </c>
      <c r="X35">
        <v>1</v>
      </c>
      <c r="Y35" t="s">
        <v>59</v>
      </c>
      <c r="Z35" t="s">
        <v>56</v>
      </c>
      <c r="AA35" t="s">
        <v>56</v>
      </c>
      <c r="AB35" t="s">
        <v>60</v>
      </c>
      <c r="AC35" t="s">
        <v>61</v>
      </c>
      <c r="AD35" t="s">
        <v>62</v>
      </c>
      <c r="AE35" t="s">
        <v>63</v>
      </c>
      <c r="AF35" t="s">
        <v>64</v>
      </c>
      <c r="AG35" t="s">
        <v>65</v>
      </c>
      <c r="AH35" t="s">
        <v>66</v>
      </c>
      <c r="AI35" t="s">
        <v>67</v>
      </c>
      <c r="AJ35" t="b">
        <v>0</v>
      </c>
      <c r="AK35" t="b">
        <v>1</v>
      </c>
      <c r="AL35">
        <v>1</v>
      </c>
      <c r="AM35">
        <v>1</v>
      </c>
      <c r="AN35" t="s">
        <v>77</v>
      </c>
      <c r="AO35" t="s">
        <v>73</v>
      </c>
      <c r="AP35">
        <v>2</v>
      </c>
      <c r="AQ35" t="b">
        <v>1</v>
      </c>
      <c r="AR35" t="s">
        <v>36</v>
      </c>
      <c r="AS35">
        <v>20000</v>
      </c>
      <c r="AT35">
        <v>2000</v>
      </c>
      <c r="AU35">
        <v>2300</v>
      </c>
      <c r="AV35" t="b">
        <v>1</v>
      </c>
      <c r="AW35" t="b">
        <v>0</v>
      </c>
      <c r="AX35" t="b">
        <v>1</v>
      </c>
      <c r="AY35" t="b">
        <v>0</v>
      </c>
      <c r="AZ35" t="s">
        <v>378</v>
      </c>
    </row>
    <row r="36" spans="1:52" x14ac:dyDescent="0.25">
      <c r="A36">
        <v>91</v>
      </c>
      <c r="B36" t="s">
        <v>388</v>
      </c>
      <c r="C36">
        <v>2300</v>
      </c>
      <c r="D36">
        <v>2.6474049999999999E-2</v>
      </c>
      <c r="E36">
        <v>0</v>
      </c>
      <c r="F36">
        <v>0</v>
      </c>
      <c r="G36">
        <v>2.6474049999999999E-2</v>
      </c>
      <c r="H36" t="s">
        <v>389</v>
      </c>
      <c r="I36" t="s">
        <v>52</v>
      </c>
      <c r="J36" t="s">
        <v>52</v>
      </c>
      <c r="K36" t="s">
        <v>389</v>
      </c>
      <c r="L36" s="1">
        <v>207352</v>
      </c>
      <c r="M36" t="s">
        <v>390</v>
      </c>
      <c r="N36">
        <v>1.9709368789196</v>
      </c>
      <c r="O36" t="s">
        <v>54</v>
      </c>
      <c r="P36" t="s">
        <v>55</v>
      </c>
      <c r="Q36">
        <v>1000</v>
      </c>
      <c r="R36">
        <v>2.5000000000000001E-2</v>
      </c>
      <c r="S36" t="s">
        <v>56</v>
      </c>
      <c r="T36" t="s">
        <v>56</v>
      </c>
      <c r="U36" t="s">
        <v>57</v>
      </c>
      <c r="V36" t="s">
        <v>58</v>
      </c>
      <c r="W36">
        <v>3</v>
      </c>
      <c r="X36">
        <v>1</v>
      </c>
      <c r="Y36" t="s">
        <v>59</v>
      </c>
      <c r="Z36" t="s">
        <v>56</v>
      </c>
      <c r="AA36" t="s">
        <v>56</v>
      </c>
      <c r="AB36" t="s">
        <v>60</v>
      </c>
      <c r="AC36" t="s">
        <v>61</v>
      </c>
      <c r="AD36" t="s">
        <v>62</v>
      </c>
      <c r="AE36" t="s">
        <v>63</v>
      </c>
      <c r="AF36" t="s">
        <v>64</v>
      </c>
      <c r="AG36" t="s">
        <v>65</v>
      </c>
      <c r="AH36" t="s">
        <v>66</v>
      </c>
      <c r="AI36" t="s">
        <v>67</v>
      </c>
      <c r="AJ36" t="b">
        <v>0</v>
      </c>
      <c r="AK36" t="b">
        <v>1</v>
      </c>
      <c r="AL36">
        <v>1</v>
      </c>
      <c r="AM36">
        <v>1</v>
      </c>
      <c r="AN36" t="s">
        <v>77</v>
      </c>
      <c r="AO36" t="s">
        <v>73</v>
      </c>
      <c r="AP36">
        <v>2</v>
      </c>
      <c r="AQ36" t="b">
        <v>1</v>
      </c>
      <c r="AR36" t="s">
        <v>36</v>
      </c>
      <c r="AS36">
        <v>20000</v>
      </c>
      <c r="AT36">
        <v>2000</v>
      </c>
      <c r="AU36">
        <v>2300</v>
      </c>
      <c r="AV36" t="b">
        <v>1</v>
      </c>
      <c r="AW36" t="b">
        <v>0</v>
      </c>
      <c r="AX36" t="b">
        <v>1</v>
      </c>
      <c r="AY36" t="b">
        <v>0</v>
      </c>
      <c r="AZ36" t="s">
        <v>378</v>
      </c>
    </row>
    <row r="37" spans="1:52" x14ac:dyDescent="0.25">
      <c r="A37">
        <v>92</v>
      </c>
      <c r="B37" t="s">
        <v>391</v>
      </c>
      <c r="C37">
        <v>2402</v>
      </c>
      <c r="D37">
        <v>2.6798599999999999E-2</v>
      </c>
      <c r="E37">
        <v>0</v>
      </c>
      <c r="F37">
        <v>0</v>
      </c>
      <c r="G37">
        <v>2.6798599999999999E-2</v>
      </c>
      <c r="H37" t="s">
        <v>392</v>
      </c>
      <c r="I37" t="s">
        <v>52</v>
      </c>
      <c r="J37" t="s">
        <v>52</v>
      </c>
      <c r="K37" t="s">
        <v>392</v>
      </c>
      <c r="L37" s="1">
        <v>207334</v>
      </c>
      <c r="M37" t="s">
        <v>393</v>
      </c>
      <c r="N37">
        <v>1.2309202249844899</v>
      </c>
      <c r="O37" t="s">
        <v>54</v>
      </c>
      <c r="P37" t="s">
        <v>55</v>
      </c>
      <c r="Q37">
        <v>3000</v>
      </c>
      <c r="R37">
        <v>2.5000000000000001E-2</v>
      </c>
      <c r="S37" t="s">
        <v>56</v>
      </c>
      <c r="T37" t="s">
        <v>56</v>
      </c>
      <c r="U37" t="s">
        <v>57</v>
      </c>
      <c r="V37" t="s">
        <v>58</v>
      </c>
      <c r="W37">
        <v>3</v>
      </c>
      <c r="X37">
        <v>1</v>
      </c>
      <c r="Y37" t="s">
        <v>59</v>
      </c>
      <c r="Z37" t="s">
        <v>56</v>
      </c>
      <c r="AA37" t="s">
        <v>56</v>
      </c>
      <c r="AB37" t="s">
        <v>60</v>
      </c>
      <c r="AC37" t="s">
        <v>61</v>
      </c>
      <c r="AD37" t="s">
        <v>62</v>
      </c>
      <c r="AE37" t="s">
        <v>63</v>
      </c>
      <c r="AF37" t="s">
        <v>64</v>
      </c>
      <c r="AG37" t="s">
        <v>65</v>
      </c>
      <c r="AH37" t="s">
        <v>66</v>
      </c>
      <c r="AI37" t="s">
        <v>67</v>
      </c>
      <c r="AJ37" t="b">
        <v>0</v>
      </c>
      <c r="AK37" t="b">
        <v>1</v>
      </c>
      <c r="AL37">
        <v>1</v>
      </c>
      <c r="AM37">
        <v>1</v>
      </c>
      <c r="AN37" t="s">
        <v>77</v>
      </c>
      <c r="AO37" t="s">
        <v>78</v>
      </c>
      <c r="AP37">
        <v>0.5</v>
      </c>
      <c r="AQ37" t="b">
        <v>0</v>
      </c>
      <c r="AR37" t="s">
        <v>68</v>
      </c>
      <c r="AS37">
        <v>20000</v>
      </c>
      <c r="AT37">
        <v>2000</v>
      </c>
      <c r="AU37">
        <v>2402</v>
      </c>
      <c r="AV37" t="b">
        <v>1</v>
      </c>
      <c r="AW37" t="b">
        <v>0</v>
      </c>
      <c r="AX37" t="b">
        <v>1</v>
      </c>
      <c r="AY37" t="b">
        <v>0</v>
      </c>
      <c r="AZ37" t="s">
        <v>378</v>
      </c>
    </row>
    <row r="38" spans="1:52" x14ac:dyDescent="0.25">
      <c r="A38">
        <v>93</v>
      </c>
      <c r="B38" t="s">
        <v>394</v>
      </c>
      <c r="C38">
        <v>2402</v>
      </c>
      <c r="D38">
        <v>2.62931E-2</v>
      </c>
      <c r="E38">
        <v>0</v>
      </c>
      <c r="F38">
        <v>0</v>
      </c>
      <c r="G38">
        <v>2.62931E-2</v>
      </c>
      <c r="H38" t="s">
        <v>395</v>
      </c>
      <c r="I38" t="s">
        <v>52</v>
      </c>
      <c r="J38" t="s">
        <v>52</v>
      </c>
      <c r="K38" t="s">
        <v>395</v>
      </c>
      <c r="L38" s="1">
        <v>217300</v>
      </c>
      <c r="M38" t="s">
        <v>377</v>
      </c>
      <c r="N38">
        <v>1.2293249885903501</v>
      </c>
      <c r="O38" t="s">
        <v>54</v>
      </c>
      <c r="P38" t="s">
        <v>55</v>
      </c>
      <c r="Q38">
        <v>10000</v>
      </c>
      <c r="R38">
        <v>2.5000000000000001E-2</v>
      </c>
      <c r="S38" t="s">
        <v>56</v>
      </c>
      <c r="T38" t="s">
        <v>56</v>
      </c>
      <c r="U38" t="s">
        <v>57</v>
      </c>
      <c r="V38" t="s">
        <v>58</v>
      </c>
      <c r="W38">
        <v>3</v>
      </c>
      <c r="X38">
        <v>1</v>
      </c>
      <c r="Y38" t="s">
        <v>59</v>
      </c>
      <c r="Z38" t="s">
        <v>56</v>
      </c>
      <c r="AA38" t="s">
        <v>56</v>
      </c>
      <c r="AB38" t="s">
        <v>60</v>
      </c>
      <c r="AC38" t="s">
        <v>61</v>
      </c>
      <c r="AD38" t="s">
        <v>62</v>
      </c>
      <c r="AE38" t="s">
        <v>63</v>
      </c>
      <c r="AF38" t="s">
        <v>64</v>
      </c>
      <c r="AG38" t="s">
        <v>65</v>
      </c>
      <c r="AH38" t="s">
        <v>66</v>
      </c>
      <c r="AI38" t="s">
        <v>67</v>
      </c>
      <c r="AJ38" t="b">
        <v>0</v>
      </c>
      <c r="AK38" t="b">
        <v>1</v>
      </c>
      <c r="AL38">
        <v>1</v>
      </c>
      <c r="AM38">
        <v>1</v>
      </c>
      <c r="AN38" t="s">
        <v>77</v>
      </c>
      <c r="AO38" t="s">
        <v>78</v>
      </c>
      <c r="AP38">
        <v>0.5</v>
      </c>
      <c r="AQ38" t="b">
        <v>0</v>
      </c>
      <c r="AR38" t="s">
        <v>68</v>
      </c>
      <c r="AS38">
        <v>20000</v>
      </c>
      <c r="AT38">
        <v>2000</v>
      </c>
      <c r="AU38">
        <v>2402</v>
      </c>
      <c r="AV38" t="b">
        <v>1</v>
      </c>
      <c r="AW38" t="b">
        <v>0</v>
      </c>
      <c r="AX38" t="b">
        <v>1</v>
      </c>
      <c r="AY38" t="b">
        <v>1</v>
      </c>
      <c r="AZ38" t="s">
        <v>378</v>
      </c>
    </row>
    <row r="39" spans="1:52" x14ac:dyDescent="0.25">
      <c r="A39">
        <v>94</v>
      </c>
      <c r="B39" t="s">
        <v>396</v>
      </c>
      <c r="C39">
        <v>64564</v>
      </c>
      <c r="D39">
        <v>2.3939100000000001E-2</v>
      </c>
      <c r="E39">
        <v>0</v>
      </c>
      <c r="F39">
        <v>0</v>
      </c>
      <c r="G39">
        <v>2.3939100000000001E-2</v>
      </c>
      <c r="H39" t="s">
        <v>397</v>
      </c>
      <c r="I39" t="s">
        <v>52</v>
      </c>
      <c r="J39" t="s">
        <v>52</v>
      </c>
      <c r="K39" t="s">
        <v>397</v>
      </c>
      <c r="L39" s="1">
        <v>193287</v>
      </c>
      <c r="M39" t="s">
        <v>398</v>
      </c>
      <c r="N39">
        <v>1.9661910441186701</v>
      </c>
      <c r="O39" t="s">
        <v>54</v>
      </c>
      <c r="P39" t="s">
        <v>55</v>
      </c>
      <c r="Q39">
        <v>1000</v>
      </c>
      <c r="R39">
        <v>2.5000000000000001E-2</v>
      </c>
      <c r="S39" t="s">
        <v>56</v>
      </c>
      <c r="T39" t="s">
        <v>56</v>
      </c>
      <c r="U39" t="s">
        <v>57</v>
      </c>
      <c r="V39" t="s">
        <v>58</v>
      </c>
      <c r="W39">
        <v>3</v>
      </c>
      <c r="X39">
        <v>1</v>
      </c>
      <c r="Y39" t="s">
        <v>59</v>
      </c>
      <c r="Z39" t="s">
        <v>56</v>
      </c>
      <c r="AA39" t="s">
        <v>56</v>
      </c>
      <c r="AB39" t="s">
        <v>60</v>
      </c>
      <c r="AC39" t="s">
        <v>61</v>
      </c>
      <c r="AD39" t="s">
        <v>62</v>
      </c>
      <c r="AE39" t="s">
        <v>63</v>
      </c>
      <c r="AF39" t="s">
        <v>64</v>
      </c>
      <c r="AG39" t="s">
        <v>65</v>
      </c>
      <c r="AH39" t="s">
        <v>66</v>
      </c>
      <c r="AI39" t="s">
        <v>67</v>
      </c>
      <c r="AJ39" t="b">
        <v>0</v>
      </c>
      <c r="AK39" t="b">
        <v>0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68</v>
      </c>
      <c r="AS39">
        <v>20000</v>
      </c>
      <c r="AT39">
        <v>2000</v>
      </c>
      <c r="AU39">
        <v>64564</v>
      </c>
      <c r="AV39" t="b">
        <v>1</v>
      </c>
      <c r="AW39" t="b">
        <v>0</v>
      </c>
      <c r="AX39" t="b">
        <v>1</v>
      </c>
      <c r="AY39" t="b">
        <v>1</v>
      </c>
      <c r="AZ39" t="s">
        <v>378</v>
      </c>
    </row>
    <row r="40" spans="1:52" x14ac:dyDescent="0.25">
      <c r="A40">
        <v>95</v>
      </c>
      <c r="B40" t="s">
        <v>399</v>
      </c>
      <c r="C40">
        <v>64564</v>
      </c>
      <c r="D40">
        <v>2.4739225E-2</v>
      </c>
      <c r="E40">
        <v>0</v>
      </c>
      <c r="F40">
        <v>0</v>
      </c>
      <c r="G40">
        <v>2.4739225E-2</v>
      </c>
      <c r="H40" t="s">
        <v>400</v>
      </c>
      <c r="I40" t="s">
        <v>52</v>
      </c>
      <c r="J40" t="s">
        <v>52</v>
      </c>
      <c r="K40" t="s">
        <v>400</v>
      </c>
      <c r="L40" s="1">
        <v>194294</v>
      </c>
      <c r="M40" t="s">
        <v>401</v>
      </c>
      <c r="N40">
        <v>1.9700325733423201</v>
      </c>
      <c r="O40" t="s">
        <v>54</v>
      </c>
      <c r="P40" t="s">
        <v>55</v>
      </c>
      <c r="Q40">
        <v>3000</v>
      </c>
      <c r="R40">
        <v>2.5000000000000001E-2</v>
      </c>
      <c r="S40" t="s">
        <v>56</v>
      </c>
      <c r="T40" t="s">
        <v>56</v>
      </c>
      <c r="U40" t="s">
        <v>57</v>
      </c>
      <c r="V40" t="s">
        <v>58</v>
      </c>
      <c r="W40">
        <v>3</v>
      </c>
      <c r="X40">
        <v>1</v>
      </c>
      <c r="Y40" t="s">
        <v>59</v>
      </c>
      <c r="Z40" t="s">
        <v>56</v>
      </c>
      <c r="AA40" t="s">
        <v>56</v>
      </c>
      <c r="AB40" t="s">
        <v>60</v>
      </c>
      <c r="AC40" t="s">
        <v>61</v>
      </c>
      <c r="AD40" t="s">
        <v>62</v>
      </c>
      <c r="AE40" t="s">
        <v>63</v>
      </c>
      <c r="AF40" t="s">
        <v>64</v>
      </c>
      <c r="AG40" t="s">
        <v>65</v>
      </c>
      <c r="AH40" t="s">
        <v>66</v>
      </c>
      <c r="AI40" t="s">
        <v>67</v>
      </c>
      <c r="AJ40" t="b">
        <v>0</v>
      </c>
      <c r="AK40" t="b">
        <v>0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68</v>
      </c>
      <c r="AS40">
        <v>20000</v>
      </c>
      <c r="AT40">
        <v>2000</v>
      </c>
      <c r="AU40">
        <v>64564</v>
      </c>
      <c r="AV40" t="b">
        <v>1</v>
      </c>
      <c r="AW40" t="b">
        <v>0</v>
      </c>
      <c r="AX40" t="b">
        <v>1</v>
      </c>
      <c r="AY40" t="b">
        <v>1</v>
      </c>
      <c r="AZ40" t="s">
        <v>378</v>
      </c>
    </row>
    <row r="41" spans="1:52" x14ac:dyDescent="0.25">
      <c r="A41">
        <v>96</v>
      </c>
      <c r="B41" t="s">
        <v>402</v>
      </c>
      <c r="C41">
        <v>2300</v>
      </c>
      <c r="D41">
        <v>2.615085E-2</v>
      </c>
      <c r="E41">
        <v>0</v>
      </c>
      <c r="F41">
        <v>0</v>
      </c>
      <c r="G41">
        <v>2.615085E-2</v>
      </c>
      <c r="H41" t="s">
        <v>403</v>
      </c>
      <c r="I41" t="s">
        <v>52</v>
      </c>
      <c r="J41" t="s">
        <v>52</v>
      </c>
      <c r="K41" t="s">
        <v>403</v>
      </c>
      <c r="L41" s="1">
        <v>214300</v>
      </c>
      <c r="M41" t="s">
        <v>387</v>
      </c>
      <c r="N41">
        <v>2.02533252914747</v>
      </c>
      <c r="O41" t="s">
        <v>54</v>
      </c>
      <c r="P41" t="s">
        <v>55</v>
      </c>
      <c r="Q41">
        <v>10000</v>
      </c>
      <c r="R41">
        <v>2.5000000000000001E-2</v>
      </c>
      <c r="S41" t="s">
        <v>56</v>
      </c>
      <c r="T41" t="s">
        <v>56</v>
      </c>
      <c r="U41" t="s">
        <v>57</v>
      </c>
      <c r="V41" t="s">
        <v>58</v>
      </c>
      <c r="W41">
        <v>3</v>
      </c>
      <c r="X41">
        <v>1</v>
      </c>
      <c r="Y41" t="s">
        <v>59</v>
      </c>
      <c r="Z41" t="s">
        <v>56</v>
      </c>
      <c r="AA41" t="s">
        <v>56</v>
      </c>
      <c r="AB41" t="s">
        <v>60</v>
      </c>
      <c r="AC41" t="s">
        <v>61</v>
      </c>
      <c r="AD41" t="s">
        <v>62</v>
      </c>
      <c r="AE41" t="s">
        <v>63</v>
      </c>
      <c r="AF41" t="s">
        <v>64</v>
      </c>
      <c r="AG41" t="s">
        <v>65</v>
      </c>
      <c r="AH41" t="s">
        <v>66</v>
      </c>
      <c r="AI41" t="s">
        <v>67</v>
      </c>
      <c r="AJ41" t="b">
        <v>0</v>
      </c>
      <c r="AK41" t="b">
        <v>1</v>
      </c>
      <c r="AL41">
        <v>1</v>
      </c>
      <c r="AM41">
        <v>1</v>
      </c>
      <c r="AN41" t="s">
        <v>77</v>
      </c>
      <c r="AO41" t="s">
        <v>73</v>
      </c>
      <c r="AP41">
        <v>2</v>
      </c>
      <c r="AQ41" t="b">
        <v>1</v>
      </c>
      <c r="AR41" t="s">
        <v>36</v>
      </c>
      <c r="AS41">
        <v>20000</v>
      </c>
      <c r="AT41">
        <v>2000</v>
      </c>
      <c r="AU41">
        <v>2300</v>
      </c>
      <c r="AV41" t="b">
        <v>1</v>
      </c>
      <c r="AW41" t="b">
        <v>0</v>
      </c>
      <c r="AX41" t="b">
        <v>1</v>
      </c>
      <c r="AY41" t="b">
        <v>1</v>
      </c>
      <c r="AZ41" t="s">
        <v>378</v>
      </c>
    </row>
    <row r="42" spans="1:52" x14ac:dyDescent="0.25">
      <c r="A42">
        <v>97</v>
      </c>
      <c r="B42" t="s">
        <v>404</v>
      </c>
      <c r="C42">
        <v>2300</v>
      </c>
      <c r="D42">
        <v>2.53793E-2</v>
      </c>
      <c r="E42">
        <v>0</v>
      </c>
      <c r="F42">
        <v>0</v>
      </c>
      <c r="G42">
        <v>2.53793E-2</v>
      </c>
      <c r="H42" t="s">
        <v>405</v>
      </c>
      <c r="I42" t="s">
        <v>52</v>
      </c>
      <c r="J42" t="s">
        <v>52</v>
      </c>
      <c r="K42" t="s">
        <v>405</v>
      </c>
      <c r="L42" s="1">
        <v>194338</v>
      </c>
      <c r="M42" t="s">
        <v>406</v>
      </c>
      <c r="N42">
        <v>1.9061309788624401</v>
      </c>
      <c r="O42" t="s">
        <v>54</v>
      </c>
      <c r="P42" t="s">
        <v>55</v>
      </c>
      <c r="Q42">
        <v>1000</v>
      </c>
      <c r="R42">
        <v>2.5000000000000001E-2</v>
      </c>
      <c r="S42" t="s">
        <v>56</v>
      </c>
      <c r="T42" t="s">
        <v>56</v>
      </c>
      <c r="U42" t="s">
        <v>57</v>
      </c>
      <c r="V42" t="s">
        <v>58</v>
      </c>
      <c r="W42">
        <v>3</v>
      </c>
      <c r="X42">
        <v>1</v>
      </c>
      <c r="Y42" t="s">
        <v>59</v>
      </c>
      <c r="Z42" t="s">
        <v>56</v>
      </c>
      <c r="AA42" t="s">
        <v>56</v>
      </c>
      <c r="AB42" t="s">
        <v>60</v>
      </c>
      <c r="AC42" t="s">
        <v>61</v>
      </c>
      <c r="AD42" t="s">
        <v>62</v>
      </c>
      <c r="AE42" t="s">
        <v>63</v>
      </c>
      <c r="AF42" t="s">
        <v>64</v>
      </c>
      <c r="AG42" t="s">
        <v>65</v>
      </c>
      <c r="AH42" t="s">
        <v>66</v>
      </c>
      <c r="AI42" t="s">
        <v>67</v>
      </c>
      <c r="AJ42" t="b">
        <v>0</v>
      </c>
      <c r="AK42" t="b">
        <v>1</v>
      </c>
      <c r="AL42">
        <v>1</v>
      </c>
      <c r="AM42">
        <v>1</v>
      </c>
      <c r="AN42" t="s">
        <v>77</v>
      </c>
      <c r="AO42" t="s">
        <v>73</v>
      </c>
      <c r="AP42">
        <v>2</v>
      </c>
      <c r="AQ42" t="b">
        <v>1</v>
      </c>
      <c r="AR42" t="s">
        <v>36</v>
      </c>
      <c r="AS42">
        <v>20000</v>
      </c>
      <c r="AT42">
        <v>2000</v>
      </c>
      <c r="AU42">
        <v>2300</v>
      </c>
      <c r="AV42" t="b">
        <v>1</v>
      </c>
      <c r="AW42" t="b">
        <v>0</v>
      </c>
      <c r="AX42" t="b">
        <v>1</v>
      </c>
      <c r="AY42" t="b">
        <v>1</v>
      </c>
      <c r="AZ42" t="s">
        <v>378</v>
      </c>
    </row>
    <row r="43" spans="1:52" x14ac:dyDescent="0.25">
      <c r="A43">
        <v>98</v>
      </c>
      <c r="B43" t="s">
        <v>407</v>
      </c>
      <c r="C43">
        <v>2402</v>
      </c>
      <c r="D43">
        <v>2.6662425E-2</v>
      </c>
      <c r="E43">
        <v>0</v>
      </c>
      <c r="F43">
        <v>0</v>
      </c>
      <c r="G43">
        <v>2.6662425E-2</v>
      </c>
      <c r="H43" t="s">
        <v>408</v>
      </c>
      <c r="I43" t="s">
        <v>52</v>
      </c>
      <c r="J43" t="s">
        <v>52</v>
      </c>
      <c r="K43" t="s">
        <v>408</v>
      </c>
      <c r="L43" s="1">
        <v>207332</v>
      </c>
      <c r="M43" t="s">
        <v>409</v>
      </c>
      <c r="N43">
        <v>1.2419511408276001</v>
      </c>
      <c r="O43" t="s">
        <v>54</v>
      </c>
      <c r="P43" t="s">
        <v>55</v>
      </c>
      <c r="Q43">
        <v>3000</v>
      </c>
      <c r="R43">
        <v>2.5000000000000001E-2</v>
      </c>
      <c r="S43" t="s">
        <v>56</v>
      </c>
      <c r="T43" t="s">
        <v>56</v>
      </c>
      <c r="U43" t="s">
        <v>57</v>
      </c>
      <c r="V43" t="s">
        <v>58</v>
      </c>
      <c r="W43">
        <v>3</v>
      </c>
      <c r="X43">
        <v>1</v>
      </c>
      <c r="Y43" t="s">
        <v>59</v>
      </c>
      <c r="Z43" t="s">
        <v>56</v>
      </c>
      <c r="AA43" t="s">
        <v>56</v>
      </c>
      <c r="AB43" t="s">
        <v>60</v>
      </c>
      <c r="AC43" t="s">
        <v>61</v>
      </c>
      <c r="AD43" t="s">
        <v>62</v>
      </c>
      <c r="AE43" t="s">
        <v>63</v>
      </c>
      <c r="AF43" t="s">
        <v>64</v>
      </c>
      <c r="AG43" t="s">
        <v>65</v>
      </c>
      <c r="AH43" t="s">
        <v>66</v>
      </c>
      <c r="AI43" t="s">
        <v>67</v>
      </c>
      <c r="AJ43" t="b">
        <v>0</v>
      </c>
      <c r="AK43" t="b">
        <v>1</v>
      </c>
      <c r="AL43">
        <v>1</v>
      </c>
      <c r="AM43">
        <v>1</v>
      </c>
      <c r="AN43" t="s">
        <v>77</v>
      </c>
      <c r="AO43" t="s">
        <v>78</v>
      </c>
      <c r="AP43">
        <v>0.5</v>
      </c>
      <c r="AQ43" t="b">
        <v>0</v>
      </c>
      <c r="AR43" t="s">
        <v>68</v>
      </c>
      <c r="AS43">
        <v>20000</v>
      </c>
      <c r="AT43">
        <v>2000</v>
      </c>
      <c r="AU43">
        <v>2402</v>
      </c>
      <c r="AV43" t="b">
        <v>1</v>
      </c>
      <c r="AW43" t="b">
        <v>0</v>
      </c>
      <c r="AX43" t="b">
        <v>1</v>
      </c>
      <c r="AY43" t="b">
        <v>1</v>
      </c>
      <c r="AZ43" t="s">
        <v>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93EC-CBCB-40C5-A9A7-351269090895}">
  <dimension ref="A1:CF90"/>
  <sheetViews>
    <sheetView tabSelected="1" topLeftCell="BG1" zoomScale="120" zoomScaleNormal="120" workbookViewId="0">
      <selection activeCell="BH1" sqref="BH1"/>
    </sheetView>
  </sheetViews>
  <sheetFormatPr defaultRowHeight="15" x14ac:dyDescent="0.25"/>
  <cols>
    <col min="1" max="1" width="10.42578125" customWidth="1"/>
    <col min="2" max="2" width="10.85546875" customWidth="1"/>
    <col min="4" max="4" width="15" customWidth="1"/>
    <col min="5" max="5" width="19.42578125" customWidth="1"/>
    <col min="6" max="6" width="18.85546875" customWidth="1"/>
    <col min="8" max="8" width="24.28515625" hidden="1" customWidth="1"/>
    <col min="9" max="9" width="28.7109375" hidden="1" customWidth="1"/>
    <col min="10" max="10" width="28.140625" hidden="1" customWidth="1"/>
    <col min="11" max="13" width="17.28515625" customWidth="1"/>
    <col min="14" max="14" width="26" hidden="1" customWidth="1"/>
    <col min="15" max="15" width="30.5703125" hidden="1" customWidth="1"/>
    <col min="16" max="16" width="13.7109375" hidden="1" customWidth="1"/>
    <col min="18" max="18" width="9.7109375" customWidth="1"/>
    <col min="19" max="20" width="13.140625" customWidth="1"/>
    <col min="22" max="22" width="14" hidden="1" customWidth="1"/>
    <col min="23" max="23" width="17" hidden="1" customWidth="1"/>
    <col min="24" max="24" width="12.85546875" customWidth="1"/>
    <col min="25" max="25" width="14.42578125" customWidth="1"/>
    <col min="28" max="28" width="9.85546875" customWidth="1"/>
    <col min="29" max="29" width="13.140625" hidden="1" customWidth="1"/>
    <col min="30" max="30" width="14.5703125" hidden="1" customWidth="1"/>
    <col min="31" max="31" width="23.5703125" bestFit="1" customWidth="1"/>
    <col min="32" max="32" width="17.42578125" customWidth="1"/>
    <col min="33" max="33" width="9.5703125" customWidth="1"/>
    <col min="36" max="36" width="10.42578125" customWidth="1"/>
    <col min="37" max="37" width="10.85546875" customWidth="1"/>
    <col min="38" max="38" width="14.7109375" customWidth="1"/>
    <col min="39" max="39" width="17.5703125" customWidth="1"/>
    <col min="40" max="40" width="11.140625" customWidth="1"/>
    <col min="41" max="41" width="15.28515625" customWidth="1"/>
    <col min="42" max="42" width="16.140625" customWidth="1"/>
    <col min="43" max="43" width="15.85546875" customWidth="1"/>
    <col min="44" max="44" width="18.7109375" customWidth="1"/>
    <col min="45" max="45" width="19.140625" customWidth="1"/>
    <col min="46" max="46" width="20.28515625" customWidth="1"/>
    <col min="47" max="47" width="13" customWidth="1"/>
    <col min="48" max="48" width="13.85546875" customWidth="1"/>
    <col min="49" max="49" width="20.42578125" customWidth="1"/>
    <col min="51" max="51" width="14.7109375" customWidth="1"/>
    <col min="52" max="52" width="13" customWidth="1"/>
    <col min="53" max="53" width="10" customWidth="1"/>
    <col min="55" max="55" width="15.42578125" customWidth="1"/>
    <col min="56" max="56" width="9.85546875" customWidth="1"/>
    <col min="57" max="57" width="14.28515625" customWidth="1"/>
    <col min="60" max="60" width="12.42578125" bestFit="1" customWidth="1"/>
    <col min="61" max="61" width="6.42578125" bestFit="1" customWidth="1"/>
    <col min="62" max="62" width="16.140625" bestFit="1" customWidth="1"/>
    <col min="63" max="63" width="6.42578125" bestFit="1" customWidth="1"/>
    <col min="64" max="64" width="10" bestFit="1" customWidth="1"/>
    <col min="65" max="65" width="9.42578125" bestFit="1" customWidth="1"/>
    <col min="66" max="66" width="12.85546875" bestFit="1" customWidth="1"/>
    <col min="67" max="67" width="17" bestFit="1" customWidth="1"/>
    <col min="69" max="69" width="12.42578125" bestFit="1" customWidth="1"/>
    <col min="70" max="70" width="6.42578125" bestFit="1" customWidth="1"/>
    <col min="71" max="71" width="16.140625" bestFit="1" customWidth="1"/>
    <col min="72" max="72" width="6.42578125" bestFit="1" customWidth="1"/>
    <col min="73" max="73" width="10" bestFit="1" customWidth="1"/>
    <col min="74" max="74" width="9.42578125" bestFit="1" customWidth="1"/>
    <col min="75" max="75" width="12.85546875" bestFit="1" customWidth="1"/>
    <col min="76" max="76" width="17" bestFit="1" customWidth="1"/>
    <col min="81" max="81" width="16.42578125" bestFit="1" customWidth="1"/>
    <col min="82" max="82" width="18.28515625" bestFit="1" customWidth="1"/>
  </cols>
  <sheetData>
    <row r="1" spans="1:84" ht="20.25" thickBot="1" x14ac:dyDescent="0.35">
      <c r="G1" t="s">
        <v>217</v>
      </c>
      <c r="S1" t="s">
        <v>217</v>
      </c>
      <c r="AK1" t="s">
        <v>217</v>
      </c>
      <c r="AS1" t="s">
        <v>217</v>
      </c>
      <c r="BH1" s="16" t="s">
        <v>525</v>
      </c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CF1" t="s">
        <v>217</v>
      </c>
    </row>
    <row r="2" spans="1:84" ht="15.75" thickTop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495</v>
      </c>
      <c r="M2" t="s">
        <v>499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500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214</v>
      </c>
      <c r="AY2" t="s">
        <v>46</v>
      </c>
      <c r="AZ2" t="s">
        <v>47</v>
      </c>
      <c r="BA2" t="s">
        <v>48</v>
      </c>
      <c r="BB2" t="s">
        <v>49</v>
      </c>
      <c r="BC2" t="s">
        <v>285</v>
      </c>
      <c r="BD2" t="s">
        <v>445</v>
      </c>
      <c r="BE2" t="s">
        <v>446</v>
      </c>
    </row>
    <row r="3" spans="1:84" x14ac:dyDescent="0.25">
      <c r="A3">
        <v>17</v>
      </c>
      <c r="B3" t="s">
        <v>94</v>
      </c>
      <c r="C3">
        <v>97827</v>
      </c>
      <c r="D3">
        <v>2.77034E-2</v>
      </c>
      <c r="E3">
        <v>0</v>
      </c>
      <c r="F3">
        <v>0</v>
      </c>
      <c r="G3">
        <v>2.77034E-2</v>
      </c>
      <c r="H3" t="s">
        <v>410</v>
      </c>
      <c r="I3" t="s">
        <v>52</v>
      </c>
      <c r="J3" t="s">
        <v>52</v>
      </c>
      <c r="K3" t="s">
        <v>410</v>
      </c>
      <c r="L3">
        <f>_xlfn.NUMBERVALUE(MID(Table2[[#This Row],[CI_95perc_FWER]],2,FIND(",",Table2[[#This Row],[CI_95perc_FWER]])-2))</f>
        <v>2.631E-2</v>
      </c>
      <c r="M3">
        <f>_xlfn.NUMBERVALUE(MID(Table2[[#This Row],[CI_95perc_FWER]],FIND(",",Table2[[#This Row],[CI_95perc_FWER]])+1, LEN(Table2[[#This Row],[CI_95perc_FWER]])-FIND(",",Table2[[#This Row],[CI_95perc_FWER]])-1))</f>
        <v>2.9090000000000001E-2</v>
      </c>
      <c r="N3" s="1">
        <v>17252</v>
      </c>
      <c r="O3" t="s">
        <v>411</v>
      </c>
      <c r="P3">
        <v>0.49907804886500001</v>
      </c>
      <c r="Q3" t="s">
        <v>54</v>
      </c>
      <c r="R3" t="s">
        <v>55</v>
      </c>
      <c r="S3">
        <v>400</v>
      </c>
      <c r="T3">
        <f>IF(OR(Table2[[#This Row],[SampleSize]]=5000,Table2[[#This Row],[SampleSize]]=10000),"&gt;=5k",Table2[[#This Row],[SampleSize]])</f>
        <v>400</v>
      </c>
      <c r="U3">
        <v>2.5000000000000001E-2</v>
      </c>
      <c r="V3" t="s">
        <v>56</v>
      </c>
      <c r="W3" t="s">
        <v>56</v>
      </c>
      <c r="X3" t="s">
        <v>57</v>
      </c>
      <c r="Y3" t="s">
        <v>58</v>
      </c>
      <c r="Z3">
        <v>3</v>
      </c>
      <c r="AA3">
        <v>1</v>
      </c>
      <c r="AB3" t="s">
        <v>59</v>
      </c>
      <c r="AC3" t="s">
        <v>56</v>
      </c>
      <c r="AD3" t="s">
        <v>56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97</v>
      </c>
      <c r="AL3" t="s">
        <v>67</v>
      </c>
      <c r="AM3" t="b">
        <v>0</v>
      </c>
      <c r="AN3" t="b">
        <v>0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68</v>
      </c>
      <c r="AV3">
        <v>10000</v>
      </c>
      <c r="AW3">
        <v>1000</v>
      </c>
      <c r="AX3">
        <v>97827</v>
      </c>
      <c r="AY3" t="b">
        <v>1</v>
      </c>
      <c r="AZ3" t="b">
        <v>0</v>
      </c>
      <c r="BA3" t="b">
        <v>1</v>
      </c>
      <c r="BB3" t="b">
        <v>0</v>
      </c>
      <c r="BC3">
        <v>0</v>
      </c>
      <c r="BD3">
        <v>0</v>
      </c>
      <c r="BE3">
        <v>1</v>
      </c>
      <c r="BH3" s="14" t="s">
        <v>501</v>
      </c>
      <c r="BI3" s="14" t="s">
        <v>502</v>
      </c>
      <c r="BQ3" s="14" t="s">
        <v>503</v>
      </c>
      <c r="BR3" s="14" t="s">
        <v>504</v>
      </c>
      <c r="CC3">
        <f>1.05*0.025</f>
        <v>2.6250000000000002E-2</v>
      </c>
    </row>
    <row r="4" spans="1:84" x14ac:dyDescent="0.25">
      <c r="A4">
        <v>18</v>
      </c>
      <c r="B4" t="s">
        <v>98</v>
      </c>
      <c r="C4">
        <v>70743</v>
      </c>
      <c r="D4">
        <v>2.6875699999999999E-2</v>
      </c>
      <c r="E4">
        <v>0</v>
      </c>
      <c r="F4">
        <v>0</v>
      </c>
      <c r="G4">
        <v>2.6875699999999999E-2</v>
      </c>
      <c r="H4" t="s">
        <v>412</v>
      </c>
      <c r="I4" t="s">
        <v>52</v>
      </c>
      <c r="J4" t="s">
        <v>52</v>
      </c>
      <c r="K4" t="s">
        <v>412</v>
      </c>
      <c r="L4">
        <f>_xlfn.NUMBERVALUE(MID(Table2[[#This Row],[CI_95perc_FWER]],2,FIND(",",Table2[[#This Row],[CI_95perc_FWER]])-2))</f>
        <v>2.5499999999999998E-2</v>
      </c>
      <c r="M4">
        <f>_xlfn.NUMBERVALUE(MID(Table2[[#This Row],[CI_95perc_FWER]],FIND(",",Table2[[#This Row],[CI_95perc_FWER]])+1, LEN(Table2[[#This Row],[CI_95perc_FWER]])-FIND(",",Table2[[#This Row],[CI_95perc_FWER]])-1))</f>
        <v>2.8250000000000001E-2</v>
      </c>
      <c r="N4" s="1">
        <v>18232</v>
      </c>
      <c r="O4" t="s">
        <v>413</v>
      </c>
      <c r="P4">
        <v>0.40773550477292803</v>
      </c>
      <c r="Q4" t="s">
        <v>54</v>
      </c>
      <c r="R4" t="s">
        <v>55</v>
      </c>
      <c r="S4">
        <v>400</v>
      </c>
      <c r="T4">
        <f>IF(OR(Table2[[#This Row],[SampleSize]]=5000,Table2[[#This Row],[SampleSize]]=10000),"&gt;=5k",Table2[[#This Row],[SampleSize]])</f>
        <v>400</v>
      </c>
      <c r="U4">
        <v>2.5000000000000001E-2</v>
      </c>
      <c r="V4" t="s">
        <v>56</v>
      </c>
      <c r="W4" t="s">
        <v>56</v>
      </c>
      <c r="X4" t="s">
        <v>57</v>
      </c>
      <c r="Y4" t="s">
        <v>58</v>
      </c>
      <c r="Z4">
        <v>3</v>
      </c>
      <c r="AA4">
        <v>1</v>
      </c>
      <c r="AB4" t="s">
        <v>59</v>
      </c>
      <c r="AC4" t="s">
        <v>56</v>
      </c>
      <c r="AD4" t="s">
        <v>56</v>
      </c>
      <c r="AE4" t="s">
        <v>60</v>
      </c>
      <c r="AF4" t="s">
        <v>61</v>
      </c>
      <c r="AG4" t="s">
        <v>62</v>
      </c>
      <c r="AH4" t="s">
        <v>63</v>
      </c>
      <c r="AI4" t="s">
        <v>64</v>
      </c>
      <c r="AJ4" t="s">
        <v>65</v>
      </c>
      <c r="AK4" t="s">
        <v>97</v>
      </c>
      <c r="AL4" t="s">
        <v>67</v>
      </c>
      <c r="AM4" t="b">
        <v>0</v>
      </c>
      <c r="AN4" t="b">
        <v>1</v>
      </c>
      <c r="AO4">
        <v>1</v>
      </c>
      <c r="AP4">
        <v>1</v>
      </c>
      <c r="AQ4" t="s">
        <v>72</v>
      </c>
      <c r="AR4" t="s">
        <v>73</v>
      </c>
      <c r="AS4">
        <v>1</v>
      </c>
      <c r="AT4" t="b">
        <v>0</v>
      </c>
      <c r="AU4" t="s">
        <v>68</v>
      </c>
      <c r="AV4">
        <v>10000</v>
      </c>
      <c r="AW4">
        <v>1000</v>
      </c>
      <c r="AX4">
        <v>70743</v>
      </c>
      <c r="AY4" t="b">
        <v>1</v>
      </c>
      <c r="AZ4" t="b">
        <v>0</v>
      </c>
      <c r="BA4" t="b">
        <v>1</v>
      </c>
      <c r="BB4" t="b">
        <v>0</v>
      </c>
      <c r="BC4">
        <v>0</v>
      </c>
      <c r="BD4">
        <v>0</v>
      </c>
      <c r="BE4">
        <v>9</v>
      </c>
      <c r="BH4" t="s">
        <v>449</v>
      </c>
      <c r="BI4" t="s">
        <v>450</v>
      </c>
      <c r="BJ4" t="s">
        <v>451</v>
      </c>
      <c r="BK4" t="s">
        <v>452</v>
      </c>
      <c r="BL4" s="13" t="s">
        <v>453</v>
      </c>
      <c r="BM4" s="12" t="s">
        <v>454</v>
      </c>
      <c r="BN4" s="14" t="s">
        <v>6</v>
      </c>
      <c r="BO4" t="s">
        <v>455</v>
      </c>
      <c r="BQ4" t="s">
        <v>449</v>
      </c>
      <c r="BR4" t="s">
        <v>450</v>
      </c>
      <c r="BS4" t="s">
        <v>451</v>
      </c>
      <c r="BT4" t="s">
        <v>452</v>
      </c>
      <c r="BU4" s="13" t="s">
        <v>453</v>
      </c>
      <c r="BV4" s="12" t="s">
        <v>454</v>
      </c>
      <c r="BW4" s="14" t="s">
        <v>6</v>
      </c>
      <c r="BX4" t="s">
        <v>455</v>
      </c>
      <c r="CA4" t="s">
        <v>450</v>
      </c>
      <c r="CB4" t="s">
        <v>229</v>
      </c>
      <c r="CC4" t="str">
        <f>_xlfn.CONCAT("% FWER &gt; ",$CC$3)</f>
        <v>% FWER &gt; 0.02625</v>
      </c>
      <c r="CD4" t="s">
        <v>496</v>
      </c>
      <c r="CE4" t="s">
        <v>497</v>
      </c>
      <c r="CF4" t="s">
        <v>498</v>
      </c>
    </row>
    <row r="5" spans="1:84" x14ac:dyDescent="0.25">
      <c r="A5">
        <v>19</v>
      </c>
      <c r="B5" t="s">
        <v>101</v>
      </c>
      <c r="C5">
        <v>2402</v>
      </c>
      <c r="D5">
        <v>2.8046600000000001E-2</v>
      </c>
      <c r="E5">
        <v>0</v>
      </c>
      <c r="F5">
        <v>0</v>
      </c>
      <c r="G5">
        <v>2.8046600000000001E-2</v>
      </c>
      <c r="H5" t="s">
        <v>414</v>
      </c>
      <c r="I5" t="s">
        <v>52</v>
      </c>
      <c r="J5" t="s">
        <v>52</v>
      </c>
      <c r="K5" t="s">
        <v>414</v>
      </c>
      <c r="L5">
        <f>_xlfn.NUMBERVALUE(MID(Table2[[#This Row],[CI_95perc_FWER]],2,FIND(",",Table2[[#This Row],[CI_95perc_FWER]])-2))</f>
        <v>2.657E-2</v>
      </c>
      <c r="M5">
        <f>_xlfn.NUMBERVALUE(MID(Table2[[#This Row],[CI_95perc_FWER]],FIND(",",Table2[[#This Row],[CI_95perc_FWER]])+1, LEN(Table2[[#This Row],[CI_95perc_FWER]])-FIND(",",Table2[[#This Row],[CI_95perc_FWER]])-1))</f>
        <v>2.9520000000000001E-2</v>
      </c>
      <c r="N5" s="1">
        <v>26255</v>
      </c>
      <c r="O5" t="s">
        <v>415</v>
      </c>
      <c r="P5">
        <v>0.31924427641762598</v>
      </c>
      <c r="Q5" t="s">
        <v>54</v>
      </c>
      <c r="R5" t="s">
        <v>55</v>
      </c>
      <c r="S5">
        <v>400</v>
      </c>
      <c r="T5">
        <f>IF(OR(Table2[[#This Row],[SampleSize]]=5000,Table2[[#This Row],[SampleSize]]=10000),"&gt;=5k",Table2[[#This Row],[SampleSize]])</f>
        <v>400</v>
      </c>
      <c r="U5">
        <v>2.5000000000000001E-2</v>
      </c>
      <c r="V5" t="s">
        <v>56</v>
      </c>
      <c r="W5" t="s">
        <v>56</v>
      </c>
      <c r="X5" t="s">
        <v>57</v>
      </c>
      <c r="Y5" t="s">
        <v>58</v>
      </c>
      <c r="Z5">
        <v>3</v>
      </c>
      <c r="AA5">
        <v>1</v>
      </c>
      <c r="AB5" t="s">
        <v>59</v>
      </c>
      <c r="AC5" t="s">
        <v>56</v>
      </c>
      <c r="AD5" t="s">
        <v>56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97</v>
      </c>
      <c r="AL5" t="s">
        <v>67</v>
      </c>
      <c r="AM5" t="b">
        <v>0</v>
      </c>
      <c r="AN5" t="b">
        <v>1</v>
      </c>
      <c r="AO5">
        <v>1</v>
      </c>
      <c r="AP5">
        <v>1</v>
      </c>
      <c r="AQ5" t="s">
        <v>77</v>
      </c>
      <c r="AR5" t="s">
        <v>78</v>
      </c>
      <c r="AS5">
        <v>0.5</v>
      </c>
      <c r="AT5" t="b">
        <v>0</v>
      </c>
      <c r="AU5" t="s">
        <v>68</v>
      </c>
      <c r="AV5">
        <v>10000</v>
      </c>
      <c r="AW5">
        <v>1000</v>
      </c>
      <c r="AX5">
        <v>2402</v>
      </c>
      <c r="AY5" t="b">
        <v>1</v>
      </c>
      <c r="AZ5" t="b">
        <v>0</v>
      </c>
      <c r="BA5" t="b">
        <v>1</v>
      </c>
      <c r="BB5" t="b">
        <v>0</v>
      </c>
      <c r="BC5">
        <v>5</v>
      </c>
      <c r="BD5" t="s">
        <v>447</v>
      </c>
      <c r="BE5">
        <v>5</v>
      </c>
      <c r="BH5">
        <v>17</v>
      </c>
      <c r="BI5">
        <f>INDEX(Table2[SampleSize],MATCH(BH5,Table2[ModelID],0))</f>
        <v>400</v>
      </c>
      <c r="BJ5" t="str">
        <f>INDEX(Table2[FWERControl],MATCH(BH5,Table2[ModelID],0))</f>
        <v>CombinationTest</v>
      </c>
      <c r="BK5" t="b">
        <f>INDEX(Table2[UseCC],MATCH(BH5,Table2[ModelID],0))</f>
        <v>0</v>
      </c>
      <c r="BL5" s="13" t="str">
        <f>INDEX(Table2[SelectionParmeter],MATCH(BH5,Table2[ModelID],0))</f>
        <v>NA</v>
      </c>
      <c r="BM5" s="12" t="str">
        <f>INDEX(Table2[info_frac],MATCH(BH5,Table2[ModelID],0))</f>
        <v>c(0.5,1)</v>
      </c>
      <c r="BN5" s="14">
        <f>INDEX(Table2[FWER],MATCH(BH5,Table2[ModelID],0))</f>
        <v>2.77034E-2</v>
      </c>
      <c r="BO5" t="str">
        <f>INDEX(Table2[CI_95perc_FWER],MATCH(BH5,Table2[ModelID],0))</f>
        <v>(0.02631,0.02909)</v>
      </c>
      <c r="BQ5">
        <v>9</v>
      </c>
      <c r="BR5">
        <f>INDEX(Table2[SampleSize],MATCH(BQ5,Table2[ModelID],0))</f>
        <v>600</v>
      </c>
      <c r="BS5" t="str">
        <f>INDEX(Table2[FWERControl],MATCH(BQ5,Table2[ModelID],0))</f>
        <v>CombinationTest</v>
      </c>
      <c r="BT5" t="b">
        <f>INDEX(Table2[UseCC],MATCH(BQ5,Table2[ModelID],0))</f>
        <v>0</v>
      </c>
      <c r="BU5" s="13" t="str">
        <f>INDEX(Table2[SelectionParmeter],MATCH(BQ5,Table2[ModelID],0))</f>
        <v>NA</v>
      </c>
      <c r="BV5" s="12" t="str">
        <f>INDEX(Table2[info_frac],MATCH(BQ5,Table2[ModelID],0))</f>
        <v>c(0.75,1)</v>
      </c>
      <c r="BW5" s="14">
        <f>INDEX(Table2[FWER],MATCH(BQ5,Table2[ModelID],0))</f>
        <v>2.9327499999999999E-2</v>
      </c>
      <c r="BX5" t="str">
        <f>INDEX(Table2[CI_95perc_FWER],MATCH(BQ5,Table2[ModelID],0))</f>
        <v>(0.02686,0.03179)</v>
      </c>
      <c r="CA5">
        <v>400</v>
      </c>
      <c r="CB5">
        <f>COUNTIFS(Table2[SampleSize],$CA5)</f>
        <v>21</v>
      </c>
      <c r="CC5" s="11">
        <f>COUNTIFS(Table2[SampleSize],$CA5,Table2[FWER],_xlfn.CONCAT("&gt;",$CC$3))/$CB5</f>
        <v>0.5714285714285714</v>
      </c>
      <c r="CD5" s="11">
        <f>COUNTIFS(Table2[SampleSize],$CA5,Table2[FWER_LCL],"&lt;0.025")/$CB5</f>
        <v>0.42857142857142855</v>
      </c>
      <c r="CE5" s="11">
        <f>COUNTIFS(Table2[SampleSize],$CA5,Table2[UseCC],TRUE)/$CB5</f>
        <v>0.2857142857142857</v>
      </c>
      <c r="CF5" s="11">
        <f>COUNTIFS(Table2[SampleSize],$CA5,Table2[info_frac],"c(0.5,1)")/$CB5</f>
        <v>0.95238095238095233</v>
      </c>
    </row>
    <row r="6" spans="1:84" x14ac:dyDescent="0.25">
      <c r="A6">
        <v>20</v>
      </c>
      <c r="B6" t="s">
        <v>104</v>
      </c>
      <c r="C6">
        <v>2637</v>
      </c>
      <c r="D6">
        <v>2.8146899999999999E-2</v>
      </c>
      <c r="E6">
        <v>0</v>
      </c>
      <c r="F6">
        <v>0</v>
      </c>
      <c r="G6">
        <v>2.8146899999999999E-2</v>
      </c>
      <c r="H6" t="s">
        <v>416</v>
      </c>
      <c r="I6" t="s">
        <v>52</v>
      </c>
      <c r="J6" t="s">
        <v>52</v>
      </c>
      <c r="K6" t="s">
        <v>416</v>
      </c>
      <c r="L6">
        <f>_xlfn.NUMBERVALUE(MID(Table2[[#This Row],[CI_95perc_FWER]],2,FIND(",",Table2[[#This Row],[CI_95perc_FWER]])-2))</f>
        <v>2.6669999999999999E-2</v>
      </c>
      <c r="M6">
        <f>_xlfn.NUMBERVALUE(MID(Table2[[#This Row],[CI_95perc_FWER]],FIND(",",Table2[[#This Row],[CI_95perc_FWER]])+1, LEN(Table2[[#This Row],[CI_95perc_FWER]])-FIND(",",Table2[[#This Row],[CI_95perc_FWER]])-1))</f>
        <v>2.962E-2</v>
      </c>
      <c r="N6" s="1">
        <v>26258</v>
      </c>
      <c r="O6" t="s">
        <v>417</v>
      </c>
      <c r="P6">
        <v>0.407144010000759</v>
      </c>
      <c r="Q6" t="s">
        <v>54</v>
      </c>
      <c r="R6" t="s">
        <v>55</v>
      </c>
      <c r="S6">
        <v>400</v>
      </c>
      <c r="T6">
        <f>IF(OR(Table2[[#This Row],[SampleSize]]=5000,Table2[[#This Row],[SampleSize]]=10000),"&gt;=5k",Table2[[#This Row],[SampleSize]])</f>
        <v>400</v>
      </c>
      <c r="U6">
        <v>2.5000000000000001E-2</v>
      </c>
      <c r="V6" t="s">
        <v>56</v>
      </c>
      <c r="W6" t="s">
        <v>56</v>
      </c>
      <c r="X6" t="s">
        <v>57</v>
      </c>
      <c r="Y6" t="s">
        <v>58</v>
      </c>
      <c r="Z6">
        <v>3</v>
      </c>
      <c r="AA6">
        <v>1</v>
      </c>
      <c r="AB6" t="s">
        <v>59</v>
      </c>
      <c r="AC6" t="s">
        <v>56</v>
      </c>
      <c r="AD6" t="s">
        <v>56</v>
      </c>
      <c r="AE6" t="s">
        <v>60</v>
      </c>
      <c r="AF6" t="s">
        <v>61</v>
      </c>
      <c r="AG6" t="s">
        <v>62</v>
      </c>
      <c r="AH6" t="s">
        <v>63</v>
      </c>
      <c r="AI6" t="s">
        <v>64</v>
      </c>
      <c r="AJ6" t="s">
        <v>65</v>
      </c>
      <c r="AK6" t="s">
        <v>97</v>
      </c>
      <c r="AL6" t="s">
        <v>67</v>
      </c>
      <c r="AM6" t="b">
        <v>0</v>
      </c>
      <c r="AN6" t="b">
        <v>1</v>
      </c>
      <c r="AO6">
        <v>1</v>
      </c>
      <c r="AP6">
        <v>1</v>
      </c>
      <c r="AQ6" t="s">
        <v>77</v>
      </c>
      <c r="AR6" t="s">
        <v>78</v>
      </c>
      <c r="AS6">
        <v>0.75</v>
      </c>
      <c r="AT6" t="b">
        <v>1</v>
      </c>
      <c r="AU6" t="s">
        <v>36</v>
      </c>
      <c r="AV6">
        <v>10000</v>
      </c>
      <c r="AW6">
        <v>1000</v>
      </c>
      <c r="AX6">
        <v>2637</v>
      </c>
      <c r="AY6" t="b">
        <v>1</v>
      </c>
      <c r="AZ6" t="b">
        <v>0</v>
      </c>
      <c r="BA6" t="b">
        <v>1</v>
      </c>
      <c r="BB6" t="b">
        <v>0</v>
      </c>
      <c r="BC6">
        <v>6</v>
      </c>
      <c r="BD6" t="s">
        <v>447</v>
      </c>
      <c r="BE6">
        <v>7</v>
      </c>
      <c r="BH6">
        <v>25</v>
      </c>
      <c r="BI6">
        <f>INDEX(Table2[SampleSize],MATCH(BH6,Table2[ModelID],0))</f>
        <v>400</v>
      </c>
      <c r="BJ6" t="str">
        <f>INDEX(Table2[FWERControl],MATCH(BH6,Table2[ModelID],0))</f>
        <v>None</v>
      </c>
      <c r="BK6" t="b">
        <f>INDEX(Table2[UseCC],MATCH(BH6,Table2[ModelID],0))</f>
        <v>0</v>
      </c>
      <c r="BL6" s="13" t="str">
        <f>INDEX(Table2[SelectionParmeter],MATCH(BH6,Table2[ModelID],0))</f>
        <v>NA</v>
      </c>
      <c r="BM6" s="12" t="str">
        <f>INDEX(Table2[info_frac],MATCH(BH6,Table2[ModelID],0))</f>
        <v>c(0.5,1)</v>
      </c>
      <c r="BN6" s="14">
        <f>INDEX(Table2[FWER],MATCH(BH6,Table2[ModelID],0))</f>
        <v>2.6880299999999999E-2</v>
      </c>
      <c r="BO6" t="str">
        <f>INDEX(Table2[CI_95perc_FWER],MATCH(BH6,Table2[ModelID],0))</f>
        <v>(0.02553,0.02823)</v>
      </c>
      <c r="BQ6">
        <v>33</v>
      </c>
      <c r="BR6">
        <f>INDEX(Table2[SampleSize],MATCH(BQ6,Table2[ModelID],0))</f>
        <v>600</v>
      </c>
      <c r="BS6" t="str">
        <f>INDEX(Table2[FWERControl],MATCH(BQ6,Table2[ModelID],0))</f>
        <v>CombinationTest</v>
      </c>
      <c r="BT6" t="b">
        <f>INDEX(Table2[UseCC],MATCH(BQ6,Table2[ModelID],0))</f>
        <v>1</v>
      </c>
      <c r="BU6" s="13" t="str">
        <f>INDEX(Table2[SelectionParmeter],MATCH(BQ6,Table2[ModelID],0))</f>
        <v>NA</v>
      </c>
      <c r="BV6" s="12" t="str">
        <f>INDEX(Table2[info_frac],MATCH(BQ6,Table2[ModelID],0))</f>
        <v>c(0.75,1)</v>
      </c>
      <c r="BW6" s="14">
        <f>INDEX(Table2[FWER],MATCH(BQ6,Table2[ModelID],0))</f>
        <v>2.71547E-2</v>
      </c>
      <c r="BX6" t="str">
        <f>INDEX(Table2[CI_95perc_FWER],MATCH(BQ6,Table2[ModelID],0))</f>
        <v>(0.02478,0.02953)</v>
      </c>
      <c r="CA6">
        <v>600</v>
      </c>
      <c r="CB6">
        <f>COUNTIFS(Table2[SampleSize],$CA6)</f>
        <v>13</v>
      </c>
      <c r="CC6" s="11">
        <f>COUNTIFS(Table2[SampleSize],$CA6,Table2[FWER],_xlfn.CONCAT("&gt;",$CC$3))/$CB6</f>
        <v>0.61538461538461542</v>
      </c>
      <c r="CD6" s="11">
        <f>COUNTIFS(Table2[SampleSize],$CA6,Table2[FWER_LCL],"&lt;0.025")/$CB6</f>
        <v>0.69230769230769229</v>
      </c>
      <c r="CE6" s="11">
        <f>COUNTIFS(Table2[SampleSize],$CA6,Table2[UseCC],TRUE)/$CB6</f>
        <v>0.46153846153846156</v>
      </c>
      <c r="CF6" s="11">
        <f>COUNTIFS(Table2[SampleSize],$CA6,Table2[info_frac],"c(0.5,1)")/$CB6</f>
        <v>7.6923076923076927E-2</v>
      </c>
    </row>
    <row r="7" spans="1:84" x14ac:dyDescent="0.25">
      <c r="A7">
        <v>21</v>
      </c>
      <c r="B7" t="s">
        <v>107</v>
      </c>
      <c r="C7">
        <v>499</v>
      </c>
      <c r="D7">
        <v>2.7767699999999999E-2</v>
      </c>
      <c r="E7">
        <v>0</v>
      </c>
      <c r="F7">
        <v>0</v>
      </c>
      <c r="G7">
        <v>2.7767699999999999E-2</v>
      </c>
      <c r="H7" t="s">
        <v>418</v>
      </c>
      <c r="I7" t="s">
        <v>52</v>
      </c>
      <c r="J7" t="s">
        <v>52</v>
      </c>
      <c r="K7" t="s">
        <v>418</v>
      </c>
      <c r="L7">
        <f>_xlfn.NUMBERVALUE(MID(Table2[[#This Row],[CI_95perc_FWER]],2,FIND(",",Table2[[#This Row],[CI_95perc_FWER]])-2))</f>
        <v>2.631E-2</v>
      </c>
      <c r="M7">
        <f>_xlfn.NUMBERVALUE(MID(Table2[[#This Row],[CI_95perc_FWER]],FIND(",",Table2[[#This Row],[CI_95perc_FWER]])+1, LEN(Table2[[#This Row],[CI_95perc_FWER]])-FIND(",",Table2[[#This Row],[CI_95perc_FWER]])-1))</f>
        <v>2.9219999999999999E-2</v>
      </c>
      <c r="N7" s="1">
        <v>25258</v>
      </c>
      <c r="O7" t="s">
        <v>419</v>
      </c>
      <c r="P7">
        <v>0.315653452277184</v>
      </c>
      <c r="Q7" t="s">
        <v>54</v>
      </c>
      <c r="R7" t="s">
        <v>55</v>
      </c>
      <c r="S7">
        <v>400</v>
      </c>
      <c r="T7">
        <f>IF(OR(Table2[[#This Row],[SampleSize]]=5000,Table2[[#This Row],[SampleSize]]=10000),"&gt;=5k",Table2[[#This Row],[SampleSize]])</f>
        <v>400</v>
      </c>
      <c r="U7">
        <v>2.5000000000000001E-2</v>
      </c>
      <c r="V7" t="s">
        <v>56</v>
      </c>
      <c r="W7" t="s">
        <v>56</v>
      </c>
      <c r="X7" t="s">
        <v>57</v>
      </c>
      <c r="Y7" t="s">
        <v>58</v>
      </c>
      <c r="Z7">
        <v>3</v>
      </c>
      <c r="AA7">
        <v>1</v>
      </c>
      <c r="AB7" t="s">
        <v>59</v>
      </c>
      <c r="AC7" t="s">
        <v>56</v>
      </c>
      <c r="AD7" t="s">
        <v>56</v>
      </c>
      <c r="AE7" t="s">
        <v>60</v>
      </c>
      <c r="AF7" t="s">
        <v>61</v>
      </c>
      <c r="AG7" t="s">
        <v>62</v>
      </c>
      <c r="AH7" t="s">
        <v>63</v>
      </c>
      <c r="AI7" t="s">
        <v>64</v>
      </c>
      <c r="AJ7" t="s">
        <v>65</v>
      </c>
      <c r="AK7" t="s">
        <v>97</v>
      </c>
      <c r="AL7" t="s">
        <v>67</v>
      </c>
      <c r="AM7" t="b">
        <v>0</v>
      </c>
      <c r="AN7" t="b">
        <v>1</v>
      </c>
      <c r="AO7">
        <v>1</v>
      </c>
      <c r="AP7">
        <v>1</v>
      </c>
      <c r="AQ7" t="s">
        <v>77</v>
      </c>
      <c r="AR7" t="s">
        <v>78</v>
      </c>
      <c r="AS7">
        <v>0.5</v>
      </c>
      <c r="AT7" t="b">
        <v>1</v>
      </c>
      <c r="AU7" t="s">
        <v>36</v>
      </c>
      <c r="AV7">
        <v>10000</v>
      </c>
      <c r="AW7">
        <v>1000</v>
      </c>
      <c r="AX7">
        <v>499</v>
      </c>
      <c r="AY7" t="b">
        <v>1</v>
      </c>
      <c r="AZ7" t="b">
        <v>0</v>
      </c>
      <c r="BA7" t="b">
        <v>1</v>
      </c>
      <c r="BB7" t="b">
        <v>0</v>
      </c>
      <c r="BC7">
        <v>0</v>
      </c>
      <c r="BD7">
        <v>0</v>
      </c>
      <c r="BE7">
        <v>5</v>
      </c>
      <c r="BH7">
        <v>67</v>
      </c>
      <c r="BI7">
        <f>INDEX(Table2[SampleSize],MATCH(BH7,Table2[ModelID],0))</f>
        <v>1000</v>
      </c>
      <c r="BJ7" t="str">
        <f>INDEX(Table2[FWERControl],MATCH(BH7,Table2[ModelID],0))</f>
        <v>CombinationTest</v>
      </c>
      <c r="BK7" t="b">
        <f>INDEX(Table2[UseCC],MATCH(BH7,Table2[ModelID],0))</f>
        <v>0</v>
      </c>
      <c r="BL7" s="13" t="str">
        <f>INDEX(Table2[SelectionParmeter],MATCH(BH7,Table2[ModelID],0))</f>
        <v>NA</v>
      </c>
      <c r="BM7" s="12" t="str">
        <f>INDEX(Table2[info_frac],MATCH(BH7,Table2[ModelID],0))</f>
        <v>c(0.5,1)</v>
      </c>
      <c r="BN7" s="14">
        <f>INDEX(Table2[FWER],MATCH(BH7,Table2[ModelID],0))</f>
        <v>2.54968E-2</v>
      </c>
      <c r="BO7" t="str">
        <f>INDEX(Table2[CI_95perc_FWER],MATCH(BH7,Table2[ModelID],0))</f>
        <v>(0.02455,0.02644)</v>
      </c>
      <c r="BQ7">
        <v>88</v>
      </c>
      <c r="BR7">
        <f>INDEX(Table2[SampleSize],MATCH(BQ7,Table2[ModelID],0))</f>
        <v>1000</v>
      </c>
      <c r="BS7" t="str">
        <f>INDEX(Table2[FWERControl],MATCH(BQ7,Table2[ModelID],0))</f>
        <v>CombinationTest</v>
      </c>
      <c r="BT7" t="b">
        <f>INDEX(Table2[UseCC],MATCH(BQ7,Table2[ModelID],0))</f>
        <v>0</v>
      </c>
      <c r="BU7" s="13" t="str">
        <f>INDEX(Table2[SelectionParmeter],MATCH(BQ7,Table2[ModelID],0))</f>
        <v>NA</v>
      </c>
      <c r="BV7" s="12" t="str">
        <f>INDEX(Table2[info_frac],MATCH(BQ7,Table2[ModelID],0))</f>
        <v>c(0.75,1)</v>
      </c>
      <c r="BW7" s="14">
        <f>INDEX(Table2[FWER],MATCH(BQ7,Table2[ModelID],0))</f>
        <v>2.48401E-2</v>
      </c>
      <c r="BX7" t="str">
        <f>INDEX(Table2[CI_95perc_FWER],MATCH(BQ7,Table2[ModelID],0))</f>
        <v>(0.0233,0.02638)</v>
      </c>
      <c r="CA7">
        <v>1000</v>
      </c>
      <c r="CB7">
        <f>COUNTIFS(Table2[SampleSize],$CA7)</f>
        <v>18</v>
      </c>
      <c r="CC7" s="11">
        <f>COUNTIFS(Table2[SampleSize],$CA7,Table2[FWER],_xlfn.CONCAT("&gt;",$CC$3))/$CB7</f>
        <v>5.5555555555555552E-2</v>
      </c>
      <c r="CD7" s="11">
        <f>COUNTIFS(Table2[SampleSize],$CA7,Table2[FWER_LCL],"&lt;0.025")/$CB7</f>
        <v>0.83333333333333337</v>
      </c>
      <c r="CE7" s="11">
        <f>COUNTIFS(Table2[SampleSize],$CA7,Table2[UseCC],TRUE)/$CB7</f>
        <v>0.61111111111111116</v>
      </c>
      <c r="CF7" s="11">
        <f>COUNTIFS(Table2[SampleSize],$CA7,Table2[info_frac],"c(0.5,1)")/$CB7</f>
        <v>0.61111111111111116</v>
      </c>
    </row>
    <row r="8" spans="1:84" x14ac:dyDescent="0.25">
      <c r="A8">
        <v>22</v>
      </c>
      <c r="B8" t="s">
        <v>110</v>
      </c>
      <c r="C8">
        <v>30953</v>
      </c>
      <c r="D8">
        <v>2.5917800000000001E-2</v>
      </c>
      <c r="E8">
        <v>0</v>
      </c>
      <c r="F8">
        <v>0</v>
      </c>
      <c r="G8">
        <v>2.5917800000000001E-2</v>
      </c>
      <c r="H8" t="s">
        <v>420</v>
      </c>
      <c r="I8" t="s">
        <v>52</v>
      </c>
      <c r="J8" t="s">
        <v>52</v>
      </c>
      <c r="K8" t="s">
        <v>420</v>
      </c>
      <c r="L8">
        <f>_xlfn.NUMBERVALUE(MID(Table2[[#This Row],[CI_95perc_FWER]],2,FIND(",",Table2[[#This Row],[CI_95perc_FWER]])-2))</f>
        <v>2.4479999999999998E-2</v>
      </c>
      <c r="M8">
        <f>_xlfn.NUMBERVALUE(MID(Table2[[#This Row],[CI_95perc_FWER]],FIND(",",Table2[[#This Row],[CI_95perc_FWER]])+1, LEN(Table2[[#This Row],[CI_95perc_FWER]])-FIND(",",Table2[[#This Row],[CI_95perc_FWER]])-1))</f>
        <v>2.7359999999999999E-2</v>
      </c>
      <c r="N8" s="1">
        <v>23224</v>
      </c>
      <c r="O8" t="s">
        <v>421</v>
      </c>
      <c r="P8">
        <v>0.188604824211862</v>
      </c>
      <c r="Q8" t="s">
        <v>54</v>
      </c>
      <c r="R8" t="s">
        <v>55</v>
      </c>
      <c r="S8">
        <v>400</v>
      </c>
      <c r="T8">
        <f>IF(OR(Table2[[#This Row],[SampleSize]]=5000,Table2[[#This Row],[SampleSize]]=10000),"&gt;=5k",Table2[[#This Row],[SampleSize]])</f>
        <v>400</v>
      </c>
      <c r="U8">
        <v>2.5000000000000001E-2</v>
      </c>
      <c r="V8" t="s">
        <v>56</v>
      </c>
      <c r="W8" t="s">
        <v>56</v>
      </c>
      <c r="X8" t="s">
        <v>57</v>
      </c>
      <c r="Y8" t="s">
        <v>58</v>
      </c>
      <c r="Z8">
        <v>3</v>
      </c>
      <c r="AA8">
        <v>1</v>
      </c>
      <c r="AB8" t="s">
        <v>59</v>
      </c>
      <c r="AC8" t="s">
        <v>56</v>
      </c>
      <c r="AD8" t="s">
        <v>56</v>
      </c>
      <c r="AE8" t="s">
        <v>60</v>
      </c>
      <c r="AF8" t="s">
        <v>61</v>
      </c>
      <c r="AG8" t="s">
        <v>62</v>
      </c>
      <c r="AH8" t="s">
        <v>63</v>
      </c>
      <c r="AI8" t="s">
        <v>64</v>
      </c>
      <c r="AJ8" t="s">
        <v>65</v>
      </c>
      <c r="AK8" t="s">
        <v>97</v>
      </c>
      <c r="AL8" t="s">
        <v>67</v>
      </c>
      <c r="AM8" t="b">
        <v>0</v>
      </c>
      <c r="AN8" t="b">
        <v>1</v>
      </c>
      <c r="AO8">
        <v>1</v>
      </c>
      <c r="AP8">
        <v>1</v>
      </c>
      <c r="AQ8" t="s">
        <v>77</v>
      </c>
      <c r="AR8" t="s">
        <v>78</v>
      </c>
      <c r="AS8">
        <v>0.25</v>
      </c>
      <c r="AT8" t="b">
        <v>1</v>
      </c>
      <c r="AU8" t="s">
        <v>36</v>
      </c>
      <c r="AV8">
        <v>10000</v>
      </c>
      <c r="AW8">
        <v>1000</v>
      </c>
      <c r="AX8">
        <v>30953</v>
      </c>
      <c r="AY8" t="b">
        <v>1</v>
      </c>
      <c r="AZ8" t="b">
        <v>0</v>
      </c>
      <c r="BA8" t="b">
        <v>1</v>
      </c>
      <c r="BB8" t="b">
        <v>0</v>
      </c>
      <c r="BC8">
        <v>0</v>
      </c>
      <c r="BD8">
        <v>0</v>
      </c>
      <c r="BE8">
        <v>3</v>
      </c>
      <c r="BH8">
        <v>72</v>
      </c>
      <c r="BI8">
        <f>INDEX(Table2[SampleSize],MATCH(BH8,Table2[ModelID],0))</f>
        <v>1000</v>
      </c>
      <c r="BJ8" t="str">
        <f>INDEX(Table2[FWERControl],MATCH(BH8,Table2[ModelID],0))</f>
        <v>CombinationTest</v>
      </c>
      <c r="BK8" t="b">
        <f>INDEX(Table2[UseCC],MATCH(BH8,Table2[ModelID],0))</f>
        <v>1</v>
      </c>
      <c r="BL8" s="13" t="str">
        <f>INDEX(Table2[SelectionParmeter],MATCH(BH8,Table2[ModelID],0))</f>
        <v>NA</v>
      </c>
      <c r="BM8" s="12" t="str">
        <f>INDEX(Table2[info_frac],MATCH(BH8,Table2[ModelID],0))</f>
        <v>c(0.5,1)</v>
      </c>
      <c r="BN8" s="14">
        <f>INDEX(Table2[FWER],MATCH(BH8,Table2[ModelID],0))</f>
        <v>2.4516474999999999E-2</v>
      </c>
      <c r="BO8" t="str">
        <f>INDEX(Table2[CI_95perc_FWER],MATCH(BH8,Table2[ModelID],0))</f>
        <v>(0.0236,0.02543)</v>
      </c>
      <c r="BQ8">
        <v>94</v>
      </c>
      <c r="BR8">
        <f>INDEX(Table2[SampleSize],MATCH(BQ8,Table2[ModelID],0))</f>
        <v>1000</v>
      </c>
      <c r="BS8" t="str">
        <f>INDEX(Table2[FWERControl],MATCH(BQ8,Table2[ModelID],0))</f>
        <v>CombinationTest</v>
      </c>
      <c r="BT8" t="b">
        <f>INDEX(Table2[UseCC],MATCH(BQ8,Table2[ModelID],0))</f>
        <v>1</v>
      </c>
      <c r="BU8" s="13" t="str">
        <f>INDEX(Table2[SelectionParmeter],MATCH(BQ8,Table2[ModelID],0))</f>
        <v>NA</v>
      </c>
      <c r="BV8" s="12" t="str">
        <f>INDEX(Table2[info_frac],MATCH(BQ8,Table2[ModelID],0))</f>
        <v>c(0.75,1)</v>
      </c>
      <c r="BW8" s="14">
        <f>INDEX(Table2[FWER],MATCH(BQ8,Table2[ModelID],0))</f>
        <v>2.3939100000000001E-2</v>
      </c>
      <c r="BX8" t="str">
        <f>INDEX(Table2[CI_95perc_FWER],MATCH(BQ8,Table2[ModelID],0))</f>
        <v>(0.02243,0.02545)</v>
      </c>
      <c r="CA8">
        <v>3000</v>
      </c>
      <c r="CB8">
        <f>COUNTIFS(Table2[SampleSize],$CA8)</f>
        <v>18</v>
      </c>
      <c r="CC8" s="11">
        <f>COUNTIFS(Table2[SampleSize],$CA8,Table2[FWER],_xlfn.CONCAT("&gt;",$CC$3))/$CB8</f>
        <v>0.22222222222222221</v>
      </c>
      <c r="CD8" s="11">
        <f>COUNTIFS(Table2[SampleSize],$CA8,Table2[FWER_LCL],"&lt;0.025")/$CB8</f>
        <v>0.66666666666666663</v>
      </c>
      <c r="CE8" s="11">
        <f>COUNTIFS(Table2[SampleSize],$CA8,Table2[UseCC],TRUE)/$CB8</f>
        <v>0.61111111111111116</v>
      </c>
      <c r="CF8" s="11">
        <f>COUNTIFS(Table2[SampleSize],$CA8,Table2[info_frac],"c(0.5,1)")/$CB8</f>
        <v>0.61111111111111116</v>
      </c>
    </row>
    <row r="9" spans="1:84" x14ac:dyDescent="0.25">
      <c r="A9">
        <v>23</v>
      </c>
      <c r="B9" t="s">
        <v>113</v>
      </c>
      <c r="C9">
        <v>59079</v>
      </c>
      <c r="D9">
        <v>2.7047700000000001E-2</v>
      </c>
      <c r="E9">
        <v>0</v>
      </c>
      <c r="F9">
        <v>0</v>
      </c>
      <c r="G9">
        <v>2.7047700000000001E-2</v>
      </c>
      <c r="H9" t="s">
        <v>422</v>
      </c>
      <c r="I9" t="s">
        <v>52</v>
      </c>
      <c r="J9" t="s">
        <v>52</v>
      </c>
      <c r="K9" t="s">
        <v>422</v>
      </c>
      <c r="L9">
        <f>_xlfn.NUMBERVALUE(MID(Table2[[#This Row],[CI_95perc_FWER]],2,FIND(",",Table2[[#This Row],[CI_95perc_FWER]])-2))</f>
        <v>2.5669999999999998E-2</v>
      </c>
      <c r="M9">
        <f>_xlfn.NUMBERVALUE(MID(Table2[[#This Row],[CI_95perc_FWER]],FIND(",",Table2[[#This Row],[CI_95perc_FWER]])+1, LEN(Table2[[#This Row],[CI_95perc_FWER]])-FIND(",",Table2[[#This Row],[CI_95perc_FWER]])-1))</f>
        <v>2.843E-2</v>
      </c>
      <c r="N9" s="1">
        <v>17249</v>
      </c>
      <c r="O9" t="s">
        <v>115</v>
      </c>
      <c r="P9">
        <v>0.40156514141294702</v>
      </c>
      <c r="Q9" t="s">
        <v>54</v>
      </c>
      <c r="R9" t="s">
        <v>55</v>
      </c>
      <c r="S9">
        <v>400</v>
      </c>
      <c r="T9">
        <f>IF(OR(Table2[[#This Row],[SampleSize]]=5000,Table2[[#This Row],[SampleSize]]=10000),"&gt;=5k",Table2[[#This Row],[SampleSize]])</f>
        <v>400</v>
      </c>
      <c r="U9">
        <v>2.5000000000000001E-2</v>
      </c>
      <c r="V9" t="s">
        <v>56</v>
      </c>
      <c r="W9" t="s">
        <v>56</v>
      </c>
      <c r="X9" t="s">
        <v>57</v>
      </c>
      <c r="Y9" t="s">
        <v>58</v>
      </c>
      <c r="Z9">
        <v>3</v>
      </c>
      <c r="AA9">
        <v>1</v>
      </c>
      <c r="AB9" t="s">
        <v>59</v>
      </c>
      <c r="AC9" t="s">
        <v>56</v>
      </c>
      <c r="AD9" t="s">
        <v>56</v>
      </c>
      <c r="AE9" t="s">
        <v>60</v>
      </c>
      <c r="AF9" t="s">
        <v>61</v>
      </c>
      <c r="AG9" t="s">
        <v>62</v>
      </c>
      <c r="AH9" t="s">
        <v>63</v>
      </c>
      <c r="AI9" t="s">
        <v>64</v>
      </c>
      <c r="AJ9" t="s">
        <v>65</v>
      </c>
      <c r="AK9" t="s">
        <v>97</v>
      </c>
      <c r="AL9" t="s">
        <v>67</v>
      </c>
      <c r="AM9" t="b">
        <v>0</v>
      </c>
      <c r="AN9" t="b">
        <v>1</v>
      </c>
      <c r="AO9">
        <v>1</v>
      </c>
      <c r="AP9">
        <v>1</v>
      </c>
      <c r="AQ9" t="s">
        <v>77</v>
      </c>
      <c r="AR9" t="s">
        <v>73</v>
      </c>
      <c r="AS9">
        <v>1</v>
      </c>
      <c r="AT9" t="b">
        <v>1</v>
      </c>
      <c r="AU9" t="s">
        <v>36</v>
      </c>
      <c r="AV9">
        <v>10000</v>
      </c>
      <c r="AW9">
        <v>1000</v>
      </c>
      <c r="AX9">
        <v>59079</v>
      </c>
      <c r="AY9" t="b">
        <v>1</v>
      </c>
      <c r="AZ9" t="b">
        <v>0</v>
      </c>
      <c r="BA9" t="b">
        <v>1</v>
      </c>
      <c r="BB9" t="b">
        <v>0</v>
      </c>
      <c r="BC9">
        <v>0</v>
      </c>
      <c r="BD9">
        <v>0</v>
      </c>
      <c r="BE9">
        <v>9</v>
      </c>
      <c r="BH9">
        <v>77</v>
      </c>
      <c r="BI9">
        <f>INDEX(Table2[SampleSize],MATCH(BH9,Table2[ModelID],0))</f>
        <v>3000</v>
      </c>
      <c r="BJ9" t="str">
        <f>INDEX(Table2[FWERControl],MATCH(BH9,Table2[ModelID],0))</f>
        <v>CombinationTest</v>
      </c>
      <c r="BK9" t="b">
        <f>INDEX(Table2[UseCC],MATCH(BH9,Table2[ModelID],0))</f>
        <v>0</v>
      </c>
      <c r="BL9" s="13" t="str">
        <f>INDEX(Table2[SelectionParmeter],MATCH(BH9,Table2[ModelID],0))</f>
        <v>NA</v>
      </c>
      <c r="BM9" s="12" t="str">
        <f>INDEX(Table2[info_frac],MATCH(BH9,Table2[ModelID],0))</f>
        <v>c(0.5,1)</v>
      </c>
      <c r="BN9" s="14">
        <f>INDEX(Table2[FWER],MATCH(BH9,Table2[ModelID],0))</f>
        <v>2.4440125E-2</v>
      </c>
      <c r="BO9" t="str">
        <f>INDEX(Table2[CI_95perc_FWER],MATCH(BH9,Table2[ModelID],0))</f>
        <v>(0.02353,0.02535)</v>
      </c>
      <c r="BQ9">
        <v>89</v>
      </c>
      <c r="BR9">
        <f>INDEX(Table2[SampleSize],MATCH(BQ9,Table2[ModelID],0))</f>
        <v>3000</v>
      </c>
      <c r="BS9" t="str">
        <f>INDEX(Table2[FWERControl],MATCH(BQ9,Table2[ModelID],0))</f>
        <v>CombinationTest</v>
      </c>
      <c r="BT9" t="b">
        <f>INDEX(Table2[UseCC],MATCH(BQ9,Table2[ModelID],0))</f>
        <v>0</v>
      </c>
      <c r="BU9" s="13" t="str">
        <f>INDEX(Table2[SelectionParmeter],MATCH(BQ9,Table2[ModelID],0))</f>
        <v>NA</v>
      </c>
      <c r="BV9" s="12" t="str">
        <f>INDEX(Table2[info_frac],MATCH(BQ9,Table2[ModelID],0))</f>
        <v>c(0.75,1)</v>
      </c>
      <c r="BW9" s="14">
        <f>INDEX(Table2[FWER],MATCH(BQ9,Table2[ModelID],0))</f>
        <v>2.488435E-2</v>
      </c>
      <c r="BX9" t="str">
        <f>INDEX(Table2[CI_95perc_FWER],MATCH(BQ9,Table2[ModelID],0))</f>
        <v>(0.02336,0.02641)</v>
      </c>
      <c r="CA9" t="s">
        <v>494</v>
      </c>
      <c r="CB9">
        <f>COUNTIFS(Table2[SampleSize],5000)+COUNTIFS(Table2[SampleSize],10000)</f>
        <v>18</v>
      </c>
      <c r="CC9" s="11">
        <f>(COUNTIFS(Table2[SampleSize],5000,Table2[FWER],_xlfn.CONCAT("&gt;",$CC$3))+COUNTIFS(Table2[SampleSize],10000,Table2[FWER],_xlfn.CONCAT("&gt;",$CC$3)))/$CB9</f>
        <v>0.22222222222222221</v>
      </c>
      <c r="CD9" s="11">
        <f>(COUNTIFS(Table2[SampleSize],5000,Table2[FWER_LCL],"&lt;0.025")+COUNTIFS(Table2[SampleSize],10000,Table2[FWER_LCL],"&lt;0.025"))/$CB9</f>
        <v>0.94444444444444442</v>
      </c>
      <c r="CE9" s="11">
        <f>(COUNTIFS(Table2[SampleSize],5000,Table2[UseCC],TRUE)+COUNTIFS(Table2[SampleSize],10000,Table2[UseCC],TRUE))/$CB9</f>
        <v>0.61111111111111116</v>
      </c>
      <c r="CF9" s="11">
        <f>(COUNTIFS(Table2[SampleSize],5000,Table2[info_frac],"c(0.5,1)")+COUNTIFS(Table2[SampleSize],10000,Table2[info_frac],"c(0.5,1)"))/$CB9</f>
        <v>0.61111111111111116</v>
      </c>
    </row>
    <row r="10" spans="1:84" x14ac:dyDescent="0.25">
      <c r="A10">
        <v>24</v>
      </c>
      <c r="B10" t="s">
        <v>116</v>
      </c>
      <c r="C10">
        <v>58217</v>
      </c>
      <c r="D10">
        <v>2.7430900000000001E-2</v>
      </c>
      <c r="E10">
        <v>0</v>
      </c>
      <c r="F10">
        <v>0</v>
      </c>
      <c r="G10">
        <v>2.7430900000000001E-2</v>
      </c>
      <c r="H10" t="s">
        <v>423</v>
      </c>
      <c r="I10" t="s">
        <v>52</v>
      </c>
      <c r="J10" t="s">
        <v>52</v>
      </c>
      <c r="K10" t="s">
        <v>423</v>
      </c>
      <c r="L10">
        <f>_xlfn.NUMBERVALUE(MID(Table2[[#This Row],[CI_95perc_FWER]],2,FIND(",",Table2[[#This Row],[CI_95perc_FWER]])-2))</f>
        <v>2.6069999999999999E-2</v>
      </c>
      <c r="M10">
        <f>_xlfn.NUMBERVALUE(MID(Table2[[#This Row],[CI_95perc_FWER]],FIND(",",Table2[[#This Row],[CI_95perc_FWER]])+1, LEN(Table2[[#This Row],[CI_95perc_FWER]])-FIND(",",Table2[[#This Row],[CI_95perc_FWER]])-1))</f>
        <v>2.8799999999999999E-2</v>
      </c>
      <c r="N10" s="1">
        <v>15255</v>
      </c>
      <c r="O10" t="s">
        <v>118</v>
      </c>
      <c r="P10">
        <v>0.48048550307750698</v>
      </c>
      <c r="Q10" t="s">
        <v>54</v>
      </c>
      <c r="R10" t="s">
        <v>55</v>
      </c>
      <c r="S10">
        <v>400</v>
      </c>
      <c r="T10">
        <f>IF(OR(Table2[[#This Row],[SampleSize]]=5000,Table2[[#This Row],[SampleSize]]=10000),"&gt;=5k",Table2[[#This Row],[SampleSize]])</f>
        <v>400</v>
      </c>
      <c r="U10">
        <v>2.5000000000000001E-2</v>
      </c>
      <c r="V10" t="s">
        <v>56</v>
      </c>
      <c r="W10" t="s">
        <v>56</v>
      </c>
      <c r="X10" t="s">
        <v>57</v>
      </c>
      <c r="Y10" t="s">
        <v>58</v>
      </c>
      <c r="Z10">
        <v>3</v>
      </c>
      <c r="AA10">
        <v>1</v>
      </c>
      <c r="AB10" t="s">
        <v>59</v>
      </c>
      <c r="AC10" t="s">
        <v>56</v>
      </c>
      <c r="AD10" t="s">
        <v>56</v>
      </c>
      <c r="AE10" t="s">
        <v>60</v>
      </c>
      <c r="AF10" t="s">
        <v>61</v>
      </c>
      <c r="AG10" t="s">
        <v>62</v>
      </c>
      <c r="AH10" t="s">
        <v>63</v>
      </c>
      <c r="AI10" t="s">
        <v>64</v>
      </c>
      <c r="AJ10" t="s">
        <v>65</v>
      </c>
      <c r="AK10" t="s">
        <v>97</v>
      </c>
      <c r="AL10" t="s">
        <v>67</v>
      </c>
      <c r="AM10" t="b">
        <v>0</v>
      </c>
      <c r="AN10" t="b">
        <v>1</v>
      </c>
      <c r="AO10">
        <v>1</v>
      </c>
      <c r="AP10">
        <v>1</v>
      </c>
      <c r="AQ10" t="s">
        <v>77</v>
      </c>
      <c r="AR10" t="s">
        <v>73</v>
      </c>
      <c r="AS10">
        <v>2</v>
      </c>
      <c r="AT10" t="b">
        <v>1</v>
      </c>
      <c r="AU10" t="s">
        <v>36</v>
      </c>
      <c r="AV10">
        <v>10000</v>
      </c>
      <c r="AW10">
        <v>1000</v>
      </c>
      <c r="AX10">
        <v>58217</v>
      </c>
      <c r="AY10" t="b">
        <v>1</v>
      </c>
      <c r="AZ10" t="b">
        <v>0</v>
      </c>
      <c r="BA10" t="b">
        <v>1</v>
      </c>
      <c r="BB10" t="b">
        <v>0</v>
      </c>
      <c r="BC10">
        <v>0</v>
      </c>
      <c r="BD10">
        <v>0</v>
      </c>
      <c r="BE10">
        <v>11</v>
      </c>
      <c r="BH10">
        <v>82</v>
      </c>
      <c r="BI10">
        <f>INDEX(Table2[SampleSize],MATCH(BH10,Table2[ModelID],0))</f>
        <v>3000</v>
      </c>
      <c r="BJ10" t="str">
        <f>INDEX(Table2[FWERControl],MATCH(BH10,Table2[ModelID],0))</f>
        <v>CombinationTest</v>
      </c>
      <c r="BK10" t="b">
        <f>INDEX(Table2[UseCC],MATCH(BH10,Table2[ModelID],0))</f>
        <v>1</v>
      </c>
      <c r="BL10" s="13" t="str">
        <f>INDEX(Table2[SelectionParmeter],MATCH(BH10,Table2[ModelID],0))</f>
        <v>NA</v>
      </c>
      <c r="BM10" s="12" t="str">
        <f>INDEX(Table2[info_frac],MATCH(BH10,Table2[ModelID],0))</f>
        <v>c(0.5,1)</v>
      </c>
      <c r="BN10" s="14">
        <f>INDEX(Table2[FWER],MATCH(BH10,Table2[ModelID],0))</f>
        <v>2.429715E-2</v>
      </c>
      <c r="BO10" t="str">
        <f>INDEX(Table2[CI_95perc_FWER],MATCH(BH10,Table2[ModelID],0))</f>
        <v>(0.02339,0.02521)</v>
      </c>
      <c r="BQ10">
        <v>95</v>
      </c>
      <c r="BR10">
        <f>INDEX(Table2[SampleSize],MATCH(BQ10,Table2[ModelID],0))</f>
        <v>3000</v>
      </c>
      <c r="BS10" t="str">
        <f>INDEX(Table2[FWERControl],MATCH(BQ10,Table2[ModelID],0))</f>
        <v>CombinationTest</v>
      </c>
      <c r="BT10" t="b">
        <f>INDEX(Table2[UseCC],MATCH(BQ10,Table2[ModelID],0))</f>
        <v>1</v>
      </c>
      <c r="BU10" s="13" t="str">
        <f>INDEX(Table2[SelectionParmeter],MATCH(BQ10,Table2[ModelID],0))</f>
        <v>NA</v>
      </c>
      <c r="BV10" s="12" t="str">
        <f>INDEX(Table2[info_frac],MATCH(BQ10,Table2[ModelID],0))</f>
        <v>c(0.75,1)</v>
      </c>
      <c r="BW10" s="14">
        <f>INDEX(Table2[FWER],MATCH(BQ10,Table2[ModelID],0))</f>
        <v>2.4739225E-2</v>
      </c>
      <c r="BX10" t="str">
        <f>INDEX(Table2[CI_95perc_FWER],MATCH(BQ10,Table2[ModelID],0))</f>
        <v>(0.02322,0.02626)</v>
      </c>
      <c r="CC10" s="11"/>
    </row>
    <row r="11" spans="1:84" x14ac:dyDescent="0.25">
      <c r="A11">
        <v>25</v>
      </c>
      <c r="B11" t="s">
        <v>119</v>
      </c>
      <c r="C11">
        <v>97827</v>
      </c>
      <c r="D11">
        <v>2.6880299999999999E-2</v>
      </c>
      <c r="E11">
        <v>0</v>
      </c>
      <c r="F11">
        <v>0</v>
      </c>
      <c r="G11">
        <v>2.6880299999999999E-2</v>
      </c>
      <c r="H11" t="s">
        <v>424</v>
      </c>
      <c r="I11" t="s">
        <v>52</v>
      </c>
      <c r="J11" t="s">
        <v>52</v>
      </c>
      <c r="K11" t="s">
        <v>424</v>
      </c>
      <c r="L11">
        <f>_xlfn.NUMBERVALUE(MID(Table2[[#This Row],[CI_95perc_FWER]],2,FIND(",",Table2[[#This Row],[CI_95perc_FWER]])-2))</f>
        <v>2.5530000000000001E-2</v>
      </c>
      <c r="M11">
        <f>_xlfn.NUMBERVALUE(MID(Table2[[#This Row],[CI_95perc_FWER]],FIND(",",Table2[[#This Row],[CI_95perc_FWER]])+1, LEN(Table2[[#This Row],[CI_95perc_FWER]])-FIND(",",Table2[[#This Row],[CI_95perc_FWER]])-1))</f>
        <v>2.8230000000000002E-2</v>
      </c>
      <c r="N11" s="1">
        <v>17246</v>
      </c>
      <c r="O11" t="s">
        <v>425</v>
      </c>
      <c r="P11">
        <v>0.53736947582827699</v>
      </c>
      <c r="Q11" t="s">
        <v>54</v>
      </c>
      <c r="R11" t="s">
        <v>55</v>
      </c>
      <c r="S11">
        <v>400</v>
      </c>
      <c r="T11">
        <f>IF(OR(Table2[[#This Row],[SampleSize]]=5000,Table2[[#This Row],[SampleSize]]=10000),"&gt;=5k",Table2[[#This Row],[SampleSize]])</f>
        <v>400</v>
      </c>
      <c r="U11">
        <v>2.5000000000000001E-2</v>
      </c>
      <c r="V11" t="s">
        <v>56</v>
      </c>
      <c r="W11" t="s">
        <v>56</v>
      </c>
      <c r="X11" t="s">
        <v>57</v>
      </c>
      <c r="Y11" t="s">
        <v>68</v>
      </c>
      <c r="Z11">
        <v>3</v>
      </c>
      <c r="AA11">
        <v>1</v>
      </c>
      <c r="AB11" t="s">
        <v>59</v>
      </c>
      <c r="AC11" t="s">
        <v>56</v>
      </c>
      <c r="AD11" t="s">
        <v>56</v>
      </c>
      <c r="AE11" t="s">
        <v>60</v>
      </c>
      <c r="AF11" t="s">
        <v>61</v>
      </c>
      <c r="AG11" t="s">
        <v>62</v>
      </c>
      <c r="AH11" t="s">
        <v>63</v>
      </c>
      <c r="AI11" t="s">
        <v>64</v>
      </c>
      <c r="AJ11" t="s">
        <v>65</v>
      </c>
      <c r="AK11" t="s">
        <v>97</v>
      </c>
      <c r="AL11" t="s">
        <v>67</v>
      </c>
      <c r="AM11" t="b">
        <v>0</v>
      </c>
      <c r="AN11" t="b">
        <v>0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68</v>
      </c>
      <c r="AV11">
        <v>10000</v>
      </c>
      <c r="AW11">
        <v>1000</v>
      </c>
      <c r="AX11">
        <v>97827</v>
      </c>
      <c r="AY11" t="b">
        <v>1</v>
      </c>
      <c r="AZ11" t="b">
        <v>0</v>
      </c>
      <c r="BA11" t="b">
        <v>1</v>
      </c>
      <c r="BB11" t="b">
        <v>0</v>
      </c>
      <c r="BC11">
        <v>0</v>
      </c>
      <c r="BD11">
        <v>0</v>
      </c>
      <c r="BE11">
        <v>1</v>
      </c>
      <c r="BH11">
        <v>57</v>
      </c>
      <c r="BI11">
        <f>INDEX(Table2[SampleSize],MATCH(BH11,Table2[ModelID],0))</f>
        <v>10000</v>
      </c>
      <c r="BJ11" t="str">
        <f>INDEX(Table2[FWERControl],MATCH(BH11,Table2[ModelID],0))</f>
        <v>CombinationTest</v>
      </c>
      <c r="BK11" t="b">
        <f>INDEX(Table2[UseCC],MATCH(BH11,Table2[ModelID],0))</f>
        <v>0</v>
      </c>
      <c r="BL11" s="13" t="str">
        <f>INDEX(Table2[SelectionParmeter],MATCH(BH11,Table2[ModelID],0))</f>
        <v>NA</v>
      </c>
      <c r="BM11" s="12" t="str">
        <f>INDEX(Table2[info_frac],MATCH(BH11,Table2[ModelID],0))</f>
        <v>c(0.5,1)</v>
      </c>
      <c r="BN11" s="14">
        <f>INDEX(Table2[FWER],MATCH(BH11,Table2[ModelID],0))</f>
        <v>2.5209949999999998E-2</v>
      </c>
      <c r="BO11" t="str">
        <f>INDEX(Table2[CI_95perc_FWER],MATCH(BH11,Table2[ModelID],0))</f>
        <v>(0.02428,0.02614)</v>
      </c>
    </row>
    <row r="12" spans="1:84" x14ac:dyDescent="0.25">
      <c r="A12">
        <v>26</v>
      </c>
      <c r="B12" t="s">
        <v>122</v>
      </c>
      <c r="C12">
        <v>70743</v>
      </c>
      <c r="D12">
        <v>2.5911099999999999E-2</v>
      </c>
      <c r="E12">
        <v>0</v>
      </c>
      <c r="F12">
        <v>0</v>
      </c>
      <c r="G12">
        <v>2.5911099999999999E-2</v>
      </c>
      <c r="H12" t="s">
        <v>426</v>
      </c>
      <c r="I12" t="s">
        <v>52</v>
      </c>
      <c r="J12" t="s">
        <v>52</v>
      </c>
      <c r="K12" t="s">
        <v>426</v>
      </c>
      <c r="L12">
        <f>_xlfn.NUMBERVALUE(MID(Table2[[#This Row],[CI_95perc_FWER]],2,FIND(",",Table2[[#This Row],[CI_95perc_FWER]])-2))</f>
        <v>2.4570000000000002E-2</v>
      </c>
      <c r="M12">
        <f>_xlfn.NUMBERVALUE(MID(Table2[[#This Row],[CI_95perc_FWER]],FIND(",",Table2[[#This Row],[CI_95perc_FWER]])+1, LEN(Table2[[#This Row],[CI_95perc_FWER]])-FIND(",",Table2[[#This Row],[CI_95perc_FWER]])-1))</f>
        <v>2.725E-2</v>
      </c>
      <c r="N12" s="1">
        <v>18219</v>
      </c>
      <c r="O12" t="s">
        <v>427</v>
      </c>
      <c r="P12">
        <v>0.43774553219477302</v>
      </c>
      <c r="Q12" t="s">
        <v>54</v>
      </c>
      <c r="R12" t="s">
        <v>55</v>
      </c>
      <c r="S12">
        <v>400</v>
      </c>
      <c r="T12">
        <f>IF(OR(Table2[[#This Row],[SampleSize]]=5000,Table2[[#This Row],[SampleSize]]=10000),"&gt;=5k",Table2[[#This Row],[SampleSize]])</f>
        <v>400</v>
      </c>
      <c r="U12">
        <v>2.5000000000000001E-2</v>
      </c>
      <c r="V12" t="s">
        <v>56</v>
      </c>
      <c r="W12" t="s">
        <v>56</v>
      </c>
      <c r="X12" t="s">
        <v>57</v>
      </c>
      <c r="Y12" t="s">
        <v>68</v>
      </c>
      <c r="Z12">
        <v>3</v>
      </c>
      <c r="AA12">
        <v>1</v>
      </c>
      <c r="AB12" t="s">
        <v>59</v>
      </c>
      <c r="AC12" t="s">
        <v>56</v>
      </c>
      <c r="AD12" t="s">
        <v>56</v>
      </c>
      <c r="AE12" t="s">
        <v>60</v>
      </c>
      <c r="AF12" t="s">
        <v>61</v>
      </c>
      <c r="AG12" t="s">
        <v>62</v>
      </c>
      <c r="AH12" t="s">
        <v>63</v>
      </c>
      <c r="AI12" t="s">
        <v>64</v>
      </c>
      <c r="AJ12" t="s">
        <v>65</v>
      </c>
      <c r="AK12" t="s">
        <v>97</v>
      </c>
      <c r="AL12" t="s">
        <v>67</v>
      </c>
      <c r="AM12" t="b">
        <v>0</v>
      </c>
      <c r="AN12" t="b">
        <v>1</v>
      </c>
      <c r="AO12">
        <v>1</v>
      </c>
      <c r="AP12">
        <v>1</v>
      </c>
      <c r="AQ12" t="s">
        <v>72</v>
      </c>
      <c r="AR12" t="s">
        <v>73</v>
      </c>
      <c r="AS12">
        <v>1</v>
      </c>
      <c r="AT12" t="b">
        <v>0</v>
      </c>
      <c r="AU12" t="s">
        <v>68</v>
      </c>
      <c r="AV12">
        <v>10000</v>
      </c>
      <c r="AW12">
        <v>1000</v>
      </c>
      <c r="AX12">
        <v>70743</v>
      </c>
      <c r="AY12" t="b">
        <v>1</v>
      </c>
      <c r="AZ12" t="b">
        <v>0</v>
      </c>
      <c r="BA12" t="b">
        <v>1</v>
      </c>
      <c r="BB12" t="b">
        <v>0</v>
      </c>
      <c r="BC12">
        <v>0</v>
      </c>
      <c r="BD12">
        <v>0</v>
      </c>
      <c r="BE12">
        <v>9</v>
      </c>
      <c r="BH12">
        <v>62</v>
      </c>
      <c r="BI12">
        <f>INDEX(Table2[SampleSize],MATCH(BH12,Table2[ModelID],0))</f>
        <v>10000</v>
      </c>
      <c r="BJ12" t="str">
        <f>INDEX(Table2[FWERControl],MATCH(BH12,Table2[ModelID],0))</f>
        <v>CombinationTest</v>
      </c>
      <c r="BK12" t="b">
        <f>INDEX(Table2[UseCC],MATCH(BH12,Table2[ModelID],0))</f>
        <v>1</v>
      </c>
      <c r="BL12" s="13" t="str">
        <f>INDEX(Table2[SelectionParmeter],MATCH(BH12,Table2[ModelID],0))</f>
        <v>NA</v>
      </c>
      <c r="BM12" s="12" t="str">
        <f>INDEX(Table2[info_frac],MATCH(BH12,Table2[ModelID],0))</f>
        <v>c(0.5,1)</v>
      </c>
      <c r="BN12" s="14">
        <f>INDEX(Table2[FWER],MATCH(BH12,Table2[ModelID],0))</f>
        <v>2.5111325E-2</v>
      </c>
      <c r="BO12" t="str">
        <f>INDEX(Table2[CI_95perc_FWER],MATCH(BH12,Table2[ModelID],0))</f>
        <v>(0.02418,0.02604)</v>
      </c>
      <c r="CA12" t="s">
        <v>49</v>
      </c>
      <c r="CB12" t="b">
        <v>1</v>
      </c>
    </row>
    <row r="13" spans="1:84" x14ac:dyDescent="0.25">
      <c r="A13">
        <v>27</v>
      </c>
      <c r="B13" t="s">
        <v>125</v>
      </c>
      <c r="C13">
        <v>2402</v>
      </c>
      <c r="D13">
        <v>2.7179999999999999E-2</v>
      </c>
      <c r="E13">
        <v>0</v>
      </c>
      <c r="F13">
        <v>0</v>
      </c>
      <c r="G13">
        <v>2.7179999999999999E-2</v>
      </c>
      <c r="H13" t="s">
        <v>428</v>
      </c>
      <c r="I13" t="s">
        <v>52</v>
      </c>
      <c r="J13" t="s">
        <v>52</v>
      </c>
      <c r="K13" t="s">
        <v>428</v>
      </c>
      <c r="L13">
        <f>_xlfn.NUMBERVALUE(MID(Table2[[#This Row],[CI_95perc_FWER]],2,FIND(",",Table2[[#This Row],[CI_95perc_FWER]])-2))</f>
        <v>2.5739999999999999E-2</v>
      </c>
      <c r="M13">
        <f>_xlfn.NUMBERVALUE(MID(Table2[[#This Row],[CI_95perc_FWER]],FIND(",",Table2[[#This Row],[CI_95perc_FWER]])+1, LEN(Table2[[#This Row],[CI_95perc_FWER]])-FIND(",",Table2[[#This Row],[CI_95perc_FWER]])-1))</f>
        <v>2.862E-2</v>
      </c>
      <c r="N13" s="1">
        <v>26242</v>
      </c>
      <c r="O13" t="s">
        <v>429</v>
      </c>
      <c r="P13">
        <v>0.34460724002785198</v>
      </c>
      <c r="Q13" t="s">
        <v>54</v>
      </c>
      <c r="R13" t="s">
        <v>55</v>
      </c>
      <c r="S13">
        <v>400</v>
      </c>
      <c r="T13">
        <f>IF(OR(Table2[[#This Row],[SampleSize]]=5000,Table2[[#This Row],[SampleSize]]=10000),"&gt;=5k",Table2[[#This Row],[SampleSize]])</f>
        <v>400</v>
      </c>
      <c r="U13">
        <v>2.5000000000000001E-2</v>
      </c>
      <c r="V13" t="s">
        <v>56</v>
      </c>
      <c r="W13" t="s">
        <v>56</v>
      </c>
      <c r="X13" t="s">
        <v>57</v>
      </c>
      <c r="Y13" t="s">
        <v>68</v>
      </c>
      <c r="Z13">
        <v>3</v>
      </c>
      <c r="AA13">
        <v>1</v>
      </c>
      <c r="AB13" t="s">
        <v>59</v>
      </c>
      <c r="AC13" t="s">
        <v>56</v>
      </c>
      <c r="AD13" t="s">
        <v>56</v>
      </c>
      <c r="AE13" t="s">
        <v>60</v>
      </c>
      <c r="AF13" t="s">
        <v>61</v>
      </c>
      <c r="AG13" t="s">
        <v>62</v>
      </c>
      <c r="AH13" t="s">
        <v>63</v>
      </c>
      <c r="AI13" t="s">
        <v>64</v>
      </c>
      <c r="AJ13" t="s">
        <v>65</v>
      </c>
      <c r="AK13" t="s">
        <v>97</v>
      </c>
      <c r="AL13" t="s">
        <v>67</v>
      </c>
      <c r="AM13" t="b">
        <v>0</v>
      </c>
      <c r="AN13" t="b">
        <v>1</v>
      </c>
      <c r="AO13">
        <v>1</v>
      </c>
      <c r="AP13">
        <v>1</v>
      </c>
      <c r="AQ13" t="s">
        <v>77</v>
      </c>
      <c r="AR13" t="s">
        <v>78</v>
      </c>
      <c r="AS13">
        <v>0.5</v>
      </c>
      <c r="AT13" t="b">
        <v>0</v>
      </c>
      <c r="AU13" t="s">
        <v>68</v>
      </c>
      <c r="AV13">
        <v>10000</v>
      </c>
      <c r="AW13">
        <v>1000</v>
      </c>
      <c r="AX13">
        <v>2402</v>
      </c>
      <c r="AY13" t="b">
        <v>1</v>
      </c>
      <c r="AZ13" t="b">
        <v>0</v>
      </c>
      <c r="BA13" t="b">
        <v>1</v>
      </c>
      <c r="BB13" t="b">
        <v>0</v>
      </c>
      <c r="BC13">
        <v>7</v>
      </c>
      <c r="BD13" t="s">
        <v>447</v>
      </c>
      <c r="BE13">
        <v>5</v>
      </c>
      <c r="CA13" t="s">
        <v>450</v>
      </c>
      <c r="CB13" t="s">
        <v>229</v>
      </c>
      <c r="CC13" t="str">
        <f>_xlfn.CONCAT("% FWER &gt; ",$CC$3)</f>
        <v>% FWER &gt; 0.02625</v>
      </c>
      <c r="CD13" t="s">
        <v>496</v>
      </c>
    </row>
    <row r="14" spans="1:84" x14ac:dyDescent="0.25">
      <c r="A14">
        <v>28</v>
      </c>
      <c r="B14" t="s">
        <v>128</v>
      </c>
      <c r="C14">
        <v>2637</v>
      </c>
      <c r="D14">
        <v>2.7294300000000001E-2</v>
      </c>
      <c r="E14">
        <v>0</v>
      </c>
      <c r="F14">
        <v>0</v>
      </c>
      <c r="G14">
        <v>2.7294300000000001E-2</v>
      </c>
      <c r="H14" t="s">
        <v>430</v>
      </c>
      <c r="I14" t="s">
        <v>52</v>
      </c>
      <c r="J14" t="s">
        <v>52</v>
      </c>
      <c r="K14" t="s">
        <v>430</v>
      </c>
      <c r="L14">
        <f>_xlfn.NUMBERVALUE(MID(Table2[[#This Row],[CI_95perc_FWER]],2,FIND(",",Table2[[#This Row],[CI_95perc_FWER]])-2))</f>
        <v>2.5850000000000001E-2</v>
      </c>
      <c r="M14">
        <f>_xlfn.NUMBERVALUE(MID(Table2[[#This Row],[CI_95perc_FWER]],FIND(",",Table2[[#This Row],[CI_95perc_FWER]])+1, LEN(Table2[[#This Row],[CI_95perc_FWER]])-FIND(",",Table2[[#This Row],[CI_95perc_FWER]])-1))</f>
        <v>2.8740000000000002E-2</v>
      </c>
      <c r="N14" s="1">
        <v>26245</v>
      </c>
      <c r="O14" t="s">
        <v>431</v>
      </c>
      <c r="P14">
        <v>0.45244841416676801</v>
      </c>
      <c r="Q14" t="s">
        <v>54</v>
      </c>
      <c r="R14" t="s">
        <v>55</v>
      </c>
      <c r="S14">
        <v>400</v>
      </c>
      <c r="T14">
        <f>IF(OR(Table2[[#This Row],[SampleSize]]=5000,Table2[[#This Row],[SampleSize]]=10000),"&gt;=5k",Table2[[#This Row],[SampleSize]])</f>
        <v>400</v>
      </c>
      <c r="U14">
        <v>2.5000000000000001E-2</v>
      </c>
      <c r="V14" t="s">
        <v>56</v>
      </c>
      <c r="W14" t="s">
        <v>56</v>
      </c>
      <c r="X14" t="s">
        <v>57</v>
      </c>
      <c r="Y14" t="s">
        <v>68</v>
      </c>
      <c r="Z14">
        <v>3</v>
      </c>
      <c r="AA14">
        <v>1</v>
      </c>
      <c r="AB14" t="s">
        <v>59</v>
      </c>
      <c r="AC14" t="s">
        <v>56</v>
      </c>
      <c r="AD14" t="s">
        <v>56</v>
      </c>
      <c r="AE14" t="s">
        <v>60</v>
      </c>
      <c r="AF14" t="s">
        <v>61</v>
      </c>
      <c r="AG14" t="s">
        <v>62</v>
      </c>
      <c r="AH14" t="s">
        <v>63</v>
      </c>
      <c r="AI14" t="s">
        <v>64</v>
      </c>
      <c r="AJ14" t="s">
        <v>65</v>
      </c>
      <c r="AK14" t="s">
        <v>97</v>
      </c>
      <c r="AL14" t="s">
        <v>67</v>
      </c>
      <c r="AM14" t="b">
        <v>0</v>
      </c>
      <c r="AN14" t="b">
        <v>1</v>
      </c>
      <c r="AO14">
        <v>1</v>
      </c>
      <c r="AP14">
        <v>1</v>
      </c>
      <c r="AQ14" t="s">
        <v>77</v>
      </c>
      <c r="AR14" t="s">
        <v>78</v>
      </c>
      <c r="AS14">
        <v>0.75</v>
      </c>
      <c r="AT14" t="b">
        <v>1</v>
      </c>
      <c r="AU14" t="s">
        <v>36</v>
      </c>
      <c r="AV14">
        <v>10000</v>
      </c>
      <c r="AW14">
        <v>1000</v>
      </c>
      <c r="AX14">
        <v>2637</v>
      </c>
      <c r="AY14" t="b">
        <v>1</v>
      </c>
      <c r="AZ14" t="b">
        <v>0</v>
      </c>
      <c r="BA14" t="b">
        <v>1</v>
      </c>
      <c r="BB14" t="b">
        <v>0</v>
      </c>
      <c r="BC14">
        <v>8</v>
      </c>
      <c r="BD14" t="s">
        <v>447</v>
      </c>
      <c r="BE14">
        <v>7</v>
      </c>
      <c r="BH14" s="14" t="s">
        <v>505</v>
      </c>
      <c r="BI14" s="14" t="s">
        <v>506</v>
      </c>
      <c r="BQ14" s="14" t="s">
        <v>507</v>
      </c>
      <c r="BR14" s="14" t="s">
        <v>508</v>
      </c>
      <c r="CA14">
        <v>400</v>
      </c>
      <c r="CB14">
        <f>COUNTIFS(Table2[SampleSize],$CA14, Table2[UseCC], CB12)</f>
        <v>6</v>
      </c>
      <c r="CC14" s="11">
        <f>COUNTIFS(Table2[SampleSize],$CA14,Table2[FWER],_xlfn.CONCAT("&gt;",$CC$3), Table2[UseCC], CB12)/$CB14</f>
        <v>0</v>
      </c>
      <c r="CD14" s="11">
        <f>COUNTIFS(Table2[SampleSize],$CA14,Table2[FWER_LCL],"&lt;0.025", Table2[UseCC], CB12)/$CB14</f>
        <v>1</v>
      </c>
    </row>
    <row r="15" spans="1:84" x14ac:dyDescent="0.25">
      <c r="A15">
        <v>29</v>
      </c>
      <c r="B15" t="s">
        <v>131</v>
      </c>
      <c r="C15">
        <v>499</v>
      </c>
      <c r="D15">
        <v>2.7024300000000001E-2</v>
      </c>
      <c r="E15">
        <v>0</v>
      </c>
      <c r="F15">
        <v>0</v>
      </c>
      <c r="G15">
        <v>2.7024300000000001E-2</v>
      </c>
      <c r="H15" t="s">
        <v>432</v>
      </c>
      <c r="I15" t="s">
        <v>52</v>
      </c>
      <c r="J15" t="s">
        <v>52</v>
      </c>
      <c r="K15" t="s">
        <v>432</v>
      </c>
      <c r="L15">
        <f>_xlfn.NUMBERVALUE(MID(Table2[[#This Row],[CI_95perc_FWER]],2,FIND(",",Table2[[#This Row],[CI_95perc_FWER]])-2))</f>
        <v>2.5600000000000001E-2</v>
      </c>
      <c r="M15">
        <f>_xlfn.NUMBERVALUE(MID(Table2[[#This Row],[CI_95perc_FWER]],FIND(",",Table2[[#This Row],[CI_95perc_FWER]])+1, LEN(Table2[[#This Row],[CI_95perc_FWER]])-FIND(",",Table2[[#This Row],[CI_95perc_FWER]])-1))</f>
        <v>2.845E-2</v>
      </c>
      <c r="N15" s="1">
        <v>25247</v>
      </c>
      <c r="O15" t="s">
        <v>433</v>
      </c>
      <c r="P15">
        <v>0.34571234497759101</v>
      </c>
      <c r="Q15" t="s">
        <v>54</v>
      </c>
      <c r="R15" t="s">
        <v>55</v>
      </c>
      <c r="S15">
        <v>400</v>
      </c>
      <c r="T15">
        <f>IF(OR(Table2[[#This Row],[SampleSize]]=5000,Table2[[#This Row],[SampleSize]]=10000),"&gt;=5k",Table2[[#This Row],[SampleSize]])</f>
        <v>400</v>
      </c>
      <c r="U15">
        <v>2.5000000000000001E-2</v>
      </c>
      <c r="V15" t="s">
        <v>56</v>
      </c>
      <c r="W15" t="s">
        <v>56</v>
      </c>
      <c r="X15" t="s">
        <v>57</v>
      </c>
      <c r="Y15" t="s">
        <v>68</v>
      </c>
      <c r="Z15">
        <v>3</v>
      </c>
      <c r="AA15">
        <v>1</v>
      </c>
      <c r="AB15" t="s">
        <v>59</v>
      </c>
      <c r="AC15" t="s">
        <v>56</v>
      </c>
      <c r="AD15" t="s">
        <v>56</v>
      </c>
      <c r="AE15" t="s">
        <v>60</v>
      </c>
      <c r="AF15" t="s">
        <v>61</v>
      </c>
      <c r="AG15" t="s">
        <v>62</v>
      </c>
      <c r="AH15" t="s">
        <v>63</v>
      </c>
      <c r="AI15" t="s">
        <v>64</v>
      </c>
      <c r="AJ15" t="s">
        <v>65</v>
      </c>
      <c r="AK15" t="s">
        <v>97</v>
      </c>
      <c r="AL15" t="s">
        <v>67</v>
      </c>
      <c r="AM15" t="b">
        <v>0</v>
      </c>
      <c r="AN15" t="b">
        <v>1</v>
      </c>
      <c r="AO15">
        <v>1</v>
      </c>
      <c r="AP15">
        <v>1</v>
      </c>
      <c r="AQ15" t="s">
        <v>77</v>
      </c>
      <c r="AR15" t="s">
        <v>78</v>
      </c>
      <c r="AS15">
        <v>0.5</v>
      </c>
      <c r="AT15" t="b">
        <v>1</v>
      </c>
      <c r="AU15" t="s">
        <v>36</v>
      </c>
      <c r="AV15">
        <v>10000</v>
      </c>
      <c r="AW15">
        <v>1000</v>
      </c>
      <c r="AX15">
        <v>499</v>
      </c>
      <c r="AY15" t="b">
        <v>1</v>
      </c>
      <c r="AZ15" t="b">
        <v>0</v>
      </c>
      <c r="BA15" t="b">
        <v>1</v>
      </c>
      <c r="BB15" t="b">
        <v>0</v>
      </c>
      <c r="BC15">
        <v>9</v>
      </c>
      <c r="BD15" t="s">
        <v>447</v>
      </c>
      <c r="BE15">
        <v>5</v>
      </c>
      <c r="BH15" t="s">
        <v>449</v>
      </c>
      <c r="BI15" t="s">
        <v>450</v>
      </c>
      <c r="BJ15" t="s">
        <v>451</v>
      </c>
      <c r="BK15" t="s">
        <v>452</v>
      </c>
      <c r="BL15" s="13" t="s">
        <v>453</v>
      </c>
      <c r="BM15" s="12" t="s">
        <v>454</v>
      </c>
      <c r="BN15" s="14" t="s">
        <v>6</v>
      </c>
      <c r="BO15" t="s">
        <v>455</v>
      </c>
      <c r="BQ15" t="s">
        <v>449</v>
      </c>
      <c r="BR15" t="s">
        <v>450</v>
      </c>
      <c r="BS15" t="s">
        <v>451</v>
      </c>
      <c r="BT15" t="s">
        <v>452</v>
      </c>
      <c r="BU15" s="13" t="s">
        <v>453</v>
      </c>
      <c r="BV15" s="12" t="s">
        <v>454</v>
      </c>
      <c r="BW15" s="14" t="s">
        <v>6</v>
      </c>
      <c r="BX15" t="s">
        <v>455</v>
      </c>
      <c r="CA15">
        <v>600</v>
      </c>
      <c r="CB15">
        <f>COUNTIFS(Table2[SampleSize],$CA15, Table2[UseCC], CB12)</f>
        <v>6</v>
      </c>
      <c r="CC15" s="11">
        <f>COUNTIFS(Table2[SampleSize],$CA15,Table2[FWER],_xlfn.CONCAT("&gt;",$CC$3), Table2[UseCC], CB12)/$CB15</f>
        <v>0.33333333333333331</v>
      </c>
      <c r="CD15" s="11">
        <f>COUNTIFS(Table2[SampleSize],$CA15,Table2[FWER_LCL],"&lt;0.025", Table2[UseCC], CB12)/$CB15</f>
        <v>1</v>
      </c>
    </row>
    <row r="16" spans="1:84" x14ac:dyDescent="0.25">
      <c r="A16">
        <v>31</v>
      </c>
      <c r="B16" t="s">
        <v>137</v>
      </c>
      <c r="C16">
        <v>59079</v>
      </c>
      <c r="D16">
        <v>2.6208800000000001E-2</v>
      </c>
      <c r="E16">
        <v>0</v>
      </c>
      <c r="F16">
        <v>0</v>
      </c>
      <c r="G16">
        <v>2.6208800000000001E-2</v>
      </c>
      <c r="H16" t="s">
        <v>434</v>
      </c>
      <c r="I16" t="s">
        <v>52</v>
      </c>
      <c r="J16" t="s">
        <v>52</v>
      </c>
      <c r="K16" t="s">
        <v>434</v>
      </c>
      <c r="L16">
        <f>_xlfn.NUMBERVALUE(MID(Table2[[#This Row],[CI_95perc_FWER]],2,FIND(",",Table2[[#This Row],[CI_95perc_FWER]])-2))</f>
        <v>2.487E-2</v>
      </c>
      <c r="M16">
        <f>_xlfn.NUMBERVALUE(MID(Table2[[#This Row],[CI_95perc_FWER]],FIND(",",Table2[[#This Row],[CI_95perc_FWER]])+1, LEN(Table2[[#This Row],[CI_95perc_FWER]])-FIND(",",Table2[[#This Row],[CI_95perc_FWER]])-1))</f>
        <v>2.7550000000000002E-2</v>
      </c>
      <c r="N16" s="1">
        <v>17240</v>
      </c>
      <c r="O16" t="s">
        <v>139</v>
      </c>
      <c r="P16">
        <v>0.44090790304872701</v>
      </c>
      <c r="Q16" t="s">
        <v>54</v>
      </c>
      <c r="R16" t="s">
        <v>55</v>
      </c>
      <c r="S16">
        <v>400</v>
      </c>
      <c r="T16">
        <f>IF(OR(Table2[[#This Row],[SampleSize]]=5000,Table2[[#This Row],[SampleSize]]=10000),"&gt;=5k",Table2[[#This Row],[SampleSize]])</f>
        <v>400</v>
      </c>
      <c r="U16">
        <v>2.5000000000000001E-2</v>
      </c>
      <c r="V16" t="s">
        <v>56</v>
      </c>
      <c r="W16" t="s">
        <v>56</v>
      </c>
      <c r="X16" t="s">
        <v>57</v>
      </c>
      <c r="Y16" t="s">
        <v>68</v>
      </c>
      <c r="Z16">
        <v>3</v>
      </c>
      <c r="AA16">
        <v>1</v>
      </c>
      <c r="AB16" t="s">
        <v>59</v>
      </c>
      <c r="AC16" t="s">
        <v>56</v>
      </c>
      <c r="AD16" t="s">
        <v>56</v>
      </c>
      <c r="AE16" t="s">
        <v>60</v>
      </c>
      <c r="AF16" t="s">
        <v>61</v>
      </c>
      <c r="AG16" t="s">
        <v>62</v>
      </c>
      <c r="AH16" t="s">
        <v>63</v>
      </c>
      <c r="AI16" t="s">
        <v>64</v>
      </c>
      <c r="AJ16" t="s">
        <v>65</v>
      </c>
      <c r="AK16" t="s">
        <v>97</v>
      </c>
      <c r="AL16" t="s">
        <v>67</v>
      </c>
      <c r="AM16" t="b">
        <v>0</v>
      </c>
      <c r="AN16" t="b">
        <v>1</v>
      </c>
      <c r="AO16">
        <v>1</v>
      </c>
      <c r="AP16">
        <v>1</v>
      </c>
      <c r="AQ16" t="s">
        <v>77</v>
      </c>
      <c r="AR16" t="s">
        <v>73</v>
      </c>
      <c r="AS16">
        <v>1</v>
      </c>
      <c r="AT16" t="b">
        <v>1</v>
      </c>
      <c r="AU16" t="s">
        <v>36</v>
      </c>
      <c r="AV16">
        <v>10000</v>
      </c>
      <c r="AW16">
        <v>1000</v>
      </c>
      <c r="AX16">
        <v>59079</v>
      </c>
      <c r="AY16" t="b">
        <v>1</v>
      </c>
      <c r="AZ16" t="b">
        <v>0</v>
      </c>
      <c r="BA16" t="b">
        <v>1</v>
      </c>
      <c r="BB16" t="b">
        <v>0</v>
      </c>
      <c r="BC16">
        <v>0</v>
      </c>
      <c r="BD16">
        <v>0</v>
      </c>
      <c r="BE16">
        <v>9</v>
      </c>
      <c r="BH16">
        <v>22</v>
      </c>
      <c r="BI16">
        <f>INDEX(Table2[SampleSize],MATCH(BH16,Table2[ModelID],0))</f>
        <v>400</v>
      </c>
      <c r="BJ16" t="str">
        <f>INDEX(Table2[FWERControl],MATCH(BH16,Table2[ModelID],0))</f>
        <v>CombinationTest</v>
      </c>
      <c r="BK16" t="b">
        <f>INDEX(Table2[UseCC],MATCH(BH16,Table2[ModelID],0))</f>
        <v>0</v>
      </c>
      <c r="BL16" s="13">
        <f>INDEX(Table2[SelectionParmeter],MATCH(BH16,Table2[ModelID],0))</f>
        <v>0.25</v>
      </c>
      <c r="BM16" s="12" t="str">
        <f>INDEX(Table2[info_frac],MATCH(BH16,Table2[ModelID],0))</f>
        <v>c(0.5,1)</v>
      </c>
      <c r="BN16" s="14">
        <f>INDEX(Table2[FWER],MATCH(BH16,Table2[ModelID],0))</f>
        <v>2.5917800000000001E-2</v>
      </c>
      <c r="BO16" t="str">
        <f>INDEX(Table2[CI_95perc_FWER],MATCH(BH16,Table2[ModelID],0))</f>
        <v>(0.02448,0.02736)</v>
      </c>
      <c r="BQ16">
        <v>110</v>
      </c>
      <c r="BR16">
        <f>INDEX(Table2[SampleSize],MATCH(BQ16,Table2[ModelID],0))</f>
        <v>400</v>
      </c>
      <c r="BS16" t="str">
        <f>INDEX(Table2[FWERControl],MATCH(BQ16,Table2[ModelID],0))</f>
        <v>CombinationTest</v>
      </c>
      <c r="BT16" t="b">
        <f>INDEX(Table2[UseCC],MATCH(BQ16,Table2[ModelID],0))</f>
        <v>1</v>
      </c>
      <c r="BU16" s="13">
        <f>INDEX(Table2[SelectionParmeter],MATCH(BQ16,Table2[ModelID],0))</f>
        <v>0.25</v>
      </c>
      <c r="BV16" s="12" t="str">
        <f>INDEX(Table2[info_frac],MATCH(BQ16,Table2[ModelID],0))</f>
        <v>c(0.75,1)</v>
      </c>
      <c r="BW16" s="14">
        <f>INDEX(Table2[FWER],MATCH(BQ16,Table2[ModelID],0))</f>
        <v>2.55096E-2</v>
      </c>
      <c r="BX16" t="str">
        <f>INDEX(Table2[CI_95perc_FWER],MATCH(BQ16,Table2[ModelID],0))</f>
        <v>(0.02327,0.02775)</v>
      </c>
      <c r="CA16">
        <v>1000</v>
      </c>
      <c r="CB16">
        <f>COUNTIFS(Table2[SampleSize],$CA16, Table2[UseCC], CB12)</f>
        <v>11</v>
      </c>
      <c r="CC16" s="11">
        <f>COUNTIFS(Table2[SampleSize],$CA16,Table2[FWER],_xlfn.CONCAT("&gt;",$CC$3), Table2[UseCC], CB12)/$CB16</f>
        <v>0</v>
      </c>
      <c r="CD16" s="11">
        <f>COUNTIFS(Table2[SampleSize],$CA16,Table2[FWER_LCL],"&lt;0.025", Table2[UseCC], CB12)/$CB16</f>
        <v>1</v>
      </c>
    </row>
    <row r="17" spans="1:82" x14ac:dyDescent="0.25">
      <c r="A17">
        <v>32</v>
      </c>
      <c r="B17" t="s">
        <v>140</v>
      </c>
      <c r="C17">
        <v>58217</v>
      </c>
      <c r="D17">
        <v>2.64841E-2</v>
      </c>
      <c r="E17">
        <v>0</v>
      </c>
      <c r="F17">
        <v>0</v>
      </c>
      <c r="G17">
        <v>2.64841E-2</v>
      </c>
      <c r="H17" t="s">
        <v>435</v>
      </c>
      <c r="I17" t="s">
        <v>52</v>
      </c>
      <c r="J17" t="s">
        <v>52</v>
      </c>
      <c r="K17" t="s">
        <v>435</v>
      </c>
      <c r="L17">
        <f>_xlfn.NUMBERVALUE(MID(Table2[[#This Row],[CI_95perc_FWER]],2,FIND(",",Table2[[#This Row],[CI_95perc_FWER]])-2))</f>
        <v>2.5159999999999998E-2</v>
      </c>
      <c r="M17">
        <f>_xlfn.NUMBERVALUE(MID(Table2[[#This Row],[CI_95perc_FWER]],FIND(",",Table2[[#This Row],[CI_95perc_FWER]])+1, LEN(Table2[[#This Row],[CI_95perc_FWER]])-FIND(",",Table2[[#This Row],[CI_95perc_FWER]])-1))</f>
        <v>2.7810000000000001E-2</v>
      </c>
      <c r="N17" s="1">
        <v>15247</v>
      </c>
      <c r="O17" t="s">
        <v>436</v>
      </c>
      <c r="P17">
        <v>0.54133548253112396</v>
      </c>
      <c r="Q17" t="s">
        <v>54</v>
      </c>
      <c r="R17" t="s">
        <v>55</v>
      </c>
      <c r="S17">
        <v>400</v>
      </c>
      <c r="T17">
        <f>IF(OR(Table2[[#This Row],[SampleSize]]=5000,Table2[[#This Row],[SampleSize]]=10000),"&gt;=5k",Table2[[#This Row],[SampleSize]])</f>
        <v>400</v>
      </c>
      <c r="U17">
        <v>2.5000000000000001E-2</v>
      </c>
      <c r="V17" t="s">
        <v>56</v>
      </c>
      <c r="W17" t="s">
        <v>56</v>
      </c>
      <c r="X17" t="s">
        <v>57</v>
      </c>
      <c r="Y17" t="s">
        <v>68</v>
      </c>
      <c r="Z17">
        <v>3</v>
      </c>
      <c r="AA17">
        <v>1</v>
      </c>
      <c r="AB17" t="s">
        <v>59</v>
      </c>
      <c r="AC17" t="s">
        <v>56</v>
      </c>
      <c r="AD17" t="s">
        <v>56</v>
      </c>
      <c r="AE17" t="s">
        <v>60</v>
      </c>
      <c r="AF17" t="s">
        <v>61</v>
      </c>
      <c r="AG17" t="s">
        <v>62</v>
      </c>
      <c r="AH17" t="s">
        <v>63</v>
      </c>
      <c r="AI17" t="s">
        <v>64</v>
      </c>
      <c r="AJ17" t="s">
        <v>65</v>
      </c>
      <c r="AK17" t="s">
        <v>97</v>
      </c>
      <c r="AL17" t="s">
        <v>67</v>
      </c>
      <c r="AM17" t="b">
        <v>0</v>
      </c>
      <c r="AN17" t="b">
        <v>1</v>
      </c>
      <c r="AO17">
        <v>1</v>
      </c>
      <c r="AP17">
        <v>1</v>
      </c>
      <c r="AQ17" t="s">
        <v>77</v>
      </c>
      <c r="AR17" t="s">
        <v>73</v>
      </c>
      <c r="AS17">
        <v>2</v>
      </c>
      <c r="AT17" t="b">
        <v>1</v>
      </c>
      <c r="AU17" t="s">
        <v>36</v>
      </c>
      <c r="AV17">
        <v>10000</v>
      </c>
      <c r="AW17">
        <v>1000</v>
      </c>
      <c r="AX17">
        <v>58217</v>
      </c>
      <c r="AY17" t="b">
        <v>1</v>
      </c>
      <c r="AZ17" t="b">
        <v>0</v>
      </c>
      <c r="BA17" t="b">
        <v>1</v>
      </c>
      <c r="BB17" t="b">
        <v>0</v>
      </c>
      <c r="BC17">
        <v>0</v>
      </c>
      <c r="BD17">
        <v>0</v>
      </c>
      <c r="BE17">
        <v>11</v>
      </c>
      <c r="BH17">
        <v>69</v>
      </c>
      <c r="BI17">
        <f>INDEX(Table2[SampleSize],MATCH(BH17,Table2[ModelID],0))</f>
        <v>1000</v>
      </c>
      <c r="BJ17" t="str">
        <f>INDEX(Table2[FWERControl],MATCH(BH17,Table2[ModelID],0))</f>
        <v>CombinationTest</v>
      </c>
      <c r="BK17" t="b">
        <f>INDEX(Table2[UseCC],MATCH(BH17,Table2[ModelID],0))</f>
        <v>0</v>
      </c>
      <c r="BL17" s="13">
        <f>INDEX(Table2[SelectionParmeter],MATCH(BH17,Table2[ModelID],0))</f>
        <v>0.25</v>
      </c>
      <c r="BM17" s="12" t="str">
        <f>INDEX(Table2[info_frac],MATCH(BH17,Table2[ModelID],0))</f>
        <v>c(0.5,1)</v>
      </c>
      <c r="BN17" s="14">
        <f>INDEX(Table2[FWER],MATCH(BH17,Table2[ModelID],0))</f>
        <v>2.46965E-2</v>
      </c>
      <c r="BO17" t="str">
        <f>INDEX(Table2[CI_95perc_FWER],MATCH(BH17,Table2[ModelID],0))</f>
        <v>(0.02375,0.02564)</v>
      </c>
      <c r="BQ17">
        <v>14</v>
      </c>
      <c r="BR17">
        <f>INDEX(Table2[SampleSize],MATCH(BQ17,Table2[ModelID],0))</f>
        <v>600</v>
      </c>
      <c r="BS17" t="str">
        <f>INDEX(Table2[FWERControl],MATCH(BQ17,Table2[ModelID],0))</f>
        <v>CombinationTest</v>
      </c>
      <c r="BT17" t="b">
        <f>INDEX(Table2[UseCC],MATCH(BQ17,Table2[ModelID],0))</f>
        <v>0</v>
      </c>
      <c r="BU17" s="13">
        <f>INDEX(Table2[SelectionParmeter],MATCH(BQ17,Table2[ModelID],0))</f>
        <v>0.25</v>
      </c>
      <c r="BV17" s="12" t="str">
        <f>INDEX(Table2[info_frac],MATCH(BQ17,Table2[ModelID],0))</f>
        <v>c(0.75,1)</v>
      </c>
      <c r="BW17" s="14">
        <f>INDEX(Table2[FWER],MATCH(BQ17,Table2[ModelID],0))</f>
        <v>2.7538900000000002E-2</v>
      </c>
      <c r="BX17" t="str">
        <f>INDEX(Table2[CI_95perc_FWER],MATCH(BQ17,Table2[ModelID],0))</f>
        <v>(0.02523,0.02985)</v>
      </c>
      <c r="CA17">
        <v>3000</v>
      </c>
      <c r="CB17">
        <f>COUNTIFS(Table2[SampleSize],$CA17, Table2[UseCC], CB12)</f>
        <v>11</v>
      </c>
      <c r="CC17" s="11">
        <f>COUNTIFS(Table2[SampleSize],$CA17,Table2[FWER],_xlfn.CONCAT("&gt;",$CC$3), Table2[UseCC], CB12)/$CB17</f>
        <v>0.27272727272727271</v>
      </c>
      <c r="CD17" s="11">
        <f>COUNTIFS(Table2[SampleSize],$CA17,Table2[FWER_LCL],"&lt;0.025", Table2[UseCC], CB12)/$CB17</f>
        <v>0.81818181818181823</v>
      </c>
    </row>
    <row r="18" spans="1:82" x14ac:dyDescent="0.25">
      <c r="A18">
        <v>43</v>
      </c>
      <c r="B18" t="s">
        <v>173</v>
      </c>
      <c r="C18">
        <v>2402</v>
      </c>
      <c r="D18">
        <v>2.5736499999999999E-2</v>
      </c>
      <c r="E18">
        <v>0</v>
      </c>
      <c r="F18">
        <v>0</v>
      </c>
      <c r="G18">
        <v>2.5736499999999999E-2</v>
      </c>
      <c r="H18" t="s">
        <v>437</v>
      </c>
      <c r="I18" t="s">
        <v>52</v>
      </c>
      <c r="J18" t="s">
        <v>52</v>
      </c>
      <c r="K18" t="s">
        <v>437</v>
      </c>
      <c r="L18">
        <f>_xlfn.NUMBERVALUE(MID(Table2[[#This Row],[CI_95perc_FWER]],2,FIND(",",Table2[[#This Row],[CI_95perc_FWER]])-2))</f>
        <v>2.436E-2</v>
      </c>
      <c r="M18">
        <f>_xlfn.NUMBERVALUE(MID(Table2[[#This Row],[CI_95perc_FWER]],FIND(",",Table2[[#This Row],[CI_95perc_FWER]])+1, LEN(Table2[[#This Row],[CI_95perc_FWER]])-FIND(",",Table2[[#This Row],[CI_95perc_FWER]])-1))</f>
        <v>2.7109999999999999E-2</v>
      </c>
      <c r="N18" s="1">
        <v>21239</v>
      </c>
      <c r="O18" t="s">
        <v>175</v>
      </c>
      <c r="P18">
        <v>0.319917819168833</v>
      </c>
      <c r="Q18" t="s">
        <v>54</v>
      </c>
      <c r="R18" t="s">
        <v>55</v>
      </c>
      <c r="S18">
        <v>400</v>
      </c>
      <c r="T18">
        <f>IF(OR(Table2[[#This Row],[SampleSize]]=5000,Table2[[#This Row],[SampleSize]]=10000),"&gt;=5k",Table2[[#This Row],[SampleSize]])</f>
        <v>400</v>
      </c>
      <c r="U18">
        <v>2.5000000000000001E-2</v>
      </c>
      <c r="V18" t="s">
        <v>56</v>
      </c>
      <c r="W18" t="s">
        <v>56</v>
      </c>
      <c r="X18" t="s">
        <v>57</v>
      </c>
      <c r="Y18" t="s">
        <v>58</v>
      </c>
      <c r="Z18">
        <v>3</v>
      </c>
      <c r="AA18">
        <v>1</v>
      </c>
      <c r="AB18" t="s">
        <v>59</v>
      </c>
      <c r="AC18" t="s">
        <v>56</v>
      </c>
      <c r="AD18" t="s">
        <v>56</v>
      </c>
      <c r="AE18" t="s">
        <v>60</v>
      </c>
      <c r="AF18" t="s">
        <v>61</v>
      </c>
      <c r="AG18" t="s">
        <v>62</v>
      </c>
      <c r="AH18" t="s">
        <v>63</v>
      </c>
      <c r="AI18" t="s">
        <v>64</v>
      </c>
      <c r="AJ18" t="s">
        <v>65</v>
      </c>
      <c r="AK18" t="s">
        <v>97</v>
      </c>
      <c r="AL18" t="s">
        <v>67</v>
      </c>
      <c r="AM18" t="b">
        <v>0</v>
      </c>
      <c r="AN18" t="b">
        <v>1</v>
      </c>
      <c r="AO18">
        <v>1</v>
      </c>
      <c r="AP18">
        <v>1</v>
      </c>
      <c r="AQ18" t="s">
        <v>77</v>
      </c>
      <c r="AR18" t="s">
        <v>78</v>
      </c>
      <c r="AS18">
        <v>0.5</v>
      </c>
      <c r="AT18" t="b">
        <v>0</v>
      </c>
      <c r="AU18" t="s">
        <v>68</v>
      </c>
      <c r="AV18">
        <v>10000</v>
      </c>
      <c r="AW18">
        <v>1000</v>
      </c>
      <c r="AX18">
        <v>2402</v>
      </c>
      <c r="AY18" t="b">
        <v>1</v>
      </c>
      <c r="AZ18" t="b">
        <v>0</v>
      </c>
      <c r="BA18" t="b">
        <v>1</v>
      </c>
      <c r="BB18" t="b">
        <v>1</v>
      </c>
      <c r="BC18">
        <v>5</v>
      </c>
      <c r="BD18" t="s">
        <v>447</v>
      </c>
      <c r="BE18">
        <v>5</v>
      </c>
      <c r="BH18">
        <v>74</v>
      </c>
      <c r="BI18">
        <f>INDEX(Table2[SampleSize],MATCH(BH18,Table2[ModelID],0))</f>
        <v>1000</v>
      </c>
      <c r="BJ18" t="str">
        <f>INDEX(Table2[FWERControl],MATCH(BH18,Table2[ModelID],0))</f>
        <v>CombinationTest</v>
      </c>
      <c r="BK18" t="b">
        <f>INDEX(Table2[UseCC],MATCH(BH18,Table2[ModelID],0))</f>
        <v>1</v>
      </c>
      <c r="BL18" s="13">
        <f>INDEX(Table2[SelectionParmeter],MATCH(BH18,Table2[ModelID],0))</f>
        <v>0.25</v>
      </c>
      <c r="BM18" s="12" t="str">
        <f>INDEX(Table2[info_frac],MATCH(BH18,Table2[ModelID],0))</f>
        <v>c(0.5,1)</v>
      </c>
      <c r="BN18" s="14">
        <f>INDEX(Table2[FWER],MATCH(BH18,Table2[ModelID],0))</f>
        <v>2.3796600000000001E-2</v>
      </c>
      <c r="BO18" t="str">
        <f>INDEX(Table2[CI_95perc_FWER],MATCH(BH18,Table2[ModelID],0))</f>
        <v>(0.02288,0.02471)</v>
      </c>
      <c r="BQ18">
        <v>38</v>
      </c>
      <c r="BR18">
        <f>INDEX(Table2[SampleSize],MATCH(BQ18,Table2[ModelID],0))</f>
        <v>600</v>
      </c>
      <c r="BS18" t="str">
        <f>INDEX(Table2[FWERControl],MATCH(BQ18,Table2[ModelID],0))</f>
        <v>CombinationTest</v>
      </c>
      <c r="BT18" t="b">
        <f>INDEX(Table2[UseCC],MATCH(BQ18,Table2[ModelID],0))</f>
        <v>1</v>
      </c>
      <c r="BU18" s="13">
        <f>INDEX(Table2[SelectionParmeter],MATCH(BQ18,Table2[ModelID],0))</f>
        <v>0.25</v>
      </c>
      <c r="BV18" s="12" t="str">
        <f>INDEX(Table2[info_frac],MATCH(BQ18,Table2[ModelID],0))</f>
        <v>c(0.75,1)</v>
      </c>
      <c r="BW18" s="14">
        <f>INDEX(Table2[FWER],MATCH(BQ18,Table2[ModelID],0))</f>
        <v>2.5780600000000001E-2</v>
      </c>
      <c r="BX18" t="str">
        <f>INDEX(Table2[CI_95perc_FWER],MATCH(BQ18,Table2[ModelID],0))</f>
        <v>(0.02353,0.02803)</v>
      </c>
      <c r="CA18" t="s">
        <v>494</v>
      </c>
      <c r="CB18">
        <f>COUNTIFS(Table2[SampleSize],5000, Table2[UseCC], CB12)+COUNTIFS(Table2[SampleSize],10000, Table2[UseCC], CB12)</f>
        <v>11</v>
      </c>
      <c r="CC18" s="11">
        <f>(COUNTIFS(Table2[SampleSize],5000,Table2[FWER],_xlfn.CONCAT("&gt;",$CC$3), Table2[UseCC], CB12)+COUNTIFS(Table2[SampleSize],10000,Table2[FWER],_xlfn.CONCAT("&gt;",$CC$3), Table2[UseCC], CB12))/$CB18</f>
        <v>0.27272727272727271</v>
      </c>
      <c r="CD18" s="11">
        <f>(COUNTIFS(Table2[SampleSize],5000,Table2[FWER_LCL],"&lt;0.025", Table2[UseCC], CB12)+COUNTIFS(Table2[SampleSize],10000,Table2[FWER_LCL],"&lt;0.025", Table2[UseCC], CB12))/$CB18</f>
        <v>0.90909090909090906</v>
      </c>
    </row>
    <row r="19" spans="1:82" x14ac:dyDescent="0.25">
      <c r="A19">
        <v>44</v>
      </c>
      <c r="B19" t="s">
        <v>176</v>
      </c>
      <c r="C19">
        <v>2637</v>
      </c>
      <c r="D19">
        <v>2.5852699999999999E-2</v>
      </c>
      <c r="E19">
        <v>0</v>
      </c>
      <c r="F19">
        <v>0</v>
      </c>
      <c r="G19">
        <v>2.5852699999999999E-2</v>
      </c>
      <c r="H19" t="s">
        <v>438</v>
      </c>
      <c r="I19" t="s">
        <v>52</v>
      </c>
      <c r="J19" t="s">
        <v>52</v>
      </c>
      <c r="K19" t="s">
        <v>438</v>
      </c>
      <c r="L19">
        <f>_xlfn.NUMBERVALUE(MID(Table2[[#This Row],[CI_95perc_FWER]],2,FIND(",",Table2[[#This Row],[CI_95perc_FWER]])-2))</f>
        <v>2.4479999999999998E-2</v>
      </c>
      <c r="M19">
        <f>_xlfn.NUMBERVALUE(MID(Table2[[#This Row],[CI_95perc_FWER]],FIND(",",Table2[[#This Row],[CI_95perc_FWER]])+1, LEN(Table2[[#This Row],[CI_95perc_FWER]])-FIND(",",Table2[[#This Row],[CI_95perc_FWER]])-1))</f>
        <v>2.7230000000000001E-2</v>
      </c>
      <c r="N19" s="1">
        <v>21241</v>
      </c>
      <c r="O19" t="s">
        <v>178</v>
      </c>
      <c r="P19">
        <v>0.41809697833326098</v>
      </c>
      <c r="Q19" t="s">
        <v>54</v>
      </c>
      <c r="R19" t="s">
        <v>55</v>
      </c>
      <c r="S19">
        <v>400</v>
      </c>
      <c r="T19">
        <f>IF(OR(Table2[[#This Row],[SampleSize]]=5000,Table2[[#This Row],[SampleSize]]=10000),"&gt;=5k",Table2[[#This Row],[SampleSize]])</f>
        <v>400</v>
      </c>
      <c r="U19">
        <v>2.5000000000000001E-2</v>
      </c>
      <c r="V19" t="s">
        <v>56</v>
      </c>
      <c r="W19" t="s">
        <v>56</v>
      </c>
      <c r="X19" t="s">
        <v>57</v>
      </c>
      <c r="Y19" t="s">
        <v>58</v>
      </c>
      <c r="Z19">
        <v>3</v>
      </c>
      <c r="AA19">
        <v>1</v>
      </c>
      <c r="AB19" t="s">
        <v>59</v>
      </c>
      <c r="AC19" t="s">
        <v>56</v>
      </c>
      <c r="AD19" t="s">
        <v>56</v>
      </c>
      <c r="AE19" t="s">
        <v>60</v>
      </c>
      <c r="AF19" t="s">
        <v>61</v>
      </c>
      <c r="AG19" t="s">
        <v>62</v>
      </c>
      <c r="AH19" t="s">
        <v>63</v>
      </c>
      <c r="AI19" t="s">
        <v>64</v>
      </c>
      <c r="AJ19" t="s">
        <v>65</v>
      </c>
      <c r="AK19" t="s">
        <v>97</v>
      </c>
      <c r="AL19" t="s">
        <v>67</v>
      </c>
      <c r="AM19" t="b">
        <v>0</v>
      </c>
      <c r="AN19" t="b">
        <v>1</v>
      </c>
      <c r="AO19">
        <v>1</v>
      </c>
      <c r="AP19">
        <v>1</v>
      </c>
      <c r="AQ19" t="s">
        <v>77</v>
      </c>
      <c r="AR19" t="s">
        <v>78</v>
      </c>
      <c r="AS19">
        <v>0.75</v>
      </c>
      <c r="AT19" t="b">
        <v>1</v>
      </c>
      <c r="AU19" t="s">
        <v>36</v>
      </c>
      <c r="AV19">
        <v>10000</v>
      </c>
      <c r="AW19">
        <v>1000</v>
      </c>
      <c r="AX19">
        <v>2637</v>
      </c>
      <c r="AY19" t="b">
        <v>1</v>
      </c>
      <c r="AZ19" t="b">
        <v>0</v>
      </c>
      <c r="BA19" t="b">
        <v>1</v>
      </c>
      <c r="BB19" t="b">
        <v>1</v>
      </c>
      <c r="BC19">
        <v>6</v>
      </c>
      <c r="BD19" t="s">
        <v>447</v>
      </c>
      <c r="BE19">
        <v>7</v>
      </c>
      <c r="BH19">
        <v>79</v>
      </c>
      <c r="BI19">
        <f>INDEX(Table2[SampleSize],MATCH(BH19,Table2[ModelID],0))</f>
        <v>3000</v>
      </c>
      <c r="BJ19" t="str">
        <f>INDEX(Table2[FWERControl],MATCH(BH19,Table2[ModelID],0))</f>
        <v>CombinationTest</v>
      </c>
      <c r="BK19" t="b">
        <f>INDEX(Table2[UseCC],MATCH(BH19,Table2[ModelID],0))</f>
        <v>0</v>
      </c>
      <c r="BL19" s="13">
        <f>INDEX(Table2[SelectionParmeter],MATCH(BH19,Table2[ModelID],0))</f>
        <v>0.25</v>
      </c>
      <c r="BM19" s="12" t="str">
        <f>INDEX(Table2[info_frac],MATCH(BH19,Table2[ModelID],0))</f>
        <v>c(0.5,1)</v>
      </c>
      <c r="BN19" s="14">
        <f>INDEX(Table2[FWER],MATCH(BH19,Table2[ModelID],0))</f>
        <v>2.4750125000000001E-2</v>
      </c>
      <c r="BO19" t="str">
        <f>INDEX(Table2[CI_95perc_FWER],MATCH(BH19,Table2[ModelID],0))</f>
        <v>(0.02381,0.02569)</v>
      </c>
      <c r="BQ19">
        <v>111</v>
      </c>
      <c r="BR19">
        <f>INDEX(Table2[SampleSize],MATCH(BQ19,Table2[ModelID],0))</f>
        <v>1000</v>
      </c>
      <c r="BS19" t="str">
        <f>INDEX(Table2[FWERControl],MATCH(BQ19,Table2[ModelID],0))</f>
        <v>CombinationTest</v>
      </c>
      <c r="BT19" t="b">
        <f>INDEX(Table2[UseCC],MATCH(BQ19,Table2[ModelID],0))</f>
        <v>1</v>
      </c>
      <c r="BU19" s="13">
        <f>INDEX(Table2[SelectionParmeter],MATCH(BQ19,Table2[ModelID],0))</f>
        <v>0.25</v>
      </c>
      <c r="BV19" s="12" t="str">
        <f>INDEX(Table2[info_frac],MATCH(BQ19,Table2[ModelID],0))</f>
        <v>c(0.75,1)</v>
      </c>
      <c r="BW19" s="14">
        <f>INDEX(Table2[FWER],MATCH(BQ19,Table2[ModelID],0))</f>
        <v>2.38769E-2</v>
      </c>
      <c r="BX19" t="str">
        <f>INDEX(Table2[CI_95perc_FWER],MATCH(BQ19,Table2[ModelID],0))</f>
        <v>(0.02182,0.02593)</v>
      </c>
    </row>
    <row r="20" spans="1:82" x14ac:dyDescent="0.25">
      <c r="A20">
        <v>51</v>
      </c>
      <c r="B20" t="s">
        <v>197</v>
      </c>
      <c r="C20">
        <v>2402</v>
      </c>
      <c r="D20">
        <v>2.6003499999999999E-2</v>
      </c>
      <c r="E20">
        <v>0</v>
      </c>
      <c r="F20">
        <v>0</v>
      </c>
      <c r="G20">
        <v>2.6003499999999999E-2</v>
      </c>
      <c r="H20" t="s">
        <v>439</v>
      </c>
      <c r="I20" t="s">
        <v>52</v>
      </c>
      <c r="J20" t="s">
        <v>52</v>
      </c>
      <c r="K20" t="s">
        <v>439</v>
      </c>
      <c r="L20">
        <f>_xlfn.NUMBERVALUE(MID(Table2[[#This Row],[CI_95perc_FWER]],2,FIND(",",Table2[[#This Row],[CI_95perc_FWER]])-2))</f>
        <v>2.4629999999999999E-2</v>
      </c>
      <c r="M20">
        <f>_xlfn.NUMBERVALUE(MID(Table2[[#This Row],[CI_95perc_FWER]],FIND(",",Table2[[#This Row],[CI_95perc_FWER]])+1, LEN(Table2[[#This Row],[CI_95perc_FWER]])-FIND(",",Table2[[#This Row],[CI_95perc_FWER]])-1))</f>
        <v>2.7369999999999998E-2</v>
      </c>
      <c r="N20" s="1">
        <v>21240</v>
      </c>
      <c r="O20" t="s">
        <v>440</v>
      </c>
      <c r="P20">
        <v>0.34519797358248</v>
      </c>
      <c r="Q20" t="s">
        <v>54</v>
      </c>
      <c r="R20" t="s">
        <v>55</v>
      </c>
      <c r="S20">
        <v>400</v>
      </c>
      <c r="T20">
        <f>IF(OR(Table2[[#This Row],[SampleSize]]=5000,Table2[[#This Row],[SampleSize]]=10000),"&gt;=5k",Table2[[#This Row],[SampleSize]])</f>
        <v>400</v>
      </c>
      <c r="U20">
        <v>2.5000000000000001E-2</v>
      </c>
      <c r="V20" t="s">
        <v>56</v>
      </c>
      <c r="W20" t="s">
        <v>56</v>
      </c>
      <c r="X20" t="s">
        <v>57</v>
      </c>
      <c r="Y20" t="s">
        <v>68</v>
      </c>
      <c r="Z20">
        <v>3</v>
      </c>
      <c r="AA20">
        <v>1</v>
      </c>
      <c r="AB20" t="s">
        <v>59</v>
      </c>
      <c r="AC20" t="s">
        <v>56</v>
      </c>
      <c r="AD20" t="s">
        <v>56</v>
      </c>
      <c r="AE20" t="s">
        <v>60</v>
      </c>
      <c r="AF20" t="s">
        <v>61</v>
      </c>
      <c r="AG20" t="s">
        <v>62</v>
      </c>
      <c r="AH20" t="s">
        <v>63</v>
      </c>
      <c r="AI20" t="s">
        <v>64</v>
      </c>
      <c r="AJ20" t="s">
        <v>65</v>
      </c>
      <c r="AK20" t="s">
        <v>97</v>
      </c>
      <c r="AL20" t="s">
        <v>67</v>
      </c>
      <c r="AM20" t="b">
        <v>0</v>
      </c>
      <c r="AN20" t="b">
        <v>1</v>
      </c>
      <c r="AO20">
        <v>1</v>
      </c>
      <c r="AP20">
        <v>1</v>
      </c>
      <c r="AQ20" t="s">
        <v>77</v>
      </c>
      <c r="AR20" t="s">
        <v>78</v>
      </c>
      <c r="AS20">
        <v>0.5</v>
      </c>
      <c r="AT20" t="b">
        <v>0</v>
      </c>
      <c r="AU20" t="s">
        <v>68</v>
      </c>
      <c r="AV20">
        <v>10000</v>
      </c>
      <c r="AW20">
        <v>1000</v>
      </c>
      <c r="AX20">
        <v>2402</v>
      </c>
      <c r="AY20" t="b">
        <v>1</v>
      </c>
      <c r="AZ20" t="b">
        <v>0</v>
      </c>
      <c r="BA20" t="b">
        <v>1</v>
      </c>
      <c r="BB20" t="b">
        <v>1</v>
      </c>
      <c r="BC20">
        <v>7</v>
      </c>
      <c r="BD20" t="s">
        <v>447</v>
      </c>
      <c r="BE20">
        <v>5</v>
      </c>
      <c r="BH20">
        <v>84</v>
      </c>
      <c r="BI20">
        <f>INDEX(Table2[SampleSize],MATCH(BH20,Table2[ModelID],0))</f>
        <v>3000</v>
      </c>
      <c r="BJ20" t="str">
        <f>INDEX(Table2[FWERControl],MATCH(BH20,Table2[ModelID],0))</f>
        <v>CombinationTest</v>
      </c>
      <c r="BK20" t="b">
        <f>INDEX(Table2[UseCC],MATCH(BH20,Table2[ModelID],0))</f>
        <v>1</v>
      </c>
      <c r="BL20" s="13">
        <f>INDEX(Table2[SelectionParmeter],MATCH(BH20,Table2[ModelID],0))</f>
        <v>0.25</v>
      </c>
      <c r="BM20" s="12" t="str">
        <f>INDEX(Table2[info_frac],MATCH(BH20,Table2[ModelID],0))</f>
        <v>c(0.5,1)</v>
      </c>
      <c r="BN20" s="14">
        <f>INDEX(Table2[FWER],MATCH(BH20,Table2[ModelID],0))</f>
        <v>2.4604075E-2</v>
      </c>
      <c r="BO20" t="str">
        <f>INDEX(Table2[CI_95perc_FWER],MATCH(BH20,Table2[ModelID],0))</f>
        <v>(0.02366,0.02554)</v>
      </c>
      <c r="BQ20">
        <v>112</v>
      </c>
      <c r="BR20">
        <f>INDEX(Table2[SampleSize],MATCH(BQ20,Table2[ModelID],0))</f>
        <v>3000</v>
      </c>
      <c r="BS20" t="str">
        <f>INDEX(Table2[FWERControl],MATCH(BQ20,Table2[ModelID],0))</f>
        <v>CombinationTest</v>
      </c>
      <c r="BT20" t="b">
        <f>INDEX(Table2[UseCC],MATCH(BQ20,Table2[ModelID],0))</f>
        <v>1</v>
      </c>
      <c r="BU20" s="13">
        <f>INDEX(Table2[SelectionParmeter],MATCH(BQ20,Table2[ModelID],0))</f>
        <v>0.25</v>
      </c>
      <c r="BV20" s="12" t="str">
        <f>INDEX(Table2[info_frac],MATCH(BQ20,Table2[ModelID],0))</f>
        <v>c(0.75,1)</v>
      </c>
      <c r="BW20" s="14">
        <f>INDEX(Table2[FWER],MATCH(BQ20,Table2[ModelID],0))</f>
        <v>2.7602000000000002E-2</v>
      </c>
      <c r="BX20" t="str">
        <f>INDEX(Table2[CI_95perc_FWER],MATCH(BQ20,Table2[ModelID],0))</f>
        <v>(0.02527,0.02993)</v>
      </c>
      <c r="CA20" t="s">
        <v>49</v>
      </c>
      <c r="CB20" t="b">
        <v>0</v>
      </c>
    </row>
    <row r="21" spans="1:82" x14ac:dyDescent="0.25">
      <c r="A21">
        <v>52</v>
      </c>
      <c r="B21" t="s">
        <v>200</v>
      </c>
      <c r="C21">
        <v>2637</v>
      </c>
      <c r="D21">
        <v>2.61043E-2</v>
      </c>
      <c r="E21">
        <v>0</v>
      </c>
      <c r="F21">
        <v>0</v>
      </c>
      <c r="G21">
        <v>2.61043E-2</v>
      </c>
      <c r="H21" t="s">
        <v>441</v>
      </c>
      <c r="I21" t="s">
        <v>52</v>
      </c>
      <c r="J21" t="s">
        <v>52</v>
      </c>
      <c r="K21" t="s">
        <v>441</v>
      </c>
      <c r="L21">
        <f>_xlfn.NUMBERVALUE(MID(Table2[[#This Row],[CI_95perc_FWER]],2,FIND(",",Table2[[#This Row],[CI_95perc_FWER]])-2))</f>
        <v>2.4729999999999999E-2</v>
      </c>
      <c r="M21">
        <f>_xlfn.NUMBERVALUE(MID(Table2[[#This Row],[CI_95perc_FWER]],FIND(",",Table2[[#This Row],[CI_95perc_FWER]])+1, LEN(Table2[[#This Row],[CI_95perc_FWER]])-FIND(",",Table2[[#This Row],[CI_95perc_FWER]])-1))</f>
        <v>2.7470000000000001E-2</v>
      </c>
      <c r="N21" s="1">
        <v>21242</v>
      </c>
      <c r="O21" t="s">
        <v>442</v>
      </c>
      <c r="P21">
        <v>0.45550502611531202</v>
      </c>
      <c r="Q21" t="s">
        <v>54</v>
      </c>
      <c r="R21" t="s">
        <v>55</v>
      </c>
      <c r="S21">
        <v>400</v>
      </c>
      <c r="T21">
        <f>IF(OR(Table2[[#This Row],[SampleSize]]=5000,Table2[[#This Row],[SampleSize]]=10000),"&gt;=5k",Table2[[#This Row],[SampleSize]])</f>
        <v>400</v>
      </c>
      <c r="U21">
        <v>2.5000000000000001E-2</v>
      </c>
      <c r="V21" t="s">
        <v>56</v>
      </c>
      <c r="W21" t="s">
        <v>56</v>
      </c>
      <c r="X21" t="s">
        <v>57</v>
      </c>
      <c r="Y21" t="s">
        <v>68</v>
      </c>
      <c r="Z21">
        <v>3</v>
      </c>
      <c r="AA21">
        <v>1</v>
      </c>
      <c r="AB21" t="s">
        <v>59</v>
      </c>
      <c r="AC21" t="s">
        <v>56</v>
      </c>
      <c r="AD21" t="s">
        <v>56</v>
      </c>
      <c r="AE21" t="s">
        <v>60</v>
      </c>
      <c r="AF21" t="s">
        <v>61</v>
      </c>
      <c r="AG21" t="s">
        <v>62</v>
      </c>
      <c r="AH21" t="s">
        <v>63</v>
      </c>
      <c r="AI21" t="s">
        <v>64</v>
      </c>
      <c r="AJ21" t="s">
        <v>65</v>
      </c>
      <c r="AK21" t="s">
        <v>97</v>
      </c>
      <c r="AL21" t="s">
        <v>67</v>
      </c>
      <c r="AM21" t="b">
        <v>0</v>
      </c>
      <c r="AN21" t="b">
        <v>1</v>
      </c>
      <c r="AO21">
        <v>1</v>
      </c>
      <c r="AP21">
        <v>1</v>
      </c>
      <c r="AQ21" t="s">
        <v>77</v>
      </c>
      <c r="AR21" t="s">
        <v>78</v>
      </c>
      <c r="AS21">
        <v>0.75</v>
      </c>
      <c r="AT21" t="b">
        <v>1</v>
      </c>
      <c r="AU21" t="s">
        <v>36</v>
      </c>
      <c r="AV21">
        <v>10000</v>
      </c>
      <c r="AW21">
        <v>1000</v>
      </c>
      <c r="AX21">
        <v>2637</v>
      </c>
      <c r="AY21" t="b">
        <v>1</v>
      </c>
      <c r="AZ21" t="b">
        <v>0</v>
      </c>
      <c r="BA21" t="b">
        <v>1</v>
      </c>
      <c r="BB21" t="b">
        <v>1</v>
      </c>
      <c r="BC21">
        <v>8</v>
      </c>
      <c r="BD21" t="s">
        <v>447</v>
      </c>
      <c r="BE21">
        <v>7</v>
      </c>
      <c r="BH21">
        <v>59</v>
      </c>
      <c r="BI21">
        <f>INDEX(Table2[SampleSize],MATCH(BH21,Table2[ModelID],0))</f>
        <v>10000</v>
      </c>
      <c r="BJ21" t="str">
        <f>INDEX(Table2[FWERControl],MATCH(BH21,Table2[ModelID],0))</f>
        <v>CombinationTest</v>
      </c>
      <c r="BK21" t="b">
        <f>INDEX(Table2[UseCC],MATCH(BH21,Table2[ModelID],0))</f>
        <v>0</v>
      </c>
      <c r="BL21" s="13">
        <f>INDEX(Table2[SelectionParmeter],MATCH(BH21,Table2[ModelID],0))</f>
        <v>0.25</v>
      </c>
      <c r="BM21" s="12" t="str">
        <f>INDEX(Table2[info_frac],MATCH(BH21,Table2[ModelID],0))</f>
        <v>c(0.5,1)</v>
      </c>
      <c r="BN21" s="14">
        <f>INDEX(Table2[FWER],MATCH(BH21,Table2[ModelID],0))</f>
        <v>2.4221224999999999E-2</v>
      </c>
      <c r="BO21" t="str">
        <f>INDEX(Table2[CI_95perc_FWER],MATCH(BH21,Table2[ModelID],0))</f>
        <v>(0.02332,0.02512)</v>
      </c>
      <c r="BQ21">
        <v>113</v>
      </c>
      <c r="BR21">
        <f>INDEX(Table2[SampleSize],MATCH(BQ21,Table2[ModelID],0))</f>
        <v>5000</v>
      </c>
      <c r="BS21" t="str">
        <f>INDEX(Table2[FWERControl],MATCH(BQ21,Table2[ModelID],0))</f>
        <v>CombinationTest</v>
      </c>
      <c r="BT21" t="b">
        <f>INDEX(Table2[UseCC],MATCH(BQ21,Table2[ModelID],0))</f>
        <v>1</v>
      </c>
      <c r="BU21" s="13">
        <f>INDEX(Table2[SelectionParmeter],MATCH(BQ21,Table2[ModelID],0))</f>
        <v>0.25</v>
      </c>
      <c r="BV21" s="12" t="str">
        <f>INDEX(Table2[info_frac],MATCH(BQ21,Table2[ModelID],0))</f>
        <v>c(0.75,1)</v>
      </c>
      <c r="BW21" s="14">
        <f>INDEX(Table2[FWER],MATCH(BQ21,Table2[ModelID],0))</f>
        <v>2.64426E-2</v>
      </c>
      <c r="BX21" t="str">
        <f>INDEX(Table2[CI_95perc_FWER],MATCH(BQ21,Table2[ModelID],0))</f>
        <v>(0.02419,0.0287)</v>
      </c>
      <c r="CA21" t="s">
        <v>450</v>
      </c>
      <c r="CB21" t="s">
        <v>229</v>
      </c>
      <c r="CC21" t="str">
        <f>_xlfn.CONCAT("% FWER &gt; ",$CC$3)</f>
        <v>% FWER &gt; 0.02625</v>
      </c>
      <c r="CD21" t="s">
        <v>496</v>
      </c>
    </row>
    <row r="22" spans="1:82" x14ac:dyDescent="0.25">
      <c r="A22">
        <v>53</v>
      </c>
      <c r="B22" t="s">
        <v>202</v>
      </c>
      <c r="C22">
        <v>499</v>
      </c>
      <c r="D22">
        <v>2.5805499999999999E-2</v>
      </c>
      <c r="E22">
        <v>0</v>
      </c>
      <c r="F22">
        <v>0</v>
      </c>
      <c r="G22">
        <v>2.5805499999999999E-2</v>
      </c>
      <c r="H22" t="s">
        <v>443</v>
      </c>
      <c r="I22" t="s">
        <v>52</v>
      </c>
      <c r="J22" t="s">
        <v>52</v>
      </c>
      <c r="K22" t="s">
        <v>443</v>
      </c>
      <c r="L22">
        <f>_xlfn.NUMBERVALUE(MID(Table2[[#This Row],[CI_95perc_FWER]],2,FIND(",",Table2[[#This Row],[CI_95perc_FWER]])-2))</f>
        <v>2.4459999999999999E-2</v>
      </c>
      <c r="M22">
        <f>_xlfn.NUMBERVALUE(MID(Table2[[#This Row],[CI_95perc_FWER]],FIND(",",Table2[[#This Row],[CI_95perc_FWER]])+1, LEN(Table2[[#This Row],[CI_95perc_FWER]])-FIND(",",Table2[[#This Row],[CI_95perc_FWER]])-1))</f>
        <v>2.7150000000000001E-2</v>
      </c>
      <c r="N22" s="1">
        <v>19243</v>
      </c>
      <c r="O22" t="s">
        <v>444</v>
      </c>
      <c r="P22">
        <v>0.34355170336034602</v>
      </c>
      <c r="Q22" t="s">
        <v>54</v>
      </c>
      <c r="R22" t="s">
        <v>55</v>
      </c>
      <c r="S22">
        <v>400</v>
      </c>
      <c r="T22">
        <f>IF(OR(Table2[[#This Row],[SampleSize]]=5000,Table2[[#This Row],[SampleSize]]=10000),"&gt;=5k",Table2[[#This Row],[SampleSize]])</f>
        <v>400</v>
      </c>
      <c r="U22">
        <v>2.5000000000000001E-2</v>
      </c>
      <c r="V22" t="s">
        <v>56</v>
      </c>
      <c r="W22" t="s">
        <v>56</v>
      </c>
      <c r="X22" t="s">
        <v>57</v>
      </c>
      <c r="Y22" t="s">
        <v>68</v>
      </c>
      <c r="Z22">
        <v>3</v>
      </c>
      <c r="AA22">
        <v>1</v>
      </c>
      <c r="AB22" t="s">
        <v>59</v>
      </c>
      <c r="AC22" t="s">
        <v>56</v>
      </c>
      <c r="AD22" t="s">
        <v>56</v>
      </c>
      <c r="AE22" t="s">
        <v>60</v>
      </c>
      <c r="AF22" t="s">
        <v>61</v>
      </c>
      <c r="AG22" t="s">
        <v>62</v>
      </c>
      <c r="AH22" t="s">
        <v>63</v>
      </c>
      <c r="AI22" t="s">
        <v>64</v>
      </c>
      <c r="AJ22" t="s">
        <v>65</v>
      </c>
      <c r="AK22" t="s">
        <v>97</v>
      </c>
      <c r="AL22" t="s">
        <v>67</v>
      </c>
      <c r="AM22" t="b">
        <v>0</v>
      </c>
      <c r="AN22" t="b">
        <v>1</v>
      </c>
      <c r="AO22">
        <v>1</v>
      </c>
      <c r="AP22">
        <v>1</v>
      </c>
      <c r="AQ22" t="s">
        <v>77</v>
      </c>
      <c r="AR22" t="s">
        <v>78</v>
      </c>
      <c r="AS22">
        <v>0.5</v>
      </c>
      <c r="AT22" t="b">
        <v>1</v>
      </c>
      <c r="AU22" t="s">
        <v>36</v>
      </c>
      <c r="AV22">
        <v>10000</v>
      </c>
      <c r="AW22">
        <v>1000</v>
      </c>
      <c r="AX22">
        <v>499</v>
      </c>
      <c r="AY22" t="b">
        <v>1</v>
      </c>
      <c r="AZ22" t="b">
        <v>0</v>
      </c>
      <c r="BA22" t="b">
        <v>1</v>
      </c>
      <c r="BB22" t="b">
        <v>1</v>
      </c>
      <c r="BC22">
        <v>9</v>
      </c>
      <c r="BD22" t="s">
        <v>447</v>
      </c>
      <c r="BE22">
        <v>5</v>
      </c>
      <c r="BH22">
        <v>64</v>
      </c>
      <c r="BI22">
        <f>INDEX(Table2[SampleSize],MATCH(BH22,Table2[ModelID],0))</f>
        <v>10000</v>
      </c>
      <c r="BJ22" t="str">
        <f>INDEX(Table2[FWERControl],MATCH(BH22,Table2[ModelID],0))</f>
        <v>CombinationTest</v>
      </c>
      <c r="BK22" t="b">
        <f>INDEX(Table2[UseCC],MATCH(BH22,Table2[ModelID],0))</f>
        <v>1</v>
      </c>
      <c r="BL22" s="13">
        <f>INDEX(Table2[SelectionParmeter],MATCH(BH22,Table2[ModelID],0))</f>
        <v>0.25</v>
      </c>
      <c r="BM22" s="12" t="str">
        <f>INDEX(Table2[info_frac],MATCH(BH22,Table2[ModelID],0))</f>
        <v>c(0.5,1)</v>
      </c>
      <c r="BN22" s="14">
        <f>INDEX(Table2[FWER],MATCH(BH22,Table2[ModelID],0))</f>
        <v>2.4137425000000001E-2</v>
      </c>
      <c r="BO22" t="str">
        <f>INDEX(Table2[CI_95perc_FWER],MATCH(BH22,Table2[ModelID],0))</f>
        <v>(0.02324,0.02503)</v>
      </c>
      <c r="CA22">
        <v>400</v>
      </c>
      <c r="CB22">
        <f>COUNTIFS(Table2[SampleSize],$CA22, Table2[UseCC], CB20)</f>
        <v>15</v>
      </c>
      <c r="CC22" s="11">
        <f>COUNTIFS(Table2[SampleSize],$CA22,Table2[FWER],_xlfn.CONCAT("&gt;",$CC$3), Table2[UseCC], CB20)/$CB22</f>
        <v>0.8</v>
      </c>
      <c r="CD22" s="11">
        <f>COUNTIFS(Table2[SampleSize],$CA22,Table2[FWER_LCL],"&lt;0.025", Table2[UseCC], CB20)/$CB22</f>
        <v>0.2</v>
      </c>
    </row>
    <row r="23" spans="1:82" x14ac:dyDescent="0.25">
      <c r="A23">
        <v>110</v>
      </c>
      <c r="B23" t="s">
        <v>482</v>
      </c>
      <c r="C23">
        <v>4346</v>
      </c>
      <c r="D23">
        <v>2.55096E-2</v>
      </c>
      <c r="E23">
        <v>0</v>
      </c>
      <c r="F23">
        <v>0</v>
      </c>
      <c r="G23">
        <v>2.55096E-2</v>
      </c>
      <c r="H23" t="s">
        <v>483</v>
      </c>
      <c r="I23" t="s">
        <v>52</v>
      </c>
      <c r="J23" t="s">
        <v>52</v>
      </c>
      <c r="K23" t="s">
        <v>483</v>
      </c>
      <c r="L23">
        <f>_xlfn.NUMBERVALUE(MID(Table2[[#This Row],[CI_95perc_FWER]],2,FIND(",",Table2[[#This Row],[CI_95perc_FWER]])-2))</f>
        <v>2.3269999999999999E-2</v>
      </c>
      <c r="M23">
        <f>_xlfn.NUMBERVALUE(MID(Table2[[#This Row],[CI_95perc_FWER]],FIND(",",Table2[[#This Row],[CI_95perc_FWER]])+1, LEN(Table2[[#This Row],[CI_95perc_FWER]])-FIND(",",Table2[[#This Row],[CI_95perc_FWER]])-1))</f>
        <v>2.775E-2</v>
      </c>
      <c r="N23" s="1">
        <v>109140</v>
      </c>
      <c r="O23" t="s">
        <v>484</v>
      </c>
      <c r="P23">
        <v>0.184139038655493</v>
      </c>
      <c r="Q23" t="s">
        <v>54</v>
      </c>
      <c r="R23" t="s">
        <v>55</v>
      </c>
      <c r="S23">
        <v>400</v>
      </c>
      <c r="T23">
        <f>IF(OR(Table2[[#This Row],[SampleSize]]=5000,Table2[[#This Row],[SampleSize]]=10000),"&gt;=5k",Table2[[#This Row],[SampleSize]])</f>
        <v>400</v>
      </c>
      <c r="U23">
        <v>2.5000000000000001E-2</v>
      </c>
      <c r="V23" t="s">
        <v>56</v>
      </c>
      <c r="W23" t="s">
        <v>56</v>
      </c>
      <c r="X23" t="s">
        <v>57</v>
      </c>
      <c r="Y23" t="s">
        <v>58</v>
      </c>
      <c r="Z23">
        <v>3</v>
      </c>
      <c r="AA23">
        <v>1</v>
      </c>
      <c r="AB23" t="s">
        <v>59</v>
      </c>
      <c r="AC23" t="s">
        <v>56</v>
      </c>
      <c r="AD23" t="s">
        <v>56</v>
      </c>
      <c r="AE23" t="s">
        <v>60</v>
      </c>
      <c r="AF23" t="s">
        <v>61</v>
      </c>
      <c r="AG23" t="s">
        <v>62</v>
      </c>
      <c r="AH23" t="s">
        <v>63</v>
      </c>
      <c r="AI23" t="s">
        <v>64</v>
      </c>
      <c r="AJ23" t="s">
        <v>65</v>
      </c>
      <c r="AK23" t="s">
        <v>66</v>
      </c>
      <c r="AL23" t="s">
        <v>67</v>
      </c>
      <c r="AM23" t="b">
        <v>0</v>
      </c>
      <c r="AN23" t="b">
        <v>1</v>
      </c>
      <c r="AO23">
        <v>1</v>
      </c>
      <c r="AP23">
        <v>1</v>
      </c>
      <c r="AQ23" t="s">
        <v>77</v>
      </c>
      <c r="AR23" t="s">
        <v>78</v>
      </c>
      <c r="AS23">
        <v>0.25</v>
      </c>
      <c r="AT23" t="b">
        <v>1</v>
      </c>
      <c r="AU23" t="s">
        <v>36</v>
      </c>
      <c r="AV23">
        <v>10000</v>
      </c>
      <c r="AW23">
        <v>1000</v>
      </c>
      <c r="AX23">
        <v>4346</v>
      </c>
      <c r="AY23" t="b">
        <v>1</v>
      </c>
      <c r="AZ23" t="b">
        <v>0</v>
      </c>
      <c r="BA23" t="b">
        <v>1</v>
      </c>
      <c r="BB23" t="b">
        <v>1</v>
      </c>
      <c r="BC23">
        <v>3</v>
      </c>
      <c r="BD23" t="s">
        <v>447</v>
      </c>
      <c r="BE23">
        <v>4</v>
      </c>
      <c r="CA23">
        <v>600</v>
      </c>
      <c r="CB23">
        <f>COUNTIFS(Table2[SampleSize],$CA23, Table2[UseCC], CB20)</f>
        <v>7</v>
      </c>
      <c r="CC23" s="11">
        <f>COUNTIFS(Table2[SampleSize],$CA23,Table2[FWER],_xlfn.CONCAT("&gt;",$CC$3), Table2[UseCC], CB20)/$CB23</f>
        <v>0.8571428571428571</v>
      </c>
      <c r="CD23" s="11">
        <f>COUNTIFS(Table2[SampleSize],$CA23,Table2[FWER_LCL],"&lt;0.025", Table2[UseCC], CB20)/$CB23</f>
        <v>0.42857142857142855</v>
      </c>
    </row>
    <row r="24" spans="1:82" x14ac:dyDescent="0.25">
      <c r="A24">
        <v>9</v>
      </c>
      <c r="B24" t="s">
        <v>50</v>
      </c>
      <c r="C24">
        <v>64564</v>
      </c>
      <c r="D24">
        <v>2.9327499999999999E-2</v>
      </c>
      <c r="E24">
        <v>0</v>
      </c>
      <c r="F24">
        <v>0</v>
      </c>
      <c r="G24">
        <v>2.9327499999999999E-2</v>
      </c>
      <c r="H24" t="s">
        <v>51</v>
      </c>
      <c r="I24" t="s">
        <v>52</v>
      </c>
      <c r="J24" t="s">
        <v>52</v>
      </c>
      <c r="K24" t="s">
        <v>51</v>
      </c>
      <c r="L24">
        <f>_xlfn.NUMBERVALUE(MID(Table2[[#This Row],[CI_95perc_FWER]],2,FIND(",",Table2[[#This Row],[CI_95perc_FWER]])-2))</f>
        <v>2.6859999999999998E-2</v>
      </c>
      <c r="M24">
        <f>_xlfn.NUMBERVALUE(MID(Table2[[#This Row],[CI_95perc_FWER]],FIND(",",Table2[[#This Row],[CI_95perc_FWER]])+1, LEN(Table2[[#This Row],[CI_95perc_FWER]])-FIND(",",Table2[[#This Row],[CI_95perc_FWER]])-1))</f>
        <v>3.1789999999999999E-2</v>
      </c>
      <c r="N24" s="1">
        <v>138158</v>
      </c>
      <c r="O24" t="s">
        <v>53</v>
      </c>
      <c r="P24">
        <v>0.488172556360563</v>
      </c>
      <c r="Q24" t="s">
        <v>54</v>
      </c>
      <c r="R24" t="s">
        <v>55</v>
      </c>
      <c r="S24">
        <v>600</v>
      </c>
      <c r="T24">
        <f>IF(OR(Table2[[#This Row],[SampleSize]]=5000,Table2[[#This Row],[SampleSize]]=10000),"&gt;=5k",Table2[[#This Row],[SampleSize]])</f>
        <v>600</v>
      </c>
      <c r="U24">
        <v>2.5000000000000001E-2</v>
      </c>
      <c r="V24" t="s">
        <v>56</v>
      </c>
      <c r="W24" t="s">
        <v>56</v>
      </c>
      <c r="X24" t="s">
        <v>57</v>
      </c>
      <c r="Y24" t="s">
        <v>58</v>
      </c>
      <c r="Z24">
        <v>3</v>
      </c>
      <c r="AA24">
        <v>1</v>
      </c>
      <c r="AB24" t="s">
        <v>59</v>
      </c>
      <c r="AC24" t="s">
        <v>56</v>
      </c>
      <c r="AD24" t="s">
        <v>56</v>
      </c>
      <c r="AE24" t="s">
        <v>60</v>
      </c>
      <c r="AF24" t="s">
        <v>61</v>
      </c>
      <c r="AG24" t="s">
        <v>62</v>
      </c>
      <c r="AH24" t="s">
        <v>63</v>
      </c>
      <c r="AI24" t="s">
        <v>64</v>
      </c>
      <c r="AJ24" t="s">
        <v>65</v>
      </c>
      <c r="AK24" t="s">
        <v>66</v>
      </c>
      <c r="AL24" t="s">
        <v>67</v>
      </c>
      <c r="AM24" t="b">
        <v>0</v>
      </c>
      <c r="AN24" t="b">
        <v>0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68</v>
      </c>
      <c r="AV24">
        <v>10000</v>
      </c>
      <c r="AW24">
        <v>1000</v>
      </c>
      <c r="AX24">
        <v>64564</v>
      </c>
      <c r="AY24" t="b">
        <v>1</v>
      </c>
      <c r="AZ24" t="b">
        <v>0</v>
      </c>
      <c r="BA24" t="b">
        <v>1</v>
      </c>
      <c r="BB24" t="b">
        <v>0</v>
      </c>
      <c r="BC24">
        <v>1</v>
      </c>
      <c r="BD24" t="s">
        <v>447</v>
      </c>
      <c r="BE24">
        <v>2</v>
      </c>
      <c r="BH24" s="14" t="s">
        <v>509</v>
      </c>
      <c r="BI24" s="14" t="s">
        <v>510</v>
      </c>
      <c r="BQ24" s="14" t="s">
        <v>511</v>
      </c>
      <c r="BR24" s="14" t="s">
        <v>512</v>
      </c>
      <c r="CA24">
        <v>1000</v>
      </c>
      <c r="CB24">
        <f>COUNTIFS(Table2[SampleSize],$CA24, Table2[UseCC], CB20)</f>
        <v>7</v>
      </c>
      <c r="CC24" s="11">
        <f>COUNTIFS(Table2[SampleSize],$CA24,Table2[FWER],_xlfn.CONCAT("&gt;",$CC$3), Table2[UseCC], CB20)/$CB24</f>
        <v>0.14285714285714285</v>
      </c>
      <c r="CD24" s="11">
        <f>COUNTIFS(Table2[SampleSize],$CA24,Table2[FWER_LCL],"&lt;0.025", Table2[UseCC], CB20)/$CB24</f>
        <v>0.5714285714285714</v>
      </c>
    </row>
    <row r="25" spans="1:82" x14ac:dyDescent="0.25">
      <c r="A25">
        <v>11</v>
      </c>
      <c r="B25" t="s">
        <v>74</v>
      </c>
      <c r="C25">
        <v>11111</v>
      </c>
      <c r="D25">
        <v>2.64368E-2</v>
      </c>
      <c r="E25">
        <v>0</v>
      </c>
      <c r="F25">
        <v>0</v>
      </c>
      <c r="G25">
        <v>2.64368E-2</v>
      </c>
      <c r="H25" t="s">
        <v>75</v>
      </c>
      <c r="I25" t="s">
        <v>52</v>
      </c>
      <c r="J25" t="s">
        <v>52</v>
      </c>
      <c r="K25" t="s">
        <v>75</v>
      </c>
      <c r="L25">
        <f>_xlfn.NUMBERVALUE(MID(Table2[[#This Row],[CI_95perc_FWER]],2,FIND(",",Table2[[#This Row],[CI_95perc_FWER]])-2))</f>
        <v>2.4199999999999999E-2</v>
      </c>
      <c r="M25">
        <f>_xlfn.NUMBERVALUE(MID(Table2[[#This Row],[CI_95perc_FWER]],FIND(",",Table2[[#This Row],[CI_95perc_FWER]])+1, LEN(Table2[[#This Row],[CI_95perc_FWER]])-FIND(",",Table2[[#This Row],[CI_95perc_FWER]])-1))</f>
        <v>2.8680000000000001E-2</v>
      </c>
      <c r="N25" s="1">
        <v>109148</v>
      </c>
      <c r="O25" t="s">
        <v>76</v>
      </c>
      <c r="P25">
        <v>0.31822414610121003</v>
      </c>
      <c r="Q25" t="s">
        <v>54</v>
      </c>
      <c r="R25" t="s">
        <v>55</v>
      </c>
      <c r="S25">
        <v>600</v>
      </c>
      <c r="T25">
        <f>IF(OR(Table2[[#This Row],[SampleSize]]=5000,Table2[[#This Row],[SampleSize]]=10000),"&gt;=5k",Table2[[#This Row],[SampleSize]])</f>
        <v>600</v>
      </c>
      <c r="U25">
        <v>2.5000000000000001E-2</v>
      </c>
      <c r="V25" t="s">
        <v>56</v>
      </c>
      <c r="W25" t="s">
        <v>56</v>
      </c>
      <c r="X25" t="s">
        <v>57</v>
      </c>
      <c r="Y25" t="s">
        <v>58</v>
      </c>
      <c r="Z25">
        <v>3</v>
      </c>
      <c r="AA25">
        <v>1</v>
      </c>
      <c r="AB25" t="s">
        <v>59</v>
      </c>
      <c r="AC25" t="s">
        <v>56</v>
      </c>
      <c r="AD25" t="s">
        <v>56</v>
      </c>
      <c r="AE25" t="s">
        <v>60</v>
      </c>
      <c r="AF25" t="s">
        <v>61</v>
      </c>
      <c r="AG25" t="s">
        <v>62</v>
      </c>
      <c r="AH25" t="s">
        <v>63</v>
      </c>
      <c r="AI25" t="s">
        <v>64</v>
      </c>
      <c r="AJ25" t="s">
        <v>65</v>
      </c>
      <c r="AK25" t="s">
        <v>66</v>
      </c>
      <c r="AL25" t="s">
        <v>67</v>
      </c>
      <c r="AM25" t="b">
        <v>0</v>
      </c>
      <c r="AN25" t="b">
        <v>1</v>
      </c>
      <c r="AO25">
        <v>1</v>
      </c>
      <c r="AP25">
        <v>1</v>
      </c>
      <c r="AQ25" t="s">
        <v>77</v>
      </c>
      <c r="AR25" t="s">
        <v>78</v>
      </c>
      <c r="AS25">
        <v>0.5</v>
      </c>
      <c r="AT25" t="b">
        <v>0</v>
      </c>
      <c r="AU25" t="s">
        <v>68</v>
      </c>
      <c r="AV25">
        <v>10000</v>
      </c>
      <c r="AW25">
        <v>1000</v>
      </c>
      <c r="AX25">
        <v>11111</v>
      </c>
      <c r="AY25" t="b">
        <v>1</v>
      </c>
      <c r="AZ25" t="b">
        <v>0</v>
      </c>
      <c r="BA25" t="b">
        <v>1</v>
      </c>
      <c r="BB25" t="b">
        <v>0</v>
      </c>
      <c r="BC25">
        <v>0</v>
      </c>
      <c r="BD25">
        <v>0</v>
      </c>
      <c r="BE25">
        <v>6</v>
      </c>
      <c r="BH25" t="s">
        <v>449</v>
      </c>
      <c r="BI25" t="s">
        <v>450</v>
      </c>
      <c r="BJ25" t="s">
        <v>451</v>
      </c>
      <c r="BK25" t="s">
        <v>452</v>
      </c>
      <c r="BL25" s="13" t="s">
        <v>453</v>
      </c>
      <c r="BM25" s="12" t="s">
        <v>454</v>
      </c>
      <c r="BN25" s="14" t="s">
        <v>6</v>
      </c>
      <c r="BO25" t="s">
        <v>455</v>
      </c>
      <c r="BQ25" t="s">
        <v>449</v>
      </c>
      <c r="BR25" t="s">
        <v>450</v>
      </c>
      <c r="BS25" t="s">
        <v>451</v>
      </c>
      <c r="BT25" t="s">
        <v>452</v>
      </c>
      <c r="BU25" s="13" t="s">
        <v>453</v>
      </c>
      <c r="BV25" s="12" t="s">
        <v>454</v>
      </c>
      <c r="BW25" s="14" t="s">
        <v>6</v>
      </c>
      <c r="BX25" t="s">
        <v>455</v>
      </c>
      <c r="CA25">
        <v>3000</v>
      </c>
      <c r="CB25">
        <f>COUNTIFS(Table2[SampleSize],$CA25, Table2[UseCC], CB20)</f>
        <v>7</v>
      </c>
      <c r="CC25" s="11">
        <f>COUNTIFS(Table2[SampleSize],$CA25,Table2[FWER],_xlfn.CONCAT("&gt;",$CC$3), Table2[UseCC], CB20)/$CB25</f>
        <v>0.14285714285714285</v>
      </c>
      <c r="CD25" s="11">
        <f>COUNTIFS(Table2[SampleSize],$CA25,Table2[FWER_LCL],"&lt;0.025", Table2[UseCC], CB20)/$CB25</f>
        <v>0.42857142857142855</v>
      </c>
    </row>
    <row r="26" spans="1:82" x14ac:dyDescent="0.25">
      <c r="A26">
        <v>12</v>
      </c>
      <c r="B26" t="s">
        <v>79</v>
      </c>
      <c r="C26">
        <v>343</v>
      </c>
      <c r="D26">
        <v>2.8061699999999998E-2</v>
      </c>
      <c r="E26">
        <v>0</v>
      </c>
      <c r="F26">
        <v>0</v>
      </c>
      <c r="G26">
        <v>2.8061699999999998E-2</v>
      </c>
      <c r="H26" t="s">
        <v>80</v>
      </c>
      <c r="I26" t="s">
        <v>52</v>
      </c>
      <c r="J26" t="s">
        <v>52</v>
      </c>
      <c r="K26" t="s">
        <v>80</v>
      </c>
      <c r="L26">
        <f>_xlfn.NUMBERVALUE(MID(Table2[[#This Row],[CI_95perc_FWER]],2,FIND(",",Table2[[#This Row],[CI_95perc_FWER]])-2))</f>
        <v>2.571E-2</v>
      </c>
      <c r="M26">
        <f>_xlfn.NUMBERVALUE(MID(Table2[[#This Row],[CI_95perc_FWER]],FIND(",",Table2[[#This Row],[CI_95perc_FWER]])+1, LEN(Table2[[#This Row],[CI_95perc_FWER]])-FIND(",",Table2[[#This Row],[CI_95perc_FWER]])-1))</f>
        <v>3.041E-2</v>
      </c>
      <c r="N26" s="1">
        <v>121148</v>
      </c>
      <c r="O26" t="s">
        <v>81</v>
      </c>
      <c r="P26">
        <v>0.40869167221917002</v>
      </c>
      <c r="Q26" t="s">
        <v>54</v>
      </c>
      <c r="R26" t="s">
        <v>55</v>
      </c>
      <c r="S26">
        <v>600</v>
      </c>
      <c r="T26">
        <f>IF(OR(Table2[[#This Row],[SampleSize]]=5000,Table2[[#This Row],[SampleSize]]=10000),"&gt;=5k",Table2[[#This Row],[SampleSize]])</f>
        <v>600</v>
      </c>
      <c r="U26">
        <v>2.5000000000000001E-2</v>
      </c>
      <c r="V26" t="s">
        <v>56</v>
      </c>
      <c r="W26" t="s">
        <v>56</v>
      </c>
      <c r="X26" t="s">
        <v>57</v>
      </c>
      <c r="Y26" t="s">
        <v>58</v>
      </c>
      <c r="Z26">
        <v>3</v>
      </c>
      <c r="AA26">
        <v>1</v>
      </c>
      <c r="AB26" t="s">
        <v>59</v>
      </c>
      <c r="AC26" t="s">
        <v>56</v>
      </c>
      <c r="AD26" t="s">
        <v>56</v>
      </c>
      <c r="AE26" t="s">
        <v>60</v>
      </c>
      <c r="AF26" t="s">
        <v>61</v>
      </c>
      <c r="AG26" t="s">
        <v>62</v>
      </c>
      <c r="AH26" t="s">
        <v>63</v>
      </c>
      <c r="AI26" t="s">
        <v>64</v>
      </c>
      <c r="AJ26" t="s">
        <v>65</v>
      </c>
      <c r="AK26" t="s">
        <v>66</v>
      </c>
      <c r="AL26" t="s">
        <v>67</v>
      </c>
      <c r="AM26" t="b">
        <v>0</v>
      </c>
      <c r="AN26" t="b">
        <v>1</v>
      </c>
      <c r="AO26">
        <v>1</v>
      </c>
      <c r="AP26">
        <v>1</v>
      </c>
      <c r="AQ26" t="s">
        <v>77</v>
      </c>
      <c r="AR26" t="s">
        <v>78</v>
      </c>
      <c r="AS26">
        <v>0.75</v>
      </c>
      <c r="AT26" t="b">
        <v>1</v>
      </c>
      <c r="AU26" t="s">
        <v>36</v>
      </c>
      <c r="AV26">
        <v>10000</v>
      </c>
      <c r="AW26">
        <v>1000</v>
      </c>
      <c r="AX26">
        <v>343</v>
      </c>
      <c r="AY26" t="b">
        <v>1</v>
      </c>
      <c r="AZ26" t="b">
        <v>0</v>
      </c>
      <c r="BA26" t="b">
        <v>1</v>
      </c>
      <c r="BB26" t="b">
        <v>0</v>
      </c>
      <c r="BC26">
        <v>2</v>
      </c>
      <c r="BD26" t="s">
        <v>447</v>
      </c>
      <c r="BE26">
        <v>8</v>
      </c>
      <c r="BH26">
        <v>19</v>
      </c>
      <c r="BI26">
        <f>INDEX(Table2[SampleSize],MATCH(BH26,Table2[ModelID],0))</f>
        <v>400</v>
      </c>
      <c r="BJ26" t="str">
        <f>INDEX(Table2[FWERControl],MATCH(BH26,Table2[ModelID],0))</f>
        <v>CombinationTest</v>
      </c>
      <c r="BK26" t="b">
        <f>INDEX(Table2[UseCC],MATCH(BH26,Table2[ModelID],0))</f>
        <v>0</v>
      </c>
      <c r="BL26" s="13">
        <f>INDEX(Table2[SelectionParmeter],MATCH(BH26,Table2[ModelID],0))</f>
        <v>0.5</v>
      </c>
      <c r="BM26" s="12" t="str">
        <f>INDEX(Table2[info_frac],MATCH(BH26,Table2[ModelID],0))</f>
        <v>c(0.5,1)</v>
      </c>
      <c r="BN26" s="14">
        <f>INDEX(Table2[FWER],MATCH(BH26,Table2[ModelID],0))</f>
        <v>2.8046600000000001E-2</v>
      </c>
      <c r="BO26" t="str">
        <f>INDEX(Table2[CI_95perc_FWER],MATCH(BH26,Table2[ModelID],0))</f>
        <v>(0.02657,0.02952)</v>
      </c>
      <c r="BQ26">
        <v>11</v>
      </c>
      <c r="BR26">
        <f>INDEX(Table2[SampleSize],MATCH(BQ26,Table2[ModelID],0))</f>
        <v>600</v>
      </c>
      <c r="BS26" t="str">
        <f>INDEX(Table2[FWERControl],MATCH(BQ26,Table2[ModelID],0))</f>
        <v>CombinationTest</v>
      </c>
      <c r="BT26" t="b">
        <f>INDEX(Table2[UseCC],MATCH(BQ26,Table2[ModelID],0))</f>
        <v>0</v>
      </c>
      <c r="BU26" s="13">
        <f>INDEX(Table2[SelectionParmeter],MATCH(BQ26,Table2[ModelID],0))</f>
        <v>0.5</v>
      </c>
      <c r="BV26" s="12" t="str">
        <f>INDEX(Table2[info_frac],MATCH(BQ26,Table2[ModelID],0))</f>
        <v>c(0.75,1)</v>
      </c>
      <c r="BW26" s="14">
        <f>INDEX(Table2[FWER],MATCH(BQ26,Table2[ModelID],0))</f>
        <v>2.64368E-2</v>
      </c>
      <c r="BX26" t="str">
        <f>INDEX(Table2[CI_95perc_FWER],MATCH(BQ26,Table2[ModelID],0))</f>
        <v>(0.0242,0.02868)</v>
      </c>
      <c r="CA26" t="s">
        <v>494</v>
      </c>
      <c r="CB26">
        <f>COUNTIFS(Table2[SampleSize],5000, Table2[UseCC], CB20)+COUNTIFS(Table2[SampleSize],10000, Table2[UseCC], CB20)</f>
        <v>7</v>
      </c>
      <c r="CC26" s="11">
        <f>(COUNTIFS(Table2[SampleSize],5000,Table2[FWER],_xlfn.CONCAT("&gt;",$CC$3), Table2[UseCC], CB20)+COUNTIFS(Table2[SampleSize],10000,Table2[FWER],_xlfn.CONCAT("&gt;",$CC$3), Table2[UseCC], CB20))/$CB26</f>
        <v>0.14285714285714285</v>
      </c>
      <c r="CD26" s="11">
        <f>(COUNTIFS(Table2[SampleSize],5000,Table2[FWER_LCL],"&lt;0.025", Table2[UseCC], CB20)+COUNTIFS(Table2[SampleSize],10000,Table2[FWER_LCL],"&lt;0.025", Table2[UseCC], CB20))/$CB26</f>
        <v>1</v>
      </c>
    </row>
    <row r="27" spans="1:82" x14ac:dyDescent="0.25">
      <c r="A27">
        <v>13</v>
      </c>
      <c r="B27" t="s">
        <v>82</v>
      </c>
      <c r="C27">
        <v>84234</v>
      </c>
      <c r="D27">
        <v>2.62318E-2</v>
      </c>
      <c r="E27">
        <v>0</v>
      </c>
      <c r="F27">
        <v>0</v>
      </c>
      <c r="G27">
        <v>2.62318E-2</v>
      </c>
      <c r="H27" t="s">
        <v>83</v>
      </c>
      <c r="I27" t="s">
        <v>52</v>
      </c>
      <c r="J27" t="s">
        <v>52</v>
      </c>
      <c r="K27" t="s">
        <v>83</v>
      </c>
      <c r="L27">
        <f>_xlfn.NUMBERVALUE(MID(Table2[[#This Row],[CI_95perc_FWER]],2,FIND(",",Table2[[#This Row],[CI_95perc_FWER]])-2))</f>
        <v>2.4039999999999999E-2</v>
      </c>
      <c r="M27">
        <f>_xlfn.NUMBERVALUE(MID(Table2[[#This Row],[CI_95perc_FWER]],FIND(",",Table2[[#This Row],[CI_95perc_FWER]])+1, LEN(Table2[[#This Row],[CI_95perc_FWER]])-FIND(",",Table2[[#This Row],[CI_95perc_FWER]])-1))</f>
        <v>2.843E-2</v>
      </c>
      <c r="N27" s="1">
        <v>101170</v>
      </c>
      <c r="O27" t="s">
        <v>84</v>
      </c>
      <c r="P27">
        <v>0.319919924471113</v>
      </c>
      <c r="Q27" t="s">
        <v>54</v>
      </c>
      <c r="R27" t="s">
        <v>55</v>
      </c>
      <c r="S27">
        <v>600</v>
      </c>
      <c r="T27">
        <f>IF(OR(Table2[[#This Row],[SampleSize]]=5000,Table2[[#This Row],[SampleSize]]=10000),"&gt;=5k",Table2[[#This Row],[SampleSize]])</f>
        <v>600</v>
      </c>
      <c r="U27">
        <v>2.5000000000000001E-2</v>
      </c>
      <c r="V27" t="s">
        <v>56</v>
      </c>
      <c r="W27" t="s">
        <v>56</v>
      </c>
      <c r="X27" t="s">
        <v>57</v>
      </c>
      <c r="Y27" t="s">
        <v>58</v>
      </c>
      <c r="Z27">
        <v>3</v>
      </c>
      <c r="AA27">
        <v>1</v>
      </c>
      <c r="AB27" t="s">
        <v>59</v>
      </c>
      <c r="AC27" t="s">
        <v>56</v>
      </c>
      <c r="AD27" t="s">
        <v>56</v>
      </c>
      <c r="AE27" t="s">
        <v>60</v>
      </c>
      <c r="AF27" t="s">
        <v>61</v>
      </c>
      <c r="AG27" t="s">
        <v>62</v>
      </c>
      <c r="AH27" t="s">
        <v>63</v>
      </c>
      <c r="AI27" t="s">
        <v>64</v>
      </c>
      <c r="AJ27" t="s">
        <v>65</v>
      </c>
      <c r="AK27" t="s">
        <v>66</v>
      </c>
      <c r="AL27" t="s">
        <v>67</v>
      </c>
      <c r="AM27" t="b">
        <v>0</v>
      </c>
      <c r="AN27" t="b">
        <v>1</v>
      </c>
      <c r="AO27">
        <v>1</v>
      </c>
      <c r="AP27">
        <v>1</v>
      </c>
      <c r="AQ27" t="s">
        <v>77</v>
      </c>
      <c r="AR27" t="s">
        <v>78</v>
      </c>
      <c r="AS27">
        <v>0.5</v>
      </c>
      <c r="AT27" t="b">
        <v>1</v>
      </c>
      <c r="AU27" t="s">
        <v>36</v>
      </c>
      <c r="AV27">
        <v>10000</v>
      </c>
      <c r="AW27">
        <v>1000</v>
      </c>
      <c r="AX27">
        <v>84234</v>
      </c>
      <c r="AY27" t="b">
        <v>1</v>
      </c>
      <c r="AZ27" t="b">
        <v>0</v>
      </c>
      <c r="BA27" t="b">
        <v>1</v>
      </c>
      <c r="BB27" t="b">
        <v>0</v>
      </c>
      <c r="BC27">
        <v>0</v>
      </c>
      <c r="BD27">
        <v>0</v>
      </c>
      <c r="BE27">
        <v>6</v>
      </c>
      <c r="BH27">
        <v>21</v>
      </c>
      <c r="BI27">
        <f>INDEX(Table2[SampleSize],MATCH(BH27,Table2[ModelID],0))</f>
        <v>400</v>
      </c>
      <c r="BJ27" t="str">
        <f>INDEX(Table2[FWERControl],MATCH(BH27,Table2[ModelID],0))</f>
        <v>CombinationTest</v>
      </c>
      <c r="BK27" t="b">
        <f>INDEX(Table2[UseCC],MATCH(BH27,Table2[ModelID],0))</f>
        <v>0</v>
      </c>
      <c r="BL27" s="13">
        <f>INDEX(Table2[SelectionParmeter],MATCH(BH27,Table2[ModelID],0))</f>
        <v>0.5</v>
      </c>
      <c r="BM27" s="12" t="str">
        <f>INDEX(Table2[info_frac],MATCH(BH27,Table2[ModelID],0))</f>
        <v>c(0.5,1)</v>
      </c>
      <c r="BN27" s="14">
        <f>INDEX(Table2[FWER],MATCH(BH27,Table2[ModelID],0))</f>
        <v>2.7767699999999999E-2</v>
      </c>
      <c r="BO27" t="str">
        <f>INDEX(Table2[CI_95perc_FWER],MATCH(BH27,Table2[ModelID],0))</f>
        <v>(0.02631,0.02922)</v>
      </c>
      <c r="BQ27">
        <v>13</v>
      </c>
      <c r="BR27">
        <f>INDEX(Table2[SampleSize],MATCH(BQ27,Table2[ModelID],0))</f>
        <v>600</v>
      </c>
      <c r="BS27" t="str">
        <f>INDEX(Table2[FWERControl],MATCH(BQ27,Table2[ModelID],0))</f>
        <v>CombinationTest</v>
      </c>
      <c r="BT27" t="b">
        <f>INDEX(Table2[UseCC],MATCH(BQ27,Table2[ModelID],0))</f>
        <v>0</v>
      </c>
      <c r="BU27" s="13">
        <f>INDEX(Table2[SelectionParmeter],MATCH(BQ27,Table2[ModelID],0))</f>
        <v>0.5</v>
      </c>
      <c r="BV27" s="12" t="str">
        <f>INDEX(Table2[info_frac],MATCH(BQ27,Table2[ModelID],0))</f>
        <v>c(0.75,1)</v>
      </c>
      <c r="BW27" s="14">
        <f>INDEX(Table2[FWER],MATCH(BQ27,Table2[ModelID],0))</f>
        <v>2.62318E-2</v>
      </c>
      <c r="BX27" t="str">
        <f>INDEX(Table2[CI_95perc_FWER],MATCH(BQ27,Table2[ModelID],0))</f>
        <v>(0.02404,0.02843)</v>
      </c>
    </row>
    <row r="28" spans="1:82" x14ac:dyDescent="0.25">
      <c r="A28">
        <v>14</v>
      </c>
      <c r="B28" t="s">
        <v>85</v>
      </c>
      <c r="C28">
        <v>4346</v>
      </c>
      <c r="D28">
        <v>2.7538900000000002E-2</v>
      </c>
      <c r="E28">
        <v>0</v>
      </c>
      <c r="F28">
        <v>0</v>
      </c>
      <c r="G28">
        <v>2.7538900000000002E-2</v>
      </c>
      <c r="H28" t="s">
        <v>86</v>
      </c>
      <c r="I28" t="s">
        <v>52</v>
      </c>
      <c r="J28" t="s">
        <v>52</v>
      </c>
      <c r="K28" t="s">
        <v>86</v>
      </c>
      <c r="L28">
        <f>_xlfn.NUMBERVALUE(MID(Table2[[#This Row],[CI_95perc_FWER]],2,FIND(",",Table2[[#This Row],[CI_95perc_FWER]])-2))</f>
        <v>2.5229999999999999E-2</v>
      </c>
      <c r="M28">
        <f>_xlfn.NUMBERVALUE(MID(Table2[[#This Row],[CI_95perc_FWER]],FIND(",",Table2[[#This Row],[CI_95perc_FWER]])+1, LEN(Table2[[#This Row],[CI_95perc_FWER]])-FIND(",",Table2[[#This Row],[CI_95perc_FWER]])-1))</f>
        <v>2.9850000000000002E-2</v>
      </c>
      <c r="N28" s="1">
        <v>114150</v>
      </c>
      <c r="O28" t="s">
        <v>87</v>
      </c>
      <c r="P28">
        <v>0.18427806417147299</v>
      </c>
      <c r="Q28" t="s">
        <v>54</v>
      </c>
      <c r="R28" t="s">
        <v>55</v>
      </c>
      <c r="S28">
        <v>600</v>
      </c>
      <c r="T28">
        <f>IF(OR(Table2[[#This Row],[SampleSize]]=5000,Table2[[#This Row],[SampleSize]]=10000),"&gt;=5k",Table2[[#This Row],[SampleSize]])</f>
        <v>600</v>
      </c>
      <c r="U28">
        <v>2.5000000000000001E-2</v>
      </c>
      <c r="V28" t="s">
        <v>56</v>
      </c>
      <c r="W28" t="s">
        <v>56</v>
      </c>
      <c r="X28" t="s">
        <v>57</v>
      </c>
      <c r="Y28" t="s">
        <v>58</v>
      </c>
      <c r="Z28">
        <v>3</v>
      </c>
      <c r="AA28">
        <v>1</v>
      </c>
      <c r="AB28" t="s">
        <v>59</v>
      </c>
      <c r="AC28" t="s">
        <v>56</v>
      </c>
      <c r="AD28" t="s">
        <v>56</v>
      </c>
      <c r="AE28" t="s">
        <v>60</v>
      </c>
      <c r="AF28" t="s">
        <v>61</v>
      </c>
      <c r="AG28" t="s">
        <v>62</v>
      </c>
      <c r="AH28" t="s">
        <v>63</v>
      </c>
      <c r="AI28" t="s">
        <v>64</v>
      </c>
      <c r="AJ28" t="s">
        <v>65</v>
      </c>
      <c r="AK28" t="s">
        <v>66</v>
      </c>
      <c r="AL28" t="s">
        <v>67</v>
      </c>
      <c r="AM28" t="b">
        <v>0</v>
      </c>
      <c r="AN28" t="b">
        <v>1</v>
      </c>
      <c r="AO28">
        <v>1</v>
      </c>
      <c r="AP28">
        <v>1</v>
      </c>
      <c r="AQ28" t="s">
        <v>77</v>
      </c>
      <c r="AR28" t="s">
        <v>78</v>
      </c>
      <c r="AS28">
        <v>0.25</v>
      </c>
      <c r="AT28" t="b">
        <v>1</v>
      </c>
      <c r="AU28" t="s">
        <v>36</v>
      </c>
      <c r="AV28">
        <v>10000</v>
      </c>
      <c r="AW28">
        <v>1000</v>
      </c>
      <c r="AX28">
        <v>4346</v>
      </c>
      <c r="AY28" t="b">
        <v>1</v>
      </c>
      <c r="AZ28" t="b">
        <v>0</v>
      </c>
      <c r="BA28" t="b">
        <v>1</v>
      </c>
      <c r="BB28" t="b">
        <v>0</v>
      </c>
      <c r="BC28">
        <v>3</v>
      </c>
      <c r="BD28" t="s">
        <v>447</v>
      </c>
      <c r="BE28">
        <v>4</v>
      </c>
      <c r="BH28">
        <v>27</v>
      </c>
      <c r="BI28">
        <f>INDEX(Table2[SampleSize],MATCH(BH28,Table2[ModelID],0))</f>
        <v>400</v>
      </c>
      <c r="BJ28" t="str">
        <f>INDEX(Table2[FWERControl],MATCH(BH28,Table2[ModelID],0))</f>
        <v>None</v>
      </c>
      <c r="BK28" t="b">
        <f>INDEX(Table2[UseCC],MATCH(BH28,Table2[ModelID],0))</f>
        <v>0</v>
      </c>
      <c r="BL28" s="13">
        <f>INDEX(Table2[SelectionParmeter],MATCH(BH28,Table2[ModelID],0))</f>
        <v>0.5</v>
      </c>
      <c r="BM28" s="12" t="str">
        <f>INDEX(Table2[info_frac],MATCH(BH28,Table2[ModelID],0))</f>
        <v>c(0.5,1)</v>
      </c>
      <c r="BN28" s="14">
        <f>INDEX(Table2[FWER],MATCH(BH28,Table2[ModelID],0))</f>
        <v>2.7179999999999999E-2</v>
      </c>
      <c r="BO28" t="str">
        <f>INDEX(Table2[CI_95perc_FWER],MATCH(BH28,Table2[ModelID],0))</f>
        <v>(0.02574,0.02862)</v>
      </c>
      <c r="BQ28">
        <v>92</v>
      </c>
      <c r="BR28">
        <f>INDEX(Table2[SampleSize],MATCH(BQ28,Table2[ModelID],0))</f>
        <v>3000</v>
      </c>
      <c r="BS28" t="str">
        <f>INDEX(Table2[FWERControl],MATCH(BQ28,Table2[ModelID],0))</f>
        <v>CombinationTest</v>
      </c>
      <c r="BT28" t="b">
        <f>INDEX(Table2[UseCC],MATCH(BQ28,Table2[ModelID],0))</f>
        <v>0</v>
      </c>
      <c r="BU28" s="13">
        <f>INDEX(Table2[SelectionParmeter],MATCH(BQ28,Table2[ModelID],0))</f>
        <v>0.5</v>
      </c>
      <c r="BV28" s="12" t="str">
        <f>INDEX(Table2[info_frac],MATCH(BQ28,Table2[ModelID],0))</f>
        <v>c(0.75,1)</v>
      </c>
      <c r="BW28" s="14">
        <f>INDEX(Table2[FWER],MATCH(BQ28,Table2[ModelID],0))</f>
        <v>2.6798599999999999E-2</v>
      </c>
      <c r="BX28" t="str">
        <f>INDEX(Table2[CI_95perc_FWER],MATCH(BQ28,Table2[ModelID],0))</f>
        <v>(0.02522,0.02838)</v>
      </c>
    </row>
    <row r="29" spans="1:82" x14ac:dyDescent="0.25">
      <c r="A29">
        <v>15</v>
      </c>
      <c r="B29" t="s">
        <v>88</v>
      </c>
      <c r="C29">
        <v>9504</v>
      </c>
      <c r="D29">
        <v>2.6602399999999998E-2</v>
      </c>
      <c r="E29">
        <v>0</v>
      </c>
      <c r="F29">
        <v>0</v>
      </c>
      <c r="G29">
        <v>2.6602399999999998E-2</v>
      </c>
      <c r="H29" t="s">
        <v>89</v>
      </c>
      <c r="I29" t="s">
        <v>52</v>
      </c>
      <c r="J29" t="s">
        <v>52</v>
      </c>
      <c r="K29" t="s">
        <v>89</v>
      </c>
      <c r="L29">
        <f>_xlfn.NUMBERVALUE(MID(Table2[[#This Row],[CI_95perc_FWER]],2,FIND(",",Table2[[#This Row],[CI_95perc_FWER]])-2))</f>
        <v>2.4330000000000001E-2</v>
      </c>
      <c r="M29">
        <f>_xlfn.NUMBERVALUE(MID(Table2[[#This Row],[CI_95perc_FWER]],FIND(",",Table2[[#This Row],[CI_95perc_FWER]])+1, LEN(Table2[[#This Row],[CI_95perc_FWER]])-FIND(",",Table2[[#This Row],[CI_95perc_FWER]])-1))</f>
        <v>2.887E-2</v>
      </c>
      <c r="N29" s="1">
        <v>112153</v>
      </c>
      <c r="O29" t="s">
        <v>90</v>
      </c>
      <c r="P29">
        <v>0.40322633696927002</v>
      </c>
      <c r="Q29" t="s">
        <v>54</v>
      </c>
      <c r="R29" t="s">
        <v>55</v>
      </c>
      <c r="S29">
        <v>600</v>
      </c>
      <c r="T29">
        <f>IF(OR(Table2[[#This Row],[SampleSize]]=5000,Table2[[#This Row],[SampleSize]]=10000),"&gt;=5k",Table2[[#This Row],[SampleSize]])</f>
        <v>600</v>
      </c>
      <c r="U29">
        <v>2.5000000000000001E-2</v>
      </c>
      <c r="V29" t="s">
        <v>56</v>
      </c>
      <c r="W29" t="s">
        <v>56</v>
      </c>
      <c r="X29" t="s">
        <v>57</v>
      </c>
      <c r="Y29" t="s">
        <v>58</v>
      </c>
      <c r="Z29">
        <v>3</v>
      </c>
      <c r="AA29">
        <v>1</v>
      </c>
      <c r="AB29" t="s">
        <v>59</v>
      </c>
      <c r="AC29" t="s">
        <v>56</v>
      </c>
      <c r="AD29" t="s">
        <v>56</v>
      </c>
      <c r="AE29" t="s">
        <v>60</v>
      </c>
      <c r="AF29" t="s">
        <v>61</v>
      </c>
      <c r="AG29" t="s">
        <v>62</v>
      </c>
      <c r="AH29" t="s">
        <v>63</v>
      </c>
      <c r="AI29" t="s">
        <v>64</v>
      </c>
      <c r="AJ29" t="s">
        <v>65</v>
      </c>
      <c r="AK29" t="s">
        <v>66</v>
      </c>
      <c r="AL29" t="s">
        <v>67</v>
      </c>
      <c r="AM29" t="b">
        <v>0</v>
      </c>
      <c r="AN29" t="b">
        <v>1</v>
      </c>
      <c r="AO29">
        <v>1</v>
      </c>
      <c r="AP29">
        <v>1</v>
      </c>
      <c r="AQ29" t="s">
        <v>77</v>
      </c>
      <c r="AR29" t="s">
        <v>73</v>
      </c>
      <c r="AS29">
        <v>1</v>
      </c>
      <c r="AT29" t="b">
        <v>1</v>
      </c>
      <c r="AU29" t="s">
        <v>36</v>
      </c>
      <c r="AV29">
        <v>10000</v>
      </c>
      <c r="AW29">
        <v>1000</v>
      </c>
      <c r="AX29">
        <v>9504</v>
      </c>
      <c r="AY29" t="b">
        <v>1</v>
      </c>
      <c r="AZ29" t="b">
        <v>0</v>
      </c>
      <c r="BA29" t="b">
        <v>1</v>
      </c>
      <c r="BB29" t="b">
        <v>0</v>
      </c>
      <c r="BC29">
        <v>0</v>
      </c>
      <c r="BD29">
        <v>0</v>
      </c>
      <c r="BE29">
        <v>10</v>
      </c>
      <c r="BH29">
        <v>29</v>
      </c>
      <c r="BI29">
        <f>INDEX(Table2[SampleSize],MATCH(BH29,Table2[ModelID],0))</f>
        <v>400</v>
      </c>
      <c r="BJ29" t="str">
        <f>INDEX(Table2[FWERControl],MATCH(BH29,Table2[ModelID],0))</f>
        <v>None</v>
      </c>
      <c r="BK29" t="b">
        <f>INDEX(Table2[UseCC],MATCH(BH29,Table2[ModelID],0))</f>
        <v>0</v>
      </c>
      <c r="BL29" s="13">
        <f>INDEX(Table2[SelectionParmeter],MATCH(BH29,Table2[ModelID],0))</f>
        <v>0.5</v>
      </c>
      <c r="BM29" s="12" t="str">
        <f>INDEX(Table2[info_frac],MATCH(BH29,Table2[ModelID],0))</f>
        <v>c(0.5,1)</v>
      </c>
      <c r="BN29" s="14">
        <f>INDEX(Table2[FWER],MATCH(BH29,Table2[ModelID],0))</f>
        <v>2.7024300000000001E-2</v>
      </c>
      <c r="BO29" t="str">
        <f>INDEX(Table2[CI_95perc_FWER],MATCH(BH29,Table2[ModelID],0))</f>
        <v>(0.0256,0.02845)</v>
      </c>
      <c r="BQ29">
        <v>98</v>
      </c>
      <c r="BR29">
        <f>INDEX(Table2[SampleSize],MATCH(BQ29,Table2[ModelID],0))</f>
        <v>3000</v>
      </c>
      <c r="BS29" t="str">
        <f>INDEX(Table2[FWERControl],MATCH(BQ29,Table2[ModelID],0))</f>
        <v>CombinationTest</v>
      </c>
      <c r="BT29" t="b">
        <f>INDEX(Table2[UseCC],MATCH(BQ29,Table2[ModelID],0))</f>
        <v>1</v>
      </c>
      <c r="BU29" s="13">
        <f>INDEX(Table2[SelectionParmeter],MATCH(BQ29,Table2[ModelID],0))</f>
        <v>0.5</v>
      </c>
      <c r="BV29" s="12" t="str">
        <f>INDEX(Table2[info_frac],MATCH(BQ29,Table2[ModelID],0))</f>
        <v>c(0.75,1)</v>
      </c>
      <c r="BW29" s="14">
        <f>INDEX(Table2[FWER],MATCH(BQ29,Table2[ModelID],0))</f>
        <v>2.6662425E-2</v>
      </c>
      <c r="BX29" t="str">
        <f>INDEX(Table2[CI_95perc_FWER],MATCH(BQ29,Table2[ModelID],0))</f>
        <v>(0.02508,0.02824)</v>
      </c>
    </row>
    <row r="30" spans="1:82" x14ac:dyDescent="0.25">
      <c r="A30">
        <v>16</v>
      </c>
      <c r="B30" t="s">
        <v>91</v>
      </c>
      <c r="C30">
        <v>2300</v>
      </c>
      <c r="D30">
        <v>2.8512200000000001E-2</v>
      </c>
      <c r="E30">
        <v>0</v>
      </c>
      <c r="F30">
        <v>0</v>
      </c>
      <c r="G30">
        <v>2.8512200000000001E-2</v>
      </c>
      <c r="H30" t="s">
        <v>92</v>
      </c>
      <c r="I30" t="s">
        <v>52</v>
      </c>
      <c r="J30" t="s">
        <v>52</v>
      </c>
      <c r="K30" t="s">
        <v>92</v>
      </c>
      <c r="L30">
        <f>_xlfn.NUMBERVALUE(MID(Table2[[#This Row],[CI_95perc_FWER]],2,FIND(",",Table2[[#This Row],[CI_95perc_FWER]])-2))</f>
        <v>2.6159999999999999E-2</v>
      </c>
      <c r="M30">
        <f>_xlfn.NUMBERVALUE(MID(Table2[[#This Row],[CI_95perc_FWER]],FIND(",",Table2[[#This Row],[CI_95perc_FWER]])+1, LEN(Table2[[#This Row],[CI_95perc_FWER]])-FIND(",",Table2[[#This Row],[CI_95perc_FWER]])-1))</f>
        <v>3.0870000000000002E-2</v>
      </c>
      <c r="N30" s="1">
        <v>119165</v>
      </c>
      <c r="O30" t="s">
        <v>93</v>
      </c>
      <c r="P30">
        <v>0.48146952218479599</v>
      </c>
      <c r="Q30" t="s">
        <v>54</v>
      </c>
      <c r="R30" t="s">
        <v>55</v>
      </c>
      <c r="S30">
        <v>600</v>
      </c>
      <c r="T30">
        <f>IF(OR(Table2[[#This Row],[SampleSize]]=5000,Table2[[#This Row],[SampleSize]]=10000),"&gt;=5k",Table2[[#This Row],[SampleSize]])</f>
        <v>600</v>
      </c>
      <c r="U30">
        <v>2.5000000000000001E-2</v>
      </c>
      <c r="V30" t="s">
        <v>56</v>
      </c>
      <c r="W30" t="s">
        <v>56</v>
      </c>
      <c r="X30" t="s">
        <v>57</v>
      </c>
      <c r="Y30" t="s">
        <v>58</v>
      </c>
      <c r="Z30">
        <v>3</v>
      </c>
      <c r="AA30">
        <v>1</v>
      </c>
      <c r="AB30" t="s">
        <v>59</v>
      </c>
      <c r="AC30" t="s">
        <v>56</v>
      </c>
      <c r="AD30" t="s">
        <v>56</v>
      </c>
      <c r="AE30" t="s">
        <v>60</v>
      </c>
      <c r="AF30" t="s">
        <v>61</v>
      </c>
      <c r="AG30" t="s">
        <v>62</v>
      </c>
      <c r="AH30" t="s">
        <v>63</v>
      </c>
      <c r="AI30" t="s">
        <v>64</v>
      </c>
      <c r="AJ30" t="s">
        <v>65</v>
      </c>
      <c r="AK30" t="s">
        <v>66</v>
      </c>
      <c r="AL30" t="s">
        <v>67</v>
      </c>
      <c r="AM30" t="b">
        <v>0</v>
      </c>
      <c r="AN30" t="b">
        <v>1</v>
      </c>
      <c r="AO30">
        <v>1</v>
      </c>
      <c r="AP30">
        <v>1</v>
      </c>
      <c r="AQ30" t="s">
        <v>77</v>
      </c>
      <c r="AR30" t="s">
        <v>73</v>
      </c>
      <c r="AS30">
        <v>2</v>
      </c>
      <c r="AT30" t="b">
        <v>1</v>
      </c>
      <c r="AU30" t="s">
        <v>36</v>
      </c>
      <c r="AV30">
        <v>10000</v>
      </c>
      <c r="AW30">
        <v>1000</v>
      </c>
      <c r="AX30">
        <v>2300</v>
      </c>
      <c r="AY30" t="b">
        <v>1</v>
      </c>
      <c r="AZ30" t="b">
        <v>0</v>
      </c>
      <c r="BA30" t="b">
        <v>1</v>
      </c>
      <c r="BB30" t="b">
        <v>0</v>
      </c>
      <c r="BC30">
        <v>4</v>
      </c>
      <c r="BD30" t="s">
        <v>447</v>
      </c>
      <c r="BE30">
        <v>12</v>
      </c>
      <c r="BH30">
        <v>43</v>
      </c>
      <c r="BI30">
        <f>INDEX(Table2[SampleSize],MATCH(BH30,Table2[ModelID],0))</f>
        <v>400</v>
      </c>
      <c r="BJ30" t="str">
        <f>INDEX(Table2[FWERControl],MATCH(BH30,Table2[ModelID],0))</f>
        <v>CombinationTest</v>
      </c>
      <c r="BK30" t="b">
        <f>INDEX(Table2[UseCC],MATCH(BH30,Table2[ModelID],0))</f>
        <v>1</v>
      </c>
      <c r="BL30" s="13">
        <f>INDEX(Table2[SelectionParmeter],MATCH(BH30,Table2[ModelID],0))</f>
        <v>0.5</v>
      </c>
      <c r="BM30" s="12" t="str">
        <f>INDEX(Table2[info_frac],MATCH(BH30,Table2[ModelID],0))</f>
        <v>c(0.5,1)</v>
      </c>
      <c r="BN30" s="14">
        <f>INDEX(Table2[FWER],MATCH(BH30,Table2[ModelID],0))</f>
        <v>2.5736499999999999E-2</v>
      </c>
      <c r="BO30" t="str">
        <f>INDEX(Table2[CI_95perc_FWER],MATCH(BH30,Table2[ModelID],0))</f>
        <v>(0.02436,0.02711)</v>
      </c>
      <c r="BQ30">
        <v>87</v>
      </c>
      <c r="BR30">
        <f>INDEX(Table2[SampleSize],MATCH(BQ30,Table2[ModelID],0))</f>
        <v>10000</v>
      </c>
      <c r="BS30" t="str">
        <f>INDEX(Table2[FWERControl],MATCH(BQ30,Table2[ModelID],0))</f>
        <v>CombinationTest</v>
      </c>
      <c r="BT30" t="b">
        <f>INDEX(Table2[UseCC],MATCH(BQ30,Table2[ModelID],0))</f>
        <v>0</v>
      </c>
      <c r="BU30" s="13">
        <f>INDEX(Table2[SelectionParmeter],MATCH(BQ30,Table2[ModelID],0))</f>
        <v>0.5</v>
      </c>
      <c r="BV30" s="12" t="str">
        <f>INDEX(Table2[info_frac],MATCH(BQ30,Table2[ModelID],0))</f>
        <v>c(0.75,1)</v>
      </c>
      <c r="BW30" s="14">
        <f>INDEX(Table2[FWER],MATCH(BQ30,Table2[ModelID],0))</f>
        <v>2.6378200000000001E-2</v>
      </c>
      <c r="BX30" t="str">
        <f>INDEX(Table2[CI_95perc_FWER],MATCH(BQ30,Table2[ModelID],0))</f>
        <v>(0.02478,0.02797)</v>
      </c>
    </row>
    <row r="31" spans="1:82" x14ac:dyDescent="0.25">
      <c r="A31">
        <v>33</v>
      </c>
      <c r="B31" t="s">
        <v>143</v>
      </c>
      <c r="C31">
        <v>64564</v>
      </c>
      <c r="D31">
        <v>2.71547E-2</v>
      </c>
      <c r="E31">
        <v>0</v>
      </c>
      <c r="F31">
        <v>0</v>
      </c>
      <c r="G31">
        <v>2.71547E-2</v>
      </c>
      <c r="H31" t="s">
        <v>144</v>
      </c>
      <c r="I31" t="s">
        <v>52</v>
      </c>
      <c r="J31" t="s">
        <v>52</v>
      </c>
      <c r="K31" t="s">
        <v>144</v>
      </c>
      <c r="L31">
        <f>_xlfn.NUMBERVALUE(MID(Table2[[#This Row],[CI_95perc_FWER]],2,FIND(",",Table2[[#This Row],[CI_95perc_FWER]])-2))</f>
        <v>2.478E-2</v>
      </c>
      <c r="M31">
        <f>_xlfn.NUMBERVALUE(MID(Table2[[#This Row],[CI_95perc_FWER]],FIND(",",Table2[[#This Row],[CI_95perc_FWER]])+1, LEN(Table2[[#This Row],[CI_95perc_FWER]])-FIND(",",Table2[[#This Row],[CI_95perc_FWER]])-1))</f>
        <v>2.9530000000000001E-2</v>
      </c>
      <c r="N31" s="1">
        <v>127146</v>
      </c>
      <c r="O31" t="s">
        <v>145</v>
      </c>
      <c r="P31">
        <v>0.49617425004641202</v>
      </c>
      <c r="Q31" t="s">
        <v>54</v>
      </c>
      <c r="R31" t="s">
        <v>55</v>
      </c>
      <c r="S31">
        <v>600</v>
      </c>
      <c r="T31">
        <f>IF(OR(Table2[[#This Row],[SampleSize]]=5000,Table2[[#This Row],[SampleSize]]=10000),"&gt;=5k",Table2[[#This Row],[SampleSize]])</f>
        <v>600</v>
      </c>
      <c r="U31">
        <v>2.5000000000000001E-2</v>
      </c>
      <c r="V31" t="s">
        <v>56</v>
      </c>
      <c r="W31" t="s">
        <v>56</v>
      </c>
      <c r="X31" t="s">
        <v>57</v>
      </c>
      <c r="Y31" t="s">
        <v>58</v>
      </c>
      <c r="Z31">
        <v>3</v>
      </c>
      <c r="AA31">
        <v>1</v>
      </c>
      <c r="AB31" t="s">
        <v>59</v>
      </c>
      <c r="AC31" t="s">
        <v>56</v>
      </c>
      <c r="AD31" t="s">
        <v>56</v>
      </c>
      <c r="AE31" t="s">
        <v>60</v>
      </c>
      <c r="AF31" t="s">
        <v>61</v>
      </c>
      <c r="AG31" t="s">
        <v>62</v>
      </c>
      <c r="AH31" t="s">
        <v>63</v>
      </c>
      <c r="AI31" t="s">
        <v>64</v>
      </c>
      <c r="AJ31" t="s">
        <v>65</v>
      </c>
      <c r="AK31" t="s">
        <v>66</v>
      </c>
      <c r="AL31" t="s">
        <v>67</v>
      </c>
      <c r="AM31" t="b">
        <v>0</v>
      </c>
      <c r="AN31" t="b">
        <v>0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68</v>
      </c>
      <c r="AV31">
        <v>10000</v>
      </c>
      <c r="AW31">
        <v>1000</v>
      </c>
      <c r="AX31">
        <v>64564</v>
      </c>
      <c r="AY31" t="b">
        <v>1</v>
      </c>
      <c r="AZ31" t="b">
        <v>0</v>
      </c>
      <c r="BA31" t="b">
        <v>1</v>
      </c>
      <c r="BB31" t="b">
        <v>1</v>
      </c>
      <c r="BC31">
        <v>1</v>
      </c>
      <c r="BD31" t="s">
        <v>447</v>
      </c>
      <c r="BE31">
        <v>2</v>
      </c>
      <c r="BH31">
        <v>51</v>
      </c>
      <c r="BI31">
        <f>INDEX(Table2[SampleSize],MATCH(BH31,Table2[ModelID],0))</f>
        <v>400</v>
      </c>
      <c r="BJ31" t="str">
        <f>INDEX(Table2[FWERControl],MATCH(BH31,Table2[ModelID],0))</f>
        <v>None</v>
      </c>
      <c r="BK31" t="b">
        <f>INDEX(Table2[UseCC],MATCH(BH31,Table2[ModelID],0))</f>
        <v>1</v>
      </c>
      <c r="BL31" s="13">
        <f>INDEX(Table2[SelectionParmeter],MATCH(BH31,Table2[ModelID],0))</f>
        <v>0.5</v>
      </c>
      <c r="BM31" s="12" t="str">
        <f>INDEX(Table2[info_frac],MATCH(BH31,Table2[ModelID],0))</f>
        <v>c(0.5,1)</v>
      </c>
      <c r="BN31" s="14">
        <f>INDEX(Table2[FWER],MATCH(BH31,Table2[ModelID],0))</f>
        <v>2.6003499999999999E-2</v>
      </c>
      <c r="BO31" t="str">
        <f>INDEX(Table2[CI_95perc_FWER],MATCH(BH31,Table2[ModelID],0))</f>
        <v>(0.02463,0.02737)</v>
      </c>
      <c r="BQ31">
        <v>93</v>
      </c>
      <c r="BR31">
        <f>INDEX(Table2[SampleSize],MATCH(BQ31,Table2[ModelID],0))</f>
        <v>10000</v>
      </c>
      <c r="BS31" t="str">
        <f>INDEX(Table2[FWERControl],MATCH(BQ31,Table2[ModelID],0))</f>
        <v>CombinationTest</v>
      </c>
      <c r="BT31" t="b">
        <f>INDEX(Table2[UseCC],MATCH(BQ31,Table2[ModelID],0))</f>
        <v>1</v>
      </c>
      <c r="BU31" s="13">
        <f>INDEX(Table2[SelectionParmeter],MATCH(BQ31,Table2[ModelID],0))</f>
        <v>0.5</v>
      </c>
      <c r="BV31" s="12" t="str">
        <f>INDEX(Table2[info_frac],MATCH(BQ31,Table2[ModelID],0))</f>
        <v>c(0.75,1)</v>
      </c>
      <c r="BW31" s="14">
        <f>INDEX(Table2[FWER],MATCH(BQ31,Table2[ModelID],0))</f>
        <v>2.62931E-2</v>
      </c>
      <c r="BX31" t="str">
        <f>INDEX(Table2[CI_95perc_FWER],MATCH(BQ31,Table2[ModelID],0))</f>
        <v>(0.0247,0.02789)</v>
      </c>
    </row>
    <row r="32" spans="1:82" x14ac:dyDescent="0.25">
      <c r="A32">
        <v>36</v>
      </c>
      <c r="B32" t="s">
        <v>152</v>
      </c>
      <c r="C32">
        <v>343</v>
      </c>
      <c r="D32">
        <v>2.6209799999999998E-2</v>
      </c>
      <c r="E32">
        <v>0</v>
      </c>
      <c r="F32">
        <v>0</v>
      </c>
      <c r="G32">
        <v>2.6209799999999998E-2</v>
      </c>
      <c r="H32" t="s">
        <v>153</v>
      </c>
      <c r="I32" t="s">
        <v>52</v>
      </c>
      <c r="J32" t="s">
        <v>52</v>
      </c>
      <c r="K32" t="s">
        <v>153</v>
      </c>
      <c r="L32">
        <f>_xlfn.NUMBERVALUE(MID(Table2[[#This Row],[CI_95perc_FWER]],2,FIND(",",Table2[[#This Row],[CI_95perc_FWER]])-2))</f>
        <v>2.3910000000000001E-2</v>
      </c>
      <c r="M32">
        <f>_xlfn.NUMBERVALUE(MID(Table2[[#This Row],[CI_95perc_FWER]],FIND(",",Table2[[#This Row],[CI_95perc_FWER]])+1, LEN(Table2[[#This Row],[CI_95perc_FWER]])-FIND(",",Table2[[#This Row],[CI_95perc_FWER]])-1))</f>
        <v>2.8510000000000001E-2</v>
      </c>
      <c r="N32" s="1">
        <v>117131</v>
      </c>
      <c r="O32" t="s">
        <v>154</v>
      </c>
      <c r="P32">
        <v>0.40868771195411702</v>
      </c>
      <c r="Q32" t="s">
        <v>54</v>
      </c>
      <c r="R32" t="s">
        <v>55</v>
      </c>
      <c r="S32">
        <v>600</v>
      </c>
      <c r="T32">
        <f>IF(OR(Table2[[#This Row],[SampleSize]]=5000,Table2[[#This Row],[SampleSize]]=10000),"&gt;=5k",Table2[[#This Row],[SampleSize]])</f>
        <v>600</v>
      </c>
      <c r="U32">
        <v>2.5000000000000001E-2</v>
      </c>
      <c r="V32" t="s">
        <v>56</v>
      </c>
      <c r="W32" t="s">
        <v>56</v>
      </c>
      <c r="X32" t="s">
        <v>57</v>
      </c>
      <c r="Y32" t="s">
        <v>58</v>
      </c>
      <c r="Z32">
        <v>3</v>
      </c>
      <c r="AA32">
        <v>1</v>
      </c>
      <c r="AB32" t="s">
        <v>59</v>
      </c>
      <c r="AC32" t="s">
        <v>56</v>
      </c>
      <c r="AD32" t="s">
        <v>56</v>
      </c>
      <c r="AE32" t="s">
        <v>60</v>
      </c>
      <c r="AF32" t="s">
        <v>61</v>
      </c>
      <c r="AG32" t="s">
        <v>62</v>
      </c>
      <c r="AH32" t="s">
        <v>63</v>
      </c>
      <c r="AI32" t="s">
        <v>64</v>
      </c>
      <c r="AJ32" t="s">
        <v>65</v>
      </c>
      <c r="AK32" t="s">
        <v>66</v>
      </c>
      <c r="AL32" t="s">
        <v>67</v>
      </c>
      <c r="AM32" t="b">
        <v>0</v>
      </c>
      <c r="AN32" t="b">
        <v>1</v>
      </c>
      <c r="AO32">
        <v>1</v>
      </c>
      <c r="AP32">
        <v>1</v>
      </c>
      <c r="AQ32" t="s">
        <v>77</v>
      </c>
      <c r="AR32" t="s">
        <v>78</v>
      </c>
      <c r="AS32">
        <v>0.75</v>
      </c>
      <c r="AT32" t="b">
        <v>1</v>
      </c>
      <c r="AU32" t="s">
        <v>36</v>
      </c>
      <c r="AV32">
        <v>10000</v>
      </c>
      <c r="AW32">
        <v>1000</v>
      </c>
      <c r="AX32">
        <v>343</v>
      </c>
      <c r="AY32" t="b">
        <v>1</v>
      </c>
      <c r="AZ32" t="b">
        <v>0</v>
      </c>
      <c r="BA32" t="b">
        <v>1</v>
      </c>
      <c r="BB32" t="b">
        <v>1</v>
      </c>
      <c r="BC32">
        <v>2</v>
      </c>
      <c r="BD32" t="s">
        <v>447</v>
      </c>
      <c r="BE32">
        <v>8</v>
      </c>
      <c r="BH32">
        <v>53</v>
      </c>
      <c r="BI32">
        <f>INDEX(Table2[SampleSize],MATCH(BH32,Table2[ModelID],0))</f>
        <v>400</v>
      </c>
      <c r="BJ32" t="str">
        <f>INDEX(Table2[FWERControl],MATCH(BH32,Table2[ModelID],0))</f>
        <v>None</v>
      </c>
      <c r="BK32" t="b">
        <f>INDEX(Table2[UseCC],MATCH(BH32,Table2[ModelID],0))</f>
        <v>1</v>
      </c>
      <c r="BL32" s="13">
        <f>INDEX(Table2[SelectionParmeter],MATCH(BH32,Table2[ModelID],0))</f>
        <v>0.5</v>
      </c>
      <c r="BM32" s="12" t="str">
        <f>INDEX(Table2[info_frac],MATCH(BH32,Table2[ModelID],0))</f>
        <v>c(0.5,1)</v>
      </c>
      <c r="BN32" s="14">
        <f>INDEX(Table2[FWER],MATCH(BH32,Table2[ModelID],0))</f>
        <v>2.5805499999999999E-2</v>
      </c>
      <c r="BO32" t="str">
        <f>INDEX(Table2[CI_95perc_FWER],MATCH(BH32,Table2[ModelID],0))</f>
        <v>(0.02446,0.02715)</v>
      </c>
    </row>
    <row r="33" spans="1:76" x14ac:dyDescent="0.25">
      <c r="A33">
        <v>38</v>
      </c>
      <c r="B33" t="s">
        <v>158</v>
      </c>
      <c r="C33">
        <v>4346</v>
      </c>
      <c r="D33">
        <v>2.5780600000000001E-2</v>
      </c>
      <c r="E33">
        <v>0</v>
      </c>
      <c r="F33">
        <v>0</v>
      </c>
      <c r="G33">
        <v>2.5780600000000001E-2</v>
      </c>
      <c r="H33" t="s">
        <v>159</v>
      </c>
      <c r="I33" t="s">
        <v>52</v>
      </c>
      <c r="J33" t="s">
        <v>52</v>
      </c>
      <c r="K33" t="s">
        <v>159</v>
      </c>
      <c r="L33">
        <f>_xlfn.NUMBERVALUE(MID(Table2[[#This Row],[CI_95perc_FWER]],2,FIND(",",Table2[[#This Row],[CI_95perc_FWER]])-2))</f>
        <v>2.3529999999999999E-2</v>
      </c>
      <c r="M33">
        <f>_xlfn.NUMBERVALUE(MID(Table2[[#This Row],[CI_95perc_FWER]],FIND(",",Table2[[#This Row],[CI_95perc_FWER]])+1, LEN(Table2[[#This Row],[CI_95perc_FWER]])-FIND(",",Table2[[#This Row],[CI_95perc_FWER]])-1))</f>
        <v>2.8029999999999999E-2</v>
      </c>
      <c r="N33" s="1">
        <v>109138</v>
      </c>
      <c r="O33" t="s">
        <v>160</v>
      </c>
      <c r="P33">
        <v>0.18740207413832299</v>
      </c>
      <c r="Q33" t="s">
        <v>54</v>
      </c>
      <c r="R33" t="s">
        <v>55</v>
      </c>
      <c r="S33">
        <v>600</v>
      </c>
      <c r="T33">
        <f>IF(OR(Table2[[#This Row],[SampleSize]]=5000,Table2[[#This Row],[SampleSize]]=10000),"&gt;=5k",Table2[[#This Row],[SampleSize]])</f>
        <v>600</v>
      </c>
      <c r="U33">
        <v>2.5000000000000001E-2</v>
      </c>
      <c r="V33" t="s">
        <v>56</v>
      </c>
      <c r="W33" t="s">
        <v>56</v>
      </c>
      <c r="X33" t="s">
        <v>57</v>
      </c>
      <c r="Y33" t="s">
        <v>58</v>
      </c>
      <c r="Z33">
        <v>3</v>
      </c>
      <c r="AA33">
        <v>1</v>
      </c>
      <c r="AB33" t="s">
        <v>59</v>
      </c>
      <c r="AC33" t="s">
        <v>56</v>
      </c>
      <c r="AD33" t="s">
        <v>56</v>
      </c>
      <c r="AE33" t="s">
        <v>60</v>
      </c>
      <c r="AF33" t="s">
        <v>61</v>
      </c>
      <c r="AG33" t="s">
        <v>62</v>
      </c>
      <c r="AH33" t="s">
        <v>63</v>
      </c>
      <c r="AI33" t="s">
        <v>64</v>
      </c>
      <c r="AJ33" t="s">
        <v>65</v>
      </c>
      <c r="AK33" t="s">
        <v>66</v>
      </c>
      <c r="AL33" t="s">
        <v>67</v>
      </c>
      <c r="AM33" t="b">
        <v>0</v>
      </c>
      <c r="AN33" t="b">
        <v>1</v>
      </c>
      <c r="AO33">
        <v>1</v>
      </c>
      <c r="AP33">
        <v>1</v>
      </c>
      <c r="AQ33" t="s">
        <v>77</v>
      </c>
      <c r="AR33" t="s">
        <v>78</v>
      </c>
      <c r="AS33">
        <v>0.25</v>
      </c>
      <c r="AT33" t="b">
        <v>1</v>
      </c>
      <c r="AU33" t="s">
        <v>36</v>
      </c>
      <c r="AV33">
        <v>10000</v>
      </c>
      <c r="AW33">
        <v>1000</v>
      </c>
      <c r="AX33">
        <v>4346</v>
      </c>
      <c r="AY33" t="b">
        <v>1</v>
      </c>
      <c r="AZ33" t="b">
        <v>0</v>
      </c>
      <c r="BA33" t="b">
        <v>1</v>
      </c>
      <c r="BB33" t="b">
        <v>1</v>
      </c>
      <c r="BC33">
        <v>3</v>
      </c>
      <c r="BD33" t="s">
        <v>447</v>
      </c>
      <c r="BE33">
        <v>4</v>
      </c>
      <c r="BH33">
        <v>71</v>
      </c>
      <c r="BI33">
        <f>INDEX(Table2[SampleSize],MATCH(BH33,Table2[ModelID],0))</f>
        <v>1000</v>
      </c>
      <c r="BJ33" t="str">
        <f>INDEX(Table2[FWERControl],MATCH(BH33,Table2[ModelID],0))</f>
        <v>CombinationTest</v>
      </c>
      <c r="BK33" t="b">
        <f>INDEX(Table2[UseCC],MATCH(BH33,Table2[ModelID],0))</f>
        <v>0</v>
      </c>
      <c r="BL33" s="13">
        <f>INDEX(Table2[SelectionParmeter],MATCH(BH33,Table2[ModelID],0))</f>
        <v>0.5</v>
      </c>
      <c r="BM33" s="12" t="str">
        <f>INDEX(Table2[info_frac],MATCH(BH33,Table2[ModelID],0))</f>
        <v>c(0.5,1)</v>
      </c>
      <c r="BN33" s="14">
        <f>INDEX(Table2[FWER],MATCH(BH33,Table2[ModelID],0))</f>
        <v>2.6067799999999999E-2</v>
      </c>
      <c r="BO33" t="str">
        <f>INDEX(Table2[CI_95perc_FWER],MATCH(BH33,Table2[ModelID],0))</f>
        <v>(0.02512,0.02702)</v>
      </c>
    </row>
    <row r="34" spans="1:76" x14ac:dyDescent="0.25">
      <c r="A34">
        <v>40</v>
      </c>
      <c r="B34" t="s">
        <v>164</v>
      </c>
      <c r="C34">
        <v>2300</v>
      </c>
      <c r="D34">
        <v>2.64572E-2</v>
      </c>
      <c r="E34">
        <v>0</v>
      </c>
      <c r="F34">
        <v>0</v>
      </c>
      <c r="G34">
        <v>2.64572E-2</v>
      </c>
      <c r="H34" t="s">
        <v>165</v>
      </c>
      <c r="I34" t="s">
        <v>52</v>
      </c>
      <c r="J34" t="s">
        <v>52</v>
      </c>
      <c r="K34" t="s">
        <v>165</v>
      </c>
      <c r="L34">
        <f>_xlfn.NUMBERVALUE(MID(Table2[[#This Row],[CI_95perc_FWER]],2,FIND(",",Table2[[#This Row],[CI_95perc_FWER]])-2))</f>
        <v>2.4170000000000001E-2</v>
      </c>
      <c r="M34">
        <f>_xlfn.NUMBERVALUE(MID(Table2[[#This Row],[CI_95perc_FWER]],FIND(",",Table2[[#This Row],[CI_95perc_FWER]])+1, LEN(Table2[[#This Row],[CI_95perc_FWER]])-FIND(",",Table2[[#This Row],[CI_95perc_FWER]])-1))</f>
        <v>2.8740000000000002E-2</v>
      </c>
      <c r="N34" s="1">
        <v>113152</v>
      </c>
      <c r="O34" t="s">
        <v>166</v>
      </c>
      <c r="P34">
        <v>0.48217201828956602</v>
      </c>
      <c r="Q34" t="s">
        <v>54</v>
      </c>
      <c r="R34" t="s">
        <v>55</v>
      </c>
      <c r="S34">
        <v>600</v>
      </c>
      <c r="T34">
        <f>IF(OR(Table2[[#This Row],[SampleSize]]=5000,Table2[[#This Row],[SampleSize]]=10000),"&gt;=5k",Table2[[#This Row],[SampleSize]])</f>
        <v>600</v>
      </c>
      <c r="U34">
        <v>2.5000000000000001E-2</v>
      </c>
      <c r="V34" t="s">
        <v>56</v>
      </c>
      <c r="W34" t="s">
        <v>56</v>
      </c>
      <c r="X34" t="s">
        <v>57</v>
      </c>
      <c r="Y34" t="s">
        <v>58</v>
      </c>
      <c r="Z34">
        <v>3</v>
      </c>
      <c r="AA34">
        <v>1</v>
      </c>
      <c r="AB34" t="s">
        <v>59</v>
      </c>
      <c r="AC34" t="s">
        <v>56</v>
      </c>
      <c r="AD34" t="s">
        <v>56</v>
      </c>
      <c r="AE34" t="s">
        <v>60</v>
      </c>
      <c r="AF34" t="s">
        <v>61</v>
      </c>
      <c r="AG34" t="s">
        <v>62</v>
      </c>
      <c r="AH34" t="s">
        <v>63</v>
      </c>
      <c r="AI34" t="s">
        <v>64</v>
      </c>
      <c r="AJ34" t="s">
        <v>65</v>
      </c>
      <c r="AK34" t="s">
        <v>66</v>
      </c>
      <c r="AL34" t="s">
        <v>67</v>
      </c>
      <c r="AM34" t="b">
        <v>0</v>
      </c>
      <c r="AN34" t="b">
        <v>1</v>
      </c>
      <c r="AO34">
        <v>1</v>
      </c>
      <c r="AP34">
        <v>1</v>
      </c>
      <c r="AQ34" t="s">
        <v>77</v>
      </c>
      <c r="AR34" t="s">
        <v>73</v>
      </c>
      <c r="AS34">
        <v>2</v>
      </c>
      <c r="AT34" t="b">
        <v>1</v>
      </c>
      <c r="AU34" t="s">
        <v>36</v>
      </c>
      <c r="AV34">
        <v>10000</v>
      </c>
      <c r="AW34">
        <v>1000</v>
      </c>
      <c r="AX34">
        <v>2300</v>
      </c>
      <c r="AY34" t="b">
        <v>1</v>
      </c>
      <c r="AZ34" t="b">
        <v>0</v>
      </c>
      <c r="BA34" t="b">
        <v>1</v>
      </c>
      <c r="BB34" t="b">
        <v>1</v>
      </c>
      <c r="BC34">
        <v>4</v>
      </c>
      <c r="BD34" t="s">
        <v>447</v>
      </c>
      <c r="BE34">
        <v>12</v>
      </c>
      <c r="BH34">
        <v>76</v>
      </c>
      <c r="BI34">
        <f>INDEX(Table2[SampleSize],MATCH(BH34,Table2[ModelID],0))</f>
        <v>1000</v>
      </c>
      <c r="BJ34" t="str">
        <f>INDEX(Table2[FWERControl],MATCH(BH34,Table2[ModelID],0))</f>
        <v>CombinationTest</v>
      </c>
      <c r="BK34" t="b">
        <f>INDEX(Table2[UseCC],MATCH(BH34,Table2[ModelID],0))</f>
        <v>1</v>
      </c>
      <c r="BL34" s="13">
        <f>INDEX(Table2[SelectionParmeter],MATCH(BH34,Table2[ModelID],0))</f>
        <v>0.5</v>
      </c>
      <c r="BM34" s="12" t="str">
        <f>INDEX(Table2[info_frac],MATCH(BH34,Table2[ModelID],0))</f>
        <v>c(0.5,1)</v>
      </c>
      <c r="BN34" s="14">
        <f>INDEX(Table2[FWER],MATCH(BH34,Table2[ModelID],0))</f>
        <v>2.5045524999999999E-2</v>
      </c>
      <c r="BO34" t="str">
        <f>INDEX(Table2[CI_95perc_FWER],MATCH(BH34,Table2[ModelID],0))</f>
        <v>(0.02413,0.02597)</v>
      </c>
    </row>
    <row r="35" spans="1:76" x14ac:dyDescent="0.25">
      <c r="A35">
        <v>99</v>
      </c>
      <c r="B35" t="s">
        <v>456</v>
      </c>
      <c r="C35">
        <v>59079</v>
      </c>
      <c r="D35">
        <v>2.5647699999999999E-2</v>
      </c>
      <c r="E35">
        <v>0</v>
      </c>
      <c r="F35">
        <v>0</v>
      </c>
      <c r="G35">
        <v>2.5647699999999999E-2</v>
      </c>
      <c r="H35" t="s">
        <v>457</v>
      </c>
      <c r="I35" t="s">
        <v>52</v>
      </c>
      <c r="J35" t="s">
        <v>52</v>
      </c>
      <c r="K35" t="s">
        <v>457</v>
      </c>
      <c r="L35">
        <f>_xlfn.NUMBERVALUE(MID(Table2[[#This Row],[CI_95perc_FWER]],2,FIND(",",Table2[[#This Row],[CI_95perc_FWER]])-2))</f>
        <v>2.426E-2</v>
      </c>
      <c r="M35">
        <f>_xlfn.NUMBERVALUE(MID(Table2[[#This Row],[CI_95perc_FWER]],FIND(",",Table2[[#This Row],[CI_95perc_FWER]])+1, LEN(Table2[[#This Row],[CI_95perc_FWER]])-FIND(",",Table2[[#This Row],[CI_95perc_FWER]])-1))</f>
        <v>2.7040000000000002E-2</v>
      </c>
      <c r="N35" s="1">
        <v>23234</v>
      </c>
      <c r="O35" t="s">
        <v>458</v>
      </c>
      <c r="P35">
        <v>0.41974289470248799</v>
      </c>
      <c r="Q35" t="s">
        <v>54</v>
      </c>
      <c r="R35" t="s">
        <v>55</v>
      </c>
      <c r="S35">
        <v>600</v>
      </c>
      <c r="T35">
        <f>IF(OR(Table2[[#This Row],[SampleSize]]=5000,Table2[[#This Row],[SampleSize]]=10000),"&gt;=5k",Table2[[#This Row],[SampleSize]])</f>
        <v>600</v>
      </c>
      <c r="U35">
        <v>2.5000000000000001E-2</v>
      </c>
      <c r="V35" t="s">
        <v>56</v>
      </c>
      <c r="W35" t="s">
        <v>56</v>
      </c>
      <c r="X35" t="s">
        <v>57</v>
      </c>
      <c r="Y35" t="s">
        <v>58</v>
      </c>
      <c r="Z35">
        <v>3</v>
      </c>
      <c r="AA35">
        <v>1</v>
      </c>
      <c r="AB35" t="s">
        <v>59</v>
      </c>
      <c r="AC35" t="s">
        <v>56</v>
      </c>
      <c r="AD35" t="s">
        <v>56</v>
      </c>
      <c r="AE35" t="s">
        <v>60</v>
      </c>
      <c r="AF35" t="s">
        <v>61</v>
      </c>
      <c r="AG35" t="s">
        <v>62</v>
      </c>
      <c r="AH35" t="s">
        <v>63</v>
      </c>
      <c r="AI35" t="s">
        <v>64</v>
      </c>
      <c r="AJ35" t="s">
        <v>65</v>
      </c>
      <c r="AK35" t="s">
        <v>97</v>
      </c>
      <c r="AL35" t="s">
        <v>67</v>
      </c>
      <c r="AM35" t="b">
        <v>0</v>
      </c>
      <c r="AN35" t="b">
        <v>1</v>
      </c>
      <c r="AO35">
        <v>1</v>
      </c>
      <c r="AP35">
        <v>1</v>
      </c>
      <c r="AQ35" t="s">
        <v>77</v>
      </c>
      <c r="AR35" t="s">
        <v>73</v>
      </c>
      <c r="AS35">
        <v>1</v>
      </c>
      <c r="AT35" t="b">
        <v>1</v>
      </c>
      <c r="AU35" t="s">
        <v>36</v>
      </c>
      <c r="AV35">
        <v>10000</v>
      </c>
      <c r="AW35">
        <v>1000</v>
      </c>
      <c r="AX35">
        <v>59079</v>
      </c>
      <c r="AY35" t="b">
        <v>1</v>
      </c>
      <c r="AZ35" t="b">
        <v>0</v>
      </c>
      <c r="BA35" t="b">
        <v>1</v>
      </c>
      <c r="BB35" t="b">
        <v>1</v>
      </c>
      <c r="BC35" t="s">
        <v>56</v>
      </c>
      <c r="BD35" t="s">
        <v>56</v>
      </c>
      <c r="BE35">
        <v>9</v>
      </c>
      <c r="BH35">
        <v>81</v>
      </c>
      <c r="BI35">
        <f>INDEX(Table2[SampleSize],MATCH(BH35,Table2[ModelID],0))</f>
        <v>3000</v>
      </c>
      <c r="BJ35" t="str">
        <f>INDEX(Table2[FWERControl],MATCH(BH35,Table2[ModelID],0))</f>
        <v>CombinationTest</v>
      </c>
      <c r="BK35" t="b">
        <f>INDEX(Table2[UseCC],MATCH(BH35,Table2[ModelID],0))</f>
        <v>0</v>
      </c>
      <c r="BL35" s="13">
        <f>INDEX(Table2[SelectionParmeter],MATCH(BH35,Table2[ModelID],0))</f>
        <v>0.5</v>
      </c>
      <c r="BM35" s="12" t="str">
        <f>INDEX(Table2[info_frac],MATCH(BH35,Table2[ModelID],0))</f>
        <v>c(0.5,1)</v>
      </c>
      <c r="BN35" s="14">
        <f>INDEX(Table2[FWER],MATCH(BH35,Table2[ModelID],0))</f>
        <v>2.5948224999999998E-2</v>
      </c>
      <c r="BO35" t="str">
        <f>INDEX(Table2[CI_95perc_FWER],MATCH(BH35,Table2[ModelID],0))</f>
        <v>(0.02502,0.02688)</v>
      </c>
    </row>
    <row r="36" spans="1:76" x14ac:dyDescent="0.25">
      <c r="A36">
        <v>103</v>
      </c>
      <c r="B36" t="s">
        <v>456</v>
      </c>
      <c r="C36">
        <v>59079</v>
      </c>
      <c r="D36">
        <v>2.51165E-2</v>
      </c>
      <c r="E36">
        <v>0</v>
      </c>
      <c r="F36">
        <v>0</v>
      </c>
      <c r="G36">
        <v>2.51165E-2</v>
      </c>
      <c r="H36" t="s">
        <v>468</v>
      </c>
      <c r="I36" t="s">
        <v>52</v>
      </c>
      <c r="J36" t="s">
        <v>52</v>
      </c>
      <c r="K36" t="s">
        <v>468</v>
      </c>
      <c r="L36">
        <f>_xlfn.NUMBERVALUE(MID(Table2[[#This Row],[CI_95perc_FWER]],2,FIND(",",Table2[[#This Row],[CI_95perc_FWER]])-2))</f>
        <v>2.2919999999999999E-2</v>
      </c>
      <c r="M36">
        <f>_xlfn.NUMBERVALUE(MID(Table2[[#This Row],[CI_95perc_FWER]],FIND(",",Table2[[#This Row],[CI_95perc_FWER]])+1, LEN(Table2[[#This Row],[CI_95perc_FWER]])-FIND(",",Table2[[#This Row],[CI_95perc_FWER]])-1))</f>
        <v>2.7310000000000001E-2</v>
      </c>
      <c r="N36" s="1">
        <v>105126</v>
      </c>
      <c r="O36" t="s">
        <v>469</v>
      </c>
      <c r="P36">
        <v>0.41565101444721197</v>
      </c>
      <c r="Q36" t="s">
        <v>54</v>
      </c>
      <c r="R36" t="s">
        <v>55</v>
      </c>
      <c r="S36">
        <v>600</v>
      </c>
      <c r="T36">
        <f>IF(OR(Table2[[#This Row],[SampleSize]]=5000,Table2[[#This Row],[SampleSize]]=10000),"&gt;=5k",Table2[[#This Row],[SampleSize]])</f>
        <v>600</v>
      </c>
      <c r="U36">
        <v>2.5000000000000001E-2</v>
      </c>
      <c r="V36" t="s">
        <v>56</v>
      </c>
      <c r="W36" t="s">
        <v>56</v>
      </c>
      <c r="X36" t="s">
        <v>57</v>
      </c>
      <c r="Y36" t="s">
        <v>58</v>
      </c>
      <c r="Z36">
        <v>3</v>
      </c>
      <c r="AA36">
        <v>1</v>
      </c>
      <c r="AB36" t="s">
        <v>59</v>
      </c>
      <c r="AC36" t="s">
        <v>56</v>
      </c>
      <c r="AD36" t="s">
        <v>56</v>
      </c>
      <c r="AE36" t="s">
        <v>60</v>
      </c>
      <c r="AF36" t="s">
        <v>61</v>
      </c>
      <c r="AG36" t="s">
        <v>62</v>
      </c>
      <c r="AH36" t="s">
        <v>63</v>
      </c>
      <c r="AI36" t="s">
        <v>64</v>
      </c>
      <c r="AJ36" t="s">
        <v>65</v>
      </c>
      <c r="AK36" t="s">
        <v>66</v>
      </c>
      <c r="AL36" t="s">
        <v>67</v>
      </c>
      <c r="AM36" t="b">
        <v>0</v>
      </c>
      <c r="AN36" t="b">
        <v>1</v>
      </c>
      <c r="AO36">
        <v>1</v>
      </c>
      <c r="AP36">
        <v>1</v>
      </c>
      <c r="AQ36" t="s">
        <v>77</v>
      </c>
      <c r="AR36" t="s">
        <v>73</v>
      </c>
      <c r="AS36">
        <v>1</v>
      </c>
      <c r="AT36" t="b">
        <v>1</v>
      </c>
      <c r="AU36" t="s">
        <v>36</v>
      </c>
      <c r="AV36">
        <v>10000</v>
      </c>
      <c r="AW36">
        <v>1000</v>
      </c>
      <c r="AX36">
        <v>59079</v>
      </c>
      <c r="AY36" t="b">
        <v>1</v>
      </c>
      <c r="AZ36" t="b">
        <v>0</v>
      </c>
      <c r="BA36" t="b">
        <v>1</v>
      </c>
      <c r="BB36" t="b">
        <v>1</v>
      </c>
      <c r="BC36" t="s">
        <v>56</v>
      </c>
      <c r="BD36" t="s">
        <v>56</v>
      </c>
      <c r="BE36">
        <v>10</v>
      </c>
      <c r="BH36">
        <v>86</v>
      </c>
      <c r="BI36">
        <f>INDEX(Table2[SampleSize],MATCH(BH36,Table2[ModelID],0))</f>
        <v>3000</v>
      </c>
      <c r="BJ36" t="str">
        <f>INDEX(Table2[FWERControl],MATCH(BH36,Table2[ModelID],0))</f>
        <v>CombinationTest</v>
      </c>
      <c r="BK36" t="b">
        <f>INDEX(Table2[UseCC],MATCH(BH36,Table2[ModelID],0))</f>
        <v>1</v>
      </c>
      <c r="BL36" s="13">
        <f>INDEX(Table2[SelectionParmeter],MATCH(BH36,Table2[ModelID],0))</f>
        <v>0.5</v>
      </c>
      <c r="BM36" s="12" t="str">
        <f>INDEX(Table2[info_frac],MATCH(BH36,Table2[ModelID],0))</f>
        <v>c(0.5,1)</v>
      </c>
      <c r="BN36" s="14">
        <f>INDEX(Table2[FWER],MATCH(BH36,Table2[ModelID],0))</f>
        <v>2.5807424999999998E-2</v>
      </c>
      <c r="BO36" t="str">
        <f>INDEX(Table2[CI_95perc_FWER],MATCH(BH36,Table2[ModelID],0))</f>
        <v>(0.02488,0.02673)</v>
      </c>
    </row>
    <row r="37" spans="1:76" x14ac:dyDescent="0.25">
      <c r="A37">
        <v>67</v>
      </c>
      <c r="B37" t="s">
        <v>314</v>
      </c>
      <c r="C37">
        <v>64564</v>
      </c>
      <c r="D37">
        <v>2.54968E-2</v>
      </c>
      <c r="E37">
        <v>0</v>
      </c>
      <c r="F37">
        <v>0</v>
      </c>
      <c r="G37">
        <v>2.54968E-2</v>
      </c>
      <c r="H37" t="s">
        <v>315</v>
      </c>
      <c r="I37" t="s">
        <v>52</v>
      </c>
      <c r="J37" t="s">
        <v>52</v>
      </c>
      <c r="K37" t="s">
        <v>315</v>
      </c>
      <c r="L37">
        <f>_xlfn.NUMBERVALUE(MID(Table2[[#This Row],[CI_95perc_FWER]],2,FIND(",",Table2[[#This Row],[CI_95perc_FWER]])-2))</f>
        <v>2.4549999999999999E-2</v>
      </c>
      <c r="M37">
        <f>_xlfn.NUMBERVALUE(MID(Table2[[#This Row],[CI_95perc_FWER]],FIND(",",Table2[[#This Row],[CI_95perc_FWER]])+1, LEN(Table2[[#This Row],[CI_95perc_FWER]])-FIND(",",Table2[[#This Row],[CI_95perc_FWER]])-1))</f>
        <v>2.6440000000000002E-2</v>
      </c>
      <c r="N37" s="1">
        <v>38479</v>
      </c>
      <c r="O37" t="s">
        <v>316</v>
      </c>
      <c r="P37">
        <v>2.00365673972501</v>
      </c>
      <c r="Q37" t="s">
        <v>54</v>
      </c>
      <c r="R37" t="s">
        <v>55</v>
      </c>
      <c r="S37">
        <v>1000</v>
      </c>
      <c r="T37">
        <f>IF(OR(Table2[[#This Row],[SampleSize]]=5000,Table2[[#This Row],[SampleSize]]=10000),"&gt;=5k",Table2[[#This Row],[SampleSize]])</f>
        <v>1000</v>
      </c>
      <c r="U37">
        <v>2.5000000000000001E-2</v>
      </c>
      <c r="V37" t="s">
        <v>56</v>
      </c>
      <c r="W37" t="s">
        <v>56</v>
      </c>
      <c r="X37" t="s">
        <v>57</v>
      </c>
      <c r="Y37" t="s">
        <v>58</v>
      </c>
      <c r="Z37">
        <v>3</v>
      </c>
      <c r="AA37">
        <v>1</v>
      </c>
      <c r="AB37" t="s">
        <v>59</v>
      </c>
      <c r="AC37" t="s">
        <v>56</v>
      </c>
      <c r="AD37" t="s">
        <v>56</v>
      </c>
      <c r="AE37" t="s">
        <v>60</v>
      </c>
      <c r="AF37" t="s">
        <v>61</v>
      </c>
      <c r="AG37" t="s">
        <v>62</v>
      </c>
      <c r="AH37" t="s">
        <v>63</v>
      </c>
      <c r="AI37" t="s">
        <v>64</v>
      </c>
      <c r="AJ37" t="s">
        <v>65</v>
      </c>
      <c r="AK37" t="s">
        <v>97</v>
      </c>
      <c r="AL37" t="s">
        <v>67</v>
      </c>
      <c r="AM37" t="b">
        <v>0</v>
      </c>
      <c r="AN37" t="b">
        <v>0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  <c r="AU37" t="s">
        <v>68</v>
      </c>
      <c r="AV37">
        <v>20000</v>
      </c>
      <c r="AW37">
        <v>2000</v>
      </c>
      <c r="AX37">
        <v>64564</v>
      </c>
      <c r="AY37" t="b">
        <v>1</v>
      </c>
      <c r="AZ37" t="b">
        <v>0</v>
      </c>
      <c r="BA37" t="b">
        <v>1</v>
      </c>
      <c r="BB37" t="b">
        <v>0</v>
      </c>
      <c r="BC37">
        <v>0</v>
      </c>
      <c r="BD37" t="s">
        <v>317</v>
      </c>
      <c r="BE37">
        <v>1</v>
      </c>
      <c r="BH37">
        <v>61</v>
      </c>
      <c r="BI37">
        <f>INDEX(Table2[SampleSize],MATCH(BH37,Table2[ModelID],0))</f>
        <v>10000</v>
      </c>
      <c r="BJ37" t="str">
        <f>INDEX(Table2[FWERControl],MATCH(BH37,Table2[ModelID],0))</f>
        <v>CombinationTest</v>
      </c>
      <c r="BK37" t="b">
        <f>INDEX(Table2[UseCC],MATCH(BH37,Table2[ModelID],0))</f>
        <v>0</v>
      </c>
      <c r="BL37" s="13">
        <f>INDEX(Table2[SelectionParmeter],MATCH(BH37,Table2[ModelID],0))</f>
        <v>0.5</v>
      </c>
      <c r="BM37" s="12" t="str">
        <f>INDEX(Table2[info_frac],MATCH(BH37,Table2[ModelID],0))</f>
        <v>c(0.5,1)</v>
      </c>
      <c r="BN37" s="14">
        <f>INDEX(Table2[FWER],MATCH(BH37,Table2[ModelID],0))</f>
        <v>2.52502E-2</v>
      </c>
      <c r="BO37" t="str">
        <f>INDEX(Table2[CI_95perc_FWER],MATCH(BH37,Table2[ModelID],0))</f>
        <v>(0.02435,0.02615)</v>
      </c>
    </row>
    <row r="38" spans="1:76" x14ac:dyDescent="0.25">
      <c r="A38">
        <v>68</v>
      </c>
      <c r="B38" t="s">
        <v>318</v>
      </c>
      <c r="C38">
        <v>343</v>
      </c>
      <c r="D38">
        <v>2.5973550000000001E-2</v>
      </c>
      <c r="E38">
        <v>0</v>
      </c>
      <c r="F38">
        <v>0</v>
      </c>
      <c r="G38">
        <v>2.5973550000000001E-2</v>
      </c>
      <c r="H38" t="s">
        <v>319</v>
      </c>
      <c r="I38" t="s">
        <v>52</v>
      </c>
      <c r="J38" t="s">
        <v>52</v>
      </c>
      <c r="K38" t="s">
        <v>319</v>
      </c>
      <c r="L38">
        <f>_xlfn.NUMBERVALUE(MID(Table2[[#This Row],[CI_95perc_FWER]],2,FIND(",",Table2[[#This Row],[CI_95perc_FWER]])-2))</f>
        <v>2.503E-2</v>
      </c>
      <c r="M38">
        <f>_xlfn.NUMBERVALUE(MID(Table2[[#This Row],[CI_95perc_FWER]],FIND(",",Table2[[#This Row],[CI_95perc_FWER]])+1, LEN(Table2[[#This Row],[CI_95perc_FWER]])-FIND(",",Table2[[#This Row],[CI_95perc_FWER]])-1))</f>
        <v>2.6919999999999999E-2</v>
      </c>
      <c r="N38" s="1">
        <v>33491</v>
      </c>
      <c r="O38" t="s">
        <v>320</v>
      </c>
      <c r="P38">
        <v>1.65424529307418</v>
      </c>
      <c r="Q38" t="s">
        <v>54</v>
      </c>
      <c r="R38" t="s">
        <v>55</v>
      </c>
      <c r="S38">
        <v>1000</v>
      </c>
      <c r="T38">
        <f>IF(OR(Table2[[#This Row],[SampleSize]]=5000,Table2[[#This Row],[SampleSize]]=10000),"&gt;=5k",Table2[[#This Row],[SampleSize]])</f>
        <v>1000</v>
      </c>
      <c r="U38">
        <v>2.5000000000000001E-2</v>
      </c>
      <c r="V38" t="s">
        <v>56</v>
      </c>
      <c r="W38" t="s">
        <v>56</v>
      </c>
      <c r="X38" t="s">
        <v>57</v>
      </c>
      <c r="Y38" t="s">
        <v>58</v>
      </c>
      <c r="Z38">
        <v>3</v>
      </c>
      <c r="AA38">
        <v>1</v>
      </c>
      <c r="AB38" t="s">
        <v>59</v>
      </c>
      <c r="AC38" t="s">
        <v>56</v>
      </c>
      <c r="AD38" t="s">
        <v>56</v>
      </c>
      <c r="AE38" t="s">
        <v>60</v>
      </c>
      <c r="AF38" t="s">
        <v>61</v>
      </c>
      <c r="AG38" t="s">
        <v>62</v>
      </c>
      <c r="AH38" t="s">
        <v>63</v>
      </c>
      <c r="AI38" t="s">
        <v>64</v>
      </c>
      <c r="AJ38" t="s">
        <v>65</v>
      </c>
      <c r="AK38" t="s">
        <v>97</v>
      </c>
      <c r="AL38" t="s">
        <v>67</v>
      </c>
      <c r="AM38" t="b">
        <v>0</v>
      </c>
      <c r="AN38" t="b">
        <v>1</v>
      </c>
      <c r="AO38">
        <v>1</v>
      </c>
      <c r="AP38">
        <v>1</v>
      </c>
      <c r="AQ38" t="s">
        <v>77</v>
      </c>
      <c r="AR38" t="s">
        <v>78</v>
      </c>
      <c r="AS38">
        <v>0.75</v>
      </c>
      <c r="AT38" t="b">
        <v>1</v>
      </c>
      <c r="AU38" t="s">
        <v>36</v>
      </c>
      <c r="AV38">
        <v>20000</v>
      </c>
      <c r="AW38">
        <v>2000</v>
      </c>
      <c r="AX38">
        <v>343</v>
      </c>
      <c r="AY38" t="b">
        <v>1</v>
      </c>
      <c r="AZ38" t="b">
        <v>0</v>
      </c>
      <c r="BA38" t="b">
        <v>1</v>
      </c>
      <c r="BB38" t="b">
        <v>0</v>
      </c>
      <c r="BC38" t="s">
        <v>448</v>
      </c>
      <c r="BD38" t="s">
        <v>317</v>
      </c>
      <c r="BE38">
        <v>7</v>
      </c>
      <c r="BH38">
        <v>66</v>
      </c>
      <c r="BI38">
        <f>INDEX(Table2[SampleSize],MATCH(BH38,Table2[ModelID],0))</f>
        <v>10000</v>
      </c>
      <c r="BJ38" t="str">
        <f>INDEX(Table2[FWERControl],MATCH(BH38,Table2[ModelID],0))</f>
        <v>CombinationTest</v>
      </c>
      <c r="BK38" t="b">
        <f>INDEX(Table2[UseCC],MATCH(BH38,Table2[ModelID],0))</f>
        <v>1</v>
      </c>
      <c r="BL38" s="13">
        <f>INDEX(Table2[SelectionParmeter],MATCH(BH38,Table2[ModelID],0))</f>
        <v>0.5</v>
      </c>
      <c r="BM38" s="12" t="str">
        <f>INDEX(Table2[info_frac],MATCH(BH38,Table2[ModelID],0))</f>
        <v>c(0.5,1)</v>
      </c>
      <c r="BN38" s="14">
        <f>INDEX(Table2[FWER],MATCH(BH38,Table2[ModelID],0))</f>
        <v>2.5151699999999999E-2</v>
      </c>
      <c r="BO38" t="str">
        <f>INDEX(Table2[CI_95perc_FWER],MATCH(BH38,Table2[ModelID],0))</f>
        <v>(0.02426,0.02605)</v>
      </c>
    </row>
    <row r="39" spans="1:76" x14ac:dyDescent="0.25">
      <c r="A39">
        <v>69</v>
      </c>
      <c r="B39" t="s">
        <v>321</v>
      </c>
      <c r="C39">
        <v>4346</v>
      </c>
      <c r="D39">
        <v>2.46965E-2</v>
      </c>
      <c r="E39">
        <v>0</v>
      </c>
      <c r="F39">
        <v>0</v>
      </c>
      <c r="G39">
        <v>2.46965E-2</v>
      </c>
      <c r="H39" t="s">
        <v>322</v>
      </c>
      <c r="I39" t="s">
        <v>52</v>
      </c>
      <c r="J39" t="s">
        <v>52</v>
      </c>
      <c r="K39" t="s">
        <v>322</v>
      </c>
      <c r="L39">
        <f>_xlfn.NUMBERVALUE(MID(Table2[[#This Row],[CI_95perc_FWER]],2,FIND(",",Table2[[#This Row],[CI_95perc_FWER]])-2))</f>
        <v>2.375E-2</v>
      </c>
      <c r="M39">
        <f>_xlfn.NUMBERVALUE(MID(Table2[[#This Row],[CI_95perc_FWER]],FIND(",",Table2[[#This Row],[CI_95perc_FWER]])+1, LEN(Table2[[#This Row],[CI_95perc_FWER]])-FIND(",",Table2[[#This Row],[CI_95perc_FWER]])-1))</f>
        <v>2.564E-2</v>
      </c>
      <c r="N39" s="1">
        <v>31460</v>
      </c>
      <c r="O39" t="s">
        <v>323</v>
      </c>
      <c r="P39">
        <v>0.69112240049574103</v>
      </c>
      <c r="Q39" t="s">
        <v>54</v>
      </c>
      <c r="R39" t="s">
        <v>55</v>
      </c>
      <c r="S39">
        <v>1000</v>
      </c>
      <c r="T39">
        <f>IF(OR(Table2[[#This Row],[SampleSize]]=5000,Table2[[#This Row],[SampleSize]]=10000),"&gt;=5k",Table2[[#This Row],[SampleSize]])</f>
        <v>1000</v>
      </c>
      <c r="U39">
        <v>2.5000000000000001E-2</v>
      </c>
      <c r="V39" t="s">
        <v>56</v>
      </c>
      <c r="W39" t="s">
        <v>56</v>
      </c>
      <c r="X39" t="s">
        <v>57</v>
      </c>
      <c r="Y39" t="s">
        <v>58</v>
      </c>
      <c r="Z39">
        <v>3</v>
      </c>
      <c r="AA39">
        <v>1</v>
      </c>
      <c r="AB39" t="s">
        <v>59</v>
      </c>
      <c r="AC39" t="s">
        <v>56</v>
      </c>
      <c r="AD39" t="s">
        <v>56</v>
      </c>
      <c r="AE39" t="s">
        <v>60</v>
      </c>
      <c r="AF39" t="s">
        <v>61</v>
      </c>
      <c r="AG39" t="s">
        <v>62</v>
      </c>
      <c r="AH39" t="s">
        <v>63</v>
      </c>
      <c r="AI39" t="s">
        <v>64</v>
      </c>
      <c r="AJ39" t="s">
        <v>65</v>
      </c>
      <c r="AK39" t="s">
        <v>97</v>
      </c>
      <c r="AL39" t="s">
        <v>67</v>
      </c>
      <c r="AM39" t="b">
        <v>0</v>
      </c>
      <c r="AN39" t="b">
        <v>1</v>
      </c>
      <c r="AO39">
        <v>1</v>
      </c>
      <c r="AP39">
        <v>1</v>
      </c>
      <c r="AQ39" t="s">
        <v>77</v>
      </c>
      <c r="AR39" t="s">
        <v>78</v>
      </c>
      <c r="AS39">
        <v>0.25</v>
      </c>
      <c r="AT39" t="b">
        <v>1</v>
      </c>
      <c r="AU39" t="s">
        <v>36</v>
      </c>
      <c r="AV39">
        <v>20000</v>
      </c>
      <c r="AW39">
        <v>2000</v>
      </c>
      <c r="AX39">
        <v>4346</v>
      </c>
      <c r="AY39" t="b">
        <v>1</v>
      </c>
      <c r="AZ39" t="b">
        <v>0</v>
      </c>
      <c r="BA39" t="b">
        <v>1</v>
      </c>
      <c r="BB39" t="b">
        <v>0</v>
      </c>
      <c r="BC39">
        <v>3</v>
      </c>
      <c r="BD39" t="s">
        <v>317</v>
      </c>
      <c r="BE39">
        <v>3</v>
      </c>
    </row>
    <row r="40" spans="1:76" x14ac:dyDescent="0.25">
      <c r="A40">
        <v>70</v>
      </c>
      <c r="B40" t="s">
        <v>324</v>
      </c>
      <c r="C40">
        <v>2300</v>
      </c>
      <c r="D40">
        <v>2.6193850000000001E-2</v>
      </c>
      <c r="E40">
        <v>0</v>
      </c>
      <c r="F40">
        <v>0</v>
      </c>
      <c r="G40">
        <v>2.6193850000000001E-2</v>
      </c>
      <c r="H40" t="s">
        <v>325</v>
      </c>
      <c r="I40" t="s">
        <v>52</v>
      </c>
      <c r="J40" t="s">
        <v>52</v>
      </c>
      <c r="K40" t="s">
        <v>325</v>
      </c>
      <c r="L40">
        <f>_xlfn.NUMBERVALUE(MID(Table2[[#This Row],[CI_95perc_FWER]],2,FIND(",",Table2[[#This Row],[CI_95perc_FWER]])-2))</f>
        <v>2.5239999999999999E-2</v>
      </c>
      <c r="M40">
        <f>_xlfn.NUMBERVALUE(MID(Table2[[#This Row],[CI_95perc_FWER]],FIND(",",Table2[[#This Row],[CI_95perc_FWER]])+1, LEN(Table2[[#This Row],[CI_95perc_FWER]])-FIND(",",Table2[[#This Row],[CI_95perc_FWER]])-1))</f>
        <v>2.7150000000000001E-2</v>
      </c>
      <c r="N40" s="1">
        <v>33493</v>
      </c>
      <c r="O40" t="s">
        <v>326</v>
      </c>
      <c r="P40">
        <v>1.9920662163363601</v>
      </c>
      <c r="Q40" t="s">
        <v>54</v>
      </c>
      <c r="R40" t="s">
        <v>55</v>
      </c>
      <c r="S40">
        <v>1000</v>
      </c>
      <c r="T40">
        <f>IF(OR(Table2[[#This Row],[SampleSize]]=5000,Table2[[#This Row],[SampleSize]]=10000),"&gt;=5k",Table2[[#This Row],[SampleSize]])</f>
        <v>1000</v>
      </c>
      <c r="U40">
        <v>2.5000000000000001E-2</v>
      </c>
      <c r="V40" t="s">
        <v>56</v>
      </c>
      <c r="W40" t="s">
        <v>56</v>
      </c>
      <c r="X40" t="s">
        <v>57</v>
      </c>
      <c r="Y40" t="s">
        <v>58</v>
      </c>
      <c r="Z40">
        <v>3</v>
      </c>
      <c r="AA40">
        <v>1</v>
      </c>
      <c r="AB40" t="s">
        <v>59</v>
      </c>
      <c r="AC40" t="s">
        <v>56</v>
      </c>
      <c r="AD40" t="s">
        <v>56</v>
      </c>
      <c r="AE40" t="s">
        <v>60</v>
      </c>
      <c r="AF40" t="s">
        <v>61</v>
      </c>
      <c r="AG40" t="s">
        <v>62</v>
      </c>
      <c r="AH40" t="s">
        <v>63</v>
      </c>
      <c r="AI40" t="s">
        <v>64</v>
      </c>
      <c r="AJ40" t="s">
        <v>65</v>
      </c>
      <c r="AK40" t="s">
        <v>97</v>
      </c>
      <c r="AL40" t="s">
        <v>67</v>
      </c>
      <c r="AM40" t="b">
        <v>0</v>
      </c>
      <c r="AN40" t="b">
        <v>1</v>
      </c>
      <c r="AO40">
        <v>1</v>
      </c>
      <c r="AP40">
        <v>1</v>
      </c>
      <c r="AQ40" t="s">
        <v>77</v>
      </c>
      <c r="AR40" t="s">
        <v>73</v>
      </c>
      <c r="AS40">
        <v>2</v>
      </c>
      <c r="AT40" t="b">
        <v>1</v>
      </c>
      <c r="AU40" t="s">
        <v>36</v>
      </c>
      <c r="AV40">
        <v>20000</v>
      </c>
      <c r="AW40">
        <v>2000</v>
      </c>
      <c r="AX40">
        <v>2300</v>
      </c>
      <c r="AY40" t="b">
        <v>1</v>
      </c>
      <c r="AZ40" t="b">
        <v>0</v>
      </c>
      <c r="BA40" t="b">
        <v>1</v>
      </c>
      <c r="BB40" t="b">
        <v>0</v>
      </c>
      <c r="BC40">
        <v>0</v>
      </c>
      <c r="BD40" t="s">
        <v>317</v>
      </c>
      <c r="BE40">
        <v>11</v>
      </c>
      <c r="BH40" s="14" t="s">
        <v>513</v>
      </c>
      <c r="BI40" s="14" t="s">
        <v>514</v>
      </c>
      <c r="BQ40" s="14" t="s">
        <v>515</v>
      </c>
      <c r="BR40" s="14" t="s">
        <v>516</v>
      </c>
    </row>
    <row r="41" spans="1:76" x14ac:dyDescent="0.25">
      <c r="A41">
        <v>71</v>
      </c>
      <c r="B41" t="s">
        <v>327</v>
      </c>
      <c r="C41">
        <v>2402</v>
      </c>
      <c r="D41">
        <v>2.6067799999999999E-2</v>
      </c>
      <c r="E41">
        <v>0</v>
      </c>
      <c r="F41">
        <v>0</v>
      </c>
      <c r="G41">
        <v>2.6067799999999999E-2</v>
      </c>
      <c r="H41" t="s">
        <v>328</v>
      </c>
      <c r="I41" t="s">
        <v>52</v>
      </c>
      <c r="J41" t="s">
        <v>52</v>
      </c>
      <c r="K41" t="s">
        <v>328</v>
      </c>
      <c r="L41">
        <f>_xlfn.NUMBERVALUE(MID(Table2[[#This Row],[CI_95perc_FWER]],2,FIND(",",Table2[[#This Row],[CI_95perc_FWER]])-2))</f>
        <v>2.512E-2</v>
      </c>
      <c r="M41">
        <f>_xlfn.NUMBERVALUE(MID(Table2[[#This Row],[CI_95perc_FWER]],FIND(",",Table2[[#This Row],[CI_95perc_FWER]])+1, LEN(Table2[[#This Row],[CI_95perc_FWER]])-FIND(",",Table2[[#This Row],[CI_95perc_FWER]])-1))</f>
        <v>2.7019999999999999E-2</v>
      </c>
      <c r="N41" s="1">
        <v>33489</v>
      </c>
      <c r="O41" t="s">
        <v>329</v>
      </c>
      <c r="P41">
        <v>1.2638837911023</v>
      </c>
      <c r="Q41" t="s">
        <v>54</v>
      </c>
      <c r="R41" t="s">
        <v>55</v>
      </c>
      <c r="S41">
        <v>1000</v>
      </c>
      <c r="T41">
        <f>IF(OR(Table2[[#This Row],[SampleSize]]=5000,Table2[[#This Row],[SampleSize]]=10000),"&gt;=5k",Table2[[#This Row],[SampleSize]])</f>
        <v>1000</v>
      </c>
      <c r="U41">
        <v>2.5000000000000001E-2</v>
      </c>
      <c r="V41" t="s">
        <v>56</v>
      </c>
      <c r="W41" t="s">
        <v>56</v>
      </c>
      <c r="X41" t="s">
        <v>57</v>
      </c>
      <c r="Y41" t="s">
        <v>58</v>
      </c>
      <c r="Z41">
        <v>3</v>
      </c>
      <c r="AA41">
        <v>1</v>
      </c>
      <c r="AB41" t="s">
        <v>59</v>
      </c>
      <c r="AC41" t="s">
        <v>56</v>
      </c>
      <c r="AD41" t="s">
        <v>56</v>
      </c>
      <c r="AE41" t="s">
        <v>60</v>
      </c>
      <c r="AF41" t="s">
        <v>61</v>
      </c>
      <c r="AG41" t="s">
        <v>62</v>
      </c>
      <c r="AH41" t="s">
        <v>63</v>
      </c>
      <c r="AI41" t="s">
        <v>64</v>
      </c>
      <c r="AJ41" t="s">
        <v>65</v>
      </c>
      <c r="AK41" t="s">
        <v>97</v>
      </c>
      <c r="AL41" t="s">
        <v>67</v>
      </c>
      <c r="AM41" t="b">
        <v>0</v>
      </c>
      <c r="AN41" t="b">
        <v>1</v>
      </c>
      <c r="AO41">
        <v>1</v>
      </c>
      <c r="AP41">
        <v>1</v>
      </c>
      <c r="AQ41" t="s">
        <v>77</v>
      </c>
      <c r="AR41" t="s">
        <v>78</v>
      </c>
      <c r="AS41">
        <v>0.5</v>
      </c>
      <c r="AT41" t="b">
        <v>0</v>
      </c>
      <c r="AU41" t="s">
        <v>68</v>
      </c>
      <c r="AV41">
        <v>20000</v>
      </c>
      <c r="AW41">
        <v>2000</v>
      </c>
      <c r="AX41">
        <v>2402</v>
      </c>
      <c r="AY41" t="b">
        <v>1</v>
      </c>
      <c r="AZ41" t="b">
        <v>0</v>
      </c>
      <c r="BA41" t="b">
        <v>1</v>
      </c>
      <c r="BB41" t="b">
        <v>0</v>
      </c>
      <c r="BC41">
        <v>5</v>
      </c>
      <c r="BD41" t="s">
        <v>317</v>
      </c>
      <c r="BE41">
        <v>5</v>
      </c>
      <c r="BH41" t="s">
        <v>449</v>
      </c>
      <c r="BI41" t="s">
        <v>450</v>
      </c>
      <c r="BJ41" t="s">
        <v>451</v>
      </c>
      <c r="BK41" t="s">
        <v>452</v>
      </c>
      <c r="BL41" s="13" t="s">
        <v>453</v>
      </c>
      <c r="BM41" s="12" t="s">
        <v>454</v>
      </c>
      <c r="BN41" s="14" t="s">
        <v>6</v>
      </c>
      <c r="BO41" t="s">
        <v>455</v>
      </c>
      <c r="BQ41" t="s">
        <v>449</v>
      </c>
      <c r="BR41" t="s">
        <v>450</v>
      </c>
      <c r="BS41" t="s">
        <v>451</v>
      </c>
      <c r="BT41" t="s">
        <v>452</v>
      </c>
      <c r="BU41" s="13" t="s">
        <v>453</v>
      </c>
      <c r="BV41" s="12" t="s">
        <v>454</v>
      </c>
      <c r="BW41" s="14" t="s">
        <v>6</v>
      </c>
      <c r="BX41" t="s">
        <v>455</v>
      </c>
    </row>
    <row r="42" spans="1:76" x14ac:dyDescent="0.25">
      <c r="A42">
        <v>72</v>
      </c>
      <c r="B42" t="s">
        <v>330</v>
      </c>
      <c r="C42">
        <v>64564</v>
      </c>
      <c r="D42">
        <v>2.4516474999999999E-2</v>
      </c>
      <c r="E42">
        <v>0</v>
      </c>
      <c r="F42">
        <v>0</v>
      </c>
      <c r="G42">
        <v>2.4516474999999999E-2</v>
      </c>
      <c r="H42" t="s">
        <v>331</v>
      </c>
      <c r="I42" t="s">
        <v>52</v>
      </c>
      <c r="J42" t="s">
        <v>52</v>
      </c>
      <c r="K42" t="s">
        <v>331</v>
      </c>
      <c r="L42">
        <f>_xlfn.NUMBERVALUE(MID(Table2[[#This Row],[CI_95perc_FWER]],2,FIND(",",Table2[[#This Row],[CI_95perc_FWER]])-2))</f>
        <v>2.3599999999999999E-2</v>
      </c>
      <c r="M42">
        <f>_xlfn.NUMBERVALUE(MID(Table2[[#This Row],[CI_95perc_FWER]],FIND(",",Table2[[#This Row],[CI_95perc_FWER]])+1, LEN(Table2[[#This Row],[CI_95perc_FWER]])-FIND(",",Table2[[#This Row],[CI_95perc_FWER]])-1))</f>
        <v>2.5430000000000001E-2</v>
      </c>
      <c r="N42" s="1">
        <v>34466</v>
      </c>
      <c r="O42" t="s">
        <v>332</v>
      </c>
      <c r="P42">
        <v>1.9920019178257999</v>
      </c>
      <c r="Q42" t="s">
        <v>54</v>
      </c>
      <c r="R42" t="s">
        <v>55</v>
      </c>
      <c r="S42">
        <v>1000</v>
      </c>
      <c r="T42">
        <f>IF(OR(Table2[[#This Row],[SampleSize]]=5000,Table2[[#This Row],[SampleSize]]=10000),"&gt;=5k",Table2[[#This Row],[SampleSize]])</f>
        <v>1000</v>
      </c>
      <c r="U42">
        <v>2.5000000000000001E-2</v>
      </c>
      <c r="V42" t="s">
        <v>56</v>
      </c>
      <c r="W42" t="s">
        <v>56</v>
      </c>
      <c r="X42" t="s">
        <v>57</v>
      </c>
      <c r="Y42" t="s">
        <v>58</v>
      </c>
      <c r="Z42">
        <v>3</v>
      </c>
      <c r="AA42">
        <v>1</v>
      </c>
      <c r="AB42" t="s">
        <v>59</v>
      </c>
      <c r="AC42" t="s">
        <v>56</v>
      </c>
      <c r="AD42" t="s">
        <v>56</v>
      </c>
      <c r="AE42" t="s">
        <v>60</v>
      </c>
      <c r="AF42" t="s">
        <v>61</v>
      </c>
      <c r="AG42" t="s">
        <v>62</v>
      </c>
      <c r="AH42" t="s">
        <v>63</v>
      </c>
      <c r="AI42" t="s">
        <v>64</v>
      </c>
      <c r="AJ42" t="s">
        <v>65</v>
      </c>
      <c r="AK42" t="s">
        <v>97</v>
      </c>
      <c r="AL42" t="s">
        <v>67</v>
      </c>
      <c r="AM42" t="b">
        <v>0</v>
      </c>
      <c r="AN42" t="b">
        <v>0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  <c r="AU42" t="s">
        <v>68</v>
      </c>
      <c r="AV42">
        <v>20000</v>
      </c>
      <c r="AW42">
        <v>2000</v>
      </c>
      <c r="AX42">
        <v>64564</v>
      </c>
      <c r="AY42" t="b">
        <v>1</v>
      </c>
      <c r="AZ42" t="b">
        <v>0</v>
      </c>
      <c r="BA42" t="b">
        <v>1</v>
      </c>
      <c r="BB42" t="b">
        <v>1</v>
      </c>
      <c r="BC42">
        <v>0</v>
      </c>
      <c r="BD42" t="s">
        <v>317</v>
      </c>
      <c r="BE42">
        <v>1</v>
      </c>
      <c r="BH42">
        <v>20</v>
      </c>
      <c r="BI42">
        <f>INDEX(Table2[SampleSize],MATCH(BH42,Table2[ModelID],0))</f>
        <v>400</v>
      </c>
      <c r="BJ42" t="str">
        <f>INDEX(Table2[FWERControl],MATCH(BH42,Table2[ModelID],0))</f>
        <v>CombinationTest</v>
      </c>
      <c r="BK42" t="b">
        <f>INDEX(Table2[UseCC],MATCH(BH42,Table2[ModelID],0))</f>
        <v>0</v>
      </c>
      <c r="BL42" s="13">
        <f>INDEX(Table2[SelectionParmeter],MATCH(BH42,Table2[ModelID],0))</f>
        <v>0.75</v>
      </c>
      <c r="BM42" s="12" t="str">
        <f>INDEX(Table2[info_frac],MATCH(BH42,Table2[ModelID],0))</f>
        <v>c(0.5,1)</v>
      </c>
      <c r="BN42" s="14">
        <f>INDEX(Table2[FWER],MATCH(BH42,Table2[ModelID],0))</f>
        <v>2.8146899999999999E-2</v>
      </c>
      <c r="BO42" t="str">
        <f>INDEX(Table2[CI_95perc_FWER],MATCH(BH42,Table2[ModelID],0))</f>
        <v>(0.02667,0.02962)</v>
      </c>
      <c r="BQ42">
        <v>12</v>
      </c>
      <c r="BR42">
        <f>INDEX(Table2[SampleSize],MATCH(BQ42,Table2[ModelID],0))</f>
        <v>600</v>
      </c>
      <c r="BS42" t="str">
        <f>INDEX(Table2[FWERControl],MATCH(BQ42,Table2[ModelID],0))</f>
        <v>CombinationTest</v>
      </c>
      <c r="BT42" t="b">
        <f>INDEX(Table2[UseCC],MATCH(BQ42,Table2[ModelID],0))</f>
        <v>0</v>
      </c>
      <c r="BU42" s="13">
        <f>INDEX(Table2[SelectionParmeter],MATCH(BQ42,Table2[ModelID],0))</f>
        <v>0.75</v>
      </c>
      <c r="BV42" s="12" t="str">
        <f>INDEX(Table2[info_frac],MATCH(BQ42,Table2[ModelID],0))</f>
        <v>c(0.75,1)</v>
      </c>
      <c r="BW42" s="14">
        <f>INDEX(Table2[FWER],MATCH(BQ42,Table2[ModelID],0))</f>
        <v>2.8061699999999998E-2</v>
      </c>
      <c r="BX42" t="str">
        <f>INDEX(Table2[CI_95perc_FWER],MATCH(BQ42,Table2[ModelID],0))</f>
        <v>(0.02571,0.03041)</v>
      </c>
    </row>
    <row r="43" spans="1:76" x14ac:dyDescent="0.25">
      <c r="A43">
        <v>73</v>
      </c>
      <c r="B43" t="s">
        <v>333</v>
      </c>
      <c r="C43">
        <v>343</v>
      </c>
      <c r="D43">
        <v>2.4937424999999999E-2</v>
      </c>
      <c r="E43">
        <v>0</v>
      </c>
      <c r="F43">
        <v>0</v>
      </c>
      <c r="G43">
        <v>2.4937424999999999E-2</v>
      </c>
      <c r="H43" t="s">
        <v>334</v>
      </c>
      <c r="I43" t="s">
        <v>52</v>
      </c>
      <c r="J43" t="s">
        <v>52</v>
      </c>
      <c r="K43" t="s">
        <v>334</v>
      </c>
      <c r="L43">
        <f>_xlfn.NUMBERVALUE(MID(Table2[[#This Row],[CI_95perc_FWER]],2,FIND(",",Table2[[#This Row],[CI_95perc_FWER]])-2))</f>
        <v>2.4029999999999999E-2</v>
      </c>
      <c r="M43">
        <f>_xlfn.NUMBERVALUE(MID(Table2[[#This Row],[CI_95perc_FWER]],FIND(",",Table2[[#This Row],[CI_95perc_FWER]])+1, LEN(Table2[[#This Row],[CI_95perc_FWER]])-FIND(",",Table2[[#This Row],[CI_95perc_FWER]])-1))</f>
        <v>2.5850000000000001E-2</v>
      </c>
      <c r="N43" s="1">
        <v>28476</v>
      </c>
      <c r="O43" t="s">
        <v>335</v>
      </c>
      <c r="P43">
        <v>1.69775827162796</v>
      </c>
      <c r="Q43" t="s">
        <v>54</v>
      </c>
      <c r="R43" t="s">
        <v>55</v>
      </c>
      <c r="S43">
        <v>1000</v>
      </c>
      <c r="T43">
        <f>IF(OR(Table2[[#This Row],[SampleSize]]=5000,Table2[[#This Row],[SampleSize]]=10000),"&gt;=5k",Table2[[#This Row],[SampleSize]])</f>
        <v>1000</v>
      </c>
      <c r="U43">
        <v>2.5000000000000001E-2</v>
      </c>
      <c r="V43" t="s">
        <v>56</v>
      </c>
      <c r="W43" t="s">
        <v>56</v>
      </c>
      <c r="X43" t="s">
        <v>57</v>
      </c>
      <c r="Y43" t="s">
        <v>58</v>
      </c>
      <c r="Z43">
        <v>3</v>
      </c>
      <c r="AA43">
        <v>1</v>
      </c>
      <c r="AB43" t="s">
        <v>59</v>
      </c>
      <c r="AC43" t="s">
        <v>56</v>
      </c>
      <c r="AD43" t="s">
        <v>56</v>
      </c>
      <c r="AE43" t="s">
        <v>60</v>
      </c>
      <c r="AF43" t="s">
        <v>61</v>
      </c>
      <c r="AG43" t="s">
        <v>62</v>
      </c>
      <c r="AH43" t="s">
        <v>63</v>
      </c>
      <c r="AI43" t="s">
        <v>64</v>
      </c>
      <c r="AJ43" t="s">
        <v>65</v>
      </c>
      <c r="AK43" t="s">
        <v>97</v>
      </c>
      <c r="AL43" t="s">
        <v>67</v>
      </c>
      <c r="AM43" t="b">
        <v>0</v>
      </c>
      <c r="AN43" t="b">
        <v>1</v>
      </c>
      <c r="AO43">
        <v>1</v>
      </c>
      <c r="AP43">
        <v>1</v>
      </c>
      <c r="AQ43" t="s">
        <v>77</v>
      </c>
      <c r="AR43" t="s">
        <v>78</v>
      </c>
      <c r="AS43">
        <v>0.75</v>
      </c>
      <c r="AT43" t="b">
        <v>1</v>
      </c>
      <c r="AU43" t="s">
        <v>36</v>
      </c>
      <c r="AV43">
        <v>20000</v>
      </c>
      <c r="AW43">
        <v>2000</v>
      </c>
      <c r="AX43">
        <v>343</v>
      </c>
      <c r="AY43" t="b">
        <v>1</v>
      </c>
      <c r="AZ43" t="b">
        <v>0</v>
      </c>
      <c r="BA43" t="b">
        <v>1</v>
      </c>
      <c r="BB43" t="b">
        <v>1</v>
      </c>
      <c r="BC43">
        <v>0</v>
      </c>
      <c r="BD43" t="s">
        <v>317</v>
      </c>
      <c r="BE43">
        <v>7</v>
      </c>
      <c r="BH43">
        <v>28</v>
      </c>
      <c r="BI43">
        <f>INDEX(Table2[SampleSize],MATCH(BH43,Table2[ModelID],0))</f>
        <v>400</v>
      </c>
      <c r="BJ43" t="str">
        <f>INDEX(Table2[FWERControl],MATCH(BH43,Table2[ModelID],0))</f>
        <v>None</v>
      </c>
      <c r="BK43" t="b">
        <f>INDEX(Table2[UseCC],MATCH(BH43,Table2[ModelID],0))</f>
        <v>0</v>
      </c>
      <c r="BL43" s="13">
        <f>INDEX(Table2[SelectionParmeter],MATCH(BH43,Table2[ModelID],0))</f>
        <v>0.75</v>
      </c>
      <c r="BM43" s="12" t="str">
        <f>INDEX(Table2[info_frac],MATCH(BH43,Table2[ModelID],0))</f>
        <v>c(0.5,1)</v>
      </c>
      <c r="BN43" s="14">
        <f>INDEX(Table2[FWER],MATCH(BH43,Table2[ModelID],0))</f>
        <v>2.7294300000000001E-2</v>
      </c>
      <c r="BO43" t="str">
        <f>INDEX(Table2[CI_95perc_FWER],MATCH(BH43,Table2[ModelID],0))</f>
        <v>(0.02585,0.02874)</v>
      </c>
      <c r="BQ43">
        <v>36</v>
      </c>
      <c r="BR43">
        <f>INDEX(Table2[SampleSize],MATCH(BQ43,Table2[ModelID],0))</f>
        <v>600</v>
      </c>
      <c r="BS43" t="str">
        <f>INDEX(Table2[FWERControl],MATCH(BQ43,Table2[ModelID],0))</f>
        <v>CombinationTest</v>
      </c>
      <c r="BT43" t="b">
        <f>INDEX(Table2[UseCC],MATCH(BQ43,Table2[ModelID],0))</f>
        <v>1</v>
      </c>
      <c r="BU43" s="13">
        <f>INDEX(Table2[SelectionParmeter],MATCH(BQ43,Table2[ModelID],0))</f>
        <v>0.75</v>
      </c>
      <c r="BV43" s="12" t="str">
        <f>INDEX(Table2[info_frac],MATCH(BQ43,Table2[ModelID],0))</f>
        <v>c(0.75,1)</v>
      </c>
      <c r="BW43" s="14">
        <f>INDEX(Table2[FWER],MATCH(BQ43,Table2[ModelID],0))</f>
        <v>2.6209799999999998E-2</v>
      </c>
      <c r="BX43" t="str">
        <f>INDEX(Table2[CI_95perc_FWER],MATCH(BQ43,Table2[ModelID],0))</f>
        <v>(0.02391,0.02851)</v>
      </c>
    </row>
    <row r="44" spans="1:76" x14ac:dyDescent="0.25">
      <c r="A44">
        <v>74</v>
      </c>
      <c r="B44" t="s">
        <v>336</v>
      </c>
      <c r="C44">
        <v>4346</v>
      </c>
      <c r="D44">
        <v>2.3796600000000001E-2</v>
      </c>
      <c r="E44">
        <v>0</v>
      </c>
      <c r="F44">
        <v>0</v>
      </c>
      <c r="G44">
        <v>2.3796600000000001E-2</v>
      </c>
      <c r="H44" t="s">
        <v>337</v>
      </c>
      <c r="I44" t="s">
        <v>52</v>
      </c>
      <c r="J44" t="s">
        <v>52</v>
      </c>
      <c r="K44" t="s">
        <v>337</v>
      </c>
      <c r="L44">
        <f>_xlfn.NUMBERVALUE(MID(Table2[[#This Row],[CI_95perc_FWER]],2,FIND(",",Table2[[#This Row],[CI_95perc_FWER]])-2))</f>
        <v>2.2880000000000001E-2</v>
      </c>
      <c r="M44">
        <f>_xlfn.NUMBERVALUE(MID(Table2[[#This Row],[CI_95perc_FWER]],FIND(",",Table2[[#This Row],[CI_95perc_FWER]])+1, LEN(Table2[[#This Row],[CI_95perc_FWER]])-FIND(",",Table2[[#This Row],[CI_95perc_FWER]])-1))</f>
        <v>2.4709999999999999E-2</v>
      </c>
      <c r="N44" s="1">
        <v>27446</v>
      </c>
      <c r="O44" t="s">
        <v>338</v>
      </c>
      <c r="P44">
        <v>0.701999331712723</v>
      </c>
      <c r="Q44" t="s">
        <v>54</v>
      </c>
      <c r="R44" t="s">
        <v>55</v>
      </c>
      <c r="S44">
        <v>1000</v>
      </c>
      <c r="T44">
        <f>IF(OR(Table2[[#This Row],[SampleSize]]=5000,Table2[[#This Row],[SampleSize]]=10000),"&gt;=5k",Table2[[#This Row],[SampleSize]])</f>
        <v>1000</v>
      </c>
      <c r="U44">
        <v>2.5000000000000001E-2</v>
      </c>
      <c r="V44" t="s">
        <v>56</v>
      </c>
      <c r="W44" t="s">
        <v>56</v>
      </c>
      <c r="X44" t="s">
        <v>57</v>
      </c>
      <c r="Y44" t="s">
        <v>58</v>
      </c>
      <c r="Z44">
        <v>3</v>
      </c>
      <c r="AA44">
        <v>1</v>
      </c>
      <c r="AB44" t="s">
        <v>59</v>
      </c>
      <c r="AC44" t="s">
        <v>56</v>
      </c>
      <c r="AD44" t="s">
        <v>56</v>
      </c>
      <c r="AE44" t="s">
        <v>60</v>
      </c>
      <c r="AF44" t="s">
        <v>61</v>
      </c>
      <c r="AG44" t="s">
        <v>62</v>
      </c>
      <c r="AH44" t="s">
        <v>63</v>
      </c>
      <c r="AI44" t="s">
        <v>64</v>
      </c>
      <c r="AJ44" t="s">
        <v>65</v>
      </c>
      <c r="AK44" t="s">
        <v>97</v>
      </c>
      <c r="AL44" t="s">
        <v>67</v>
      </c>
      <c r="AM44" t="b">
        <v>0</v>
      </c>
      <c r="AN44" t="b">
        <v>1</v>
      </c>
      <c r="AO44">
        <v>1</v>
      </c>
      <c r="AP44">
        <v>1</v>
      </c>
      <c r="AQ44" t="s">
        <v>77</v>
      </c>
      <c r="AR44" t="s">
        <v>78</v>
      </c>
      <c r="AS44">
        <v>0.25</v>
      </c>
      <c r="AT44" t="b">
        <v>1</v>
      </c>
      <c r="AU44" t="s">
        <v>36</v>
      </c>
      <c r="AV44">
        <v>20000</v>
      </c>
      <c r="AW44">
        <v>2000</v>
      </c>
      <c r="AX44">
        <v>4346</v>
      </c>
      <c r="AY44" t="b">
        <v>1</v>
      </c>
      <c r="AZ44" t="b">
        <v>0</v>
      </c>
      <c r="BA44" t="b">
        <v>1</v>
      </c>
      <c r="BB44" t="b">
        <v>1</v>
      </c>
      <c r="BC44">
        <v>0</v>
      </c>
      <c r="BD44" t="s">
        <v>317</v>
      </c>
      <c r="BE44">
        <v>3</v>
      </c>
      <c r="BH44">
        <v>44</v>
      </c>
      <c r="BI44">
        <f>INDEX(Table2[SampleSize],MATCH(BH44,Table2[ModelID],0))</f>
        <v>400</v>
      </c>
      <c r="BJ44" t="str">
        <f>INDEX(Table2[FWERControl],MATCH(BH44,Table2[ModelID],0))</f>
        <v>CombinationTest</v>
      </c>
      <c r="BK44" t="b">
        <f>INDEX(Table2[UseCC],MATCH(BH44,Table2[ModelID],0))</f>
        <v>1</v>
      </c>
      <c r="BL44" s="13">
        <f>INDEX(Table2[SelectionParmeter],MATCH(BH44,Table2[ModelID],0))</f>
        <v>0.75</v>
      </c>
      <c r="BM44" s="12" t="str">
        <f>INDEX(Table2[info_frac],MATCH(BH44,Table2[ModelID],0))</f>
        <v>c(0.5,1)</v>
      </c>
      <c r="BN44" s="14">
        <f>INDEX(Table2[FWER],MATCH(BH44,Table2[ModelID],0))</f>
        <v>2.5852699999999999E-2</v>
      </c>
      <c r="BO44" t="str">
        <f>INDEX(Table2[CI_95perc_FWER],MATCH(BH44,Table2[ModelID],0))</f>
        <v>(0.02448,0.02723)</v>
      </c>
      <c r="BQ44">
        <v>108</v>
      </c>
      <c r="BR44">
        <f>INDEX(Table2[SampleSize],MATCH(BQ44,Table2[ModelID],0))</f>
        <v>1000</v>
      </c>
      <c r="BS44" t="str">
        <f>INDEX(Table2[FWERControl],MATCH(BQ44,Table2[ModelID],0))</f>
        <v>CombinationTest</v>
      </c>
      <c r="BT44" t="b">
        <f>INDEX(Table2[UseCC],MATCH(BQ44,Table2[ModelID],0))</f>
        <v>1</v>
      </c>
      <c r="BU44" s="13">
        <f>INDEX(Table2[SelectionParmeter],MATCH(BQ44,Table2[ModelID],0))</f>
        <v>0.75</v>
      </c>
      <c r="BV44" s="12" t="str">
        <f>INDEX(Table2[info_frac],MATCH(BQ44,Table2[ModelID],0))</f>
        <v>c(0.75,1)</v>
      </c>
      <c r="BW44" s="14">
        <f>INDEX(Table2[FWER],MATCH(BQ44,Table2[ModelID],0))</f>
        <v>2.4838275E-2</v>
      </c>
      <c r="BX44" t="str">
        <f>INDEX(Table2[CI_95perc_FWER],MATCH(BQ44,Table2[ModelID],0))</f>
        <v>(0.02333,0.02635)</v>
      </c>
    </row>
    <row r="45" spans="1:76" x14ac:dyDescent="0.25">
      <c r="A45">
        <v>75</v>
      </c>
      <c r="B45" t="s">
        <v>339</v>
      </c>
      <c r="C45">
        <v>2300</v>
      </c>
      <c r="D45">
        <v>2.5166424999999999E-2</v>
      </c>
      <c r="E45">
        <v>0</v>
      </c>
      <c r="F45">
        <v>0</v>
      </c>
      <c r="G45">
        <v>2.5166424999999999E-2</v>
      </c>
      <c r="H45" t="s">
        <v>340</v>
      </c>
      <c r="I45" t="s">
        <v>52</v>
      </c>
      <c r="J45" t="s">
        <v>52</v>
      </c>
      <c r="K45" t="s">
        <v>340</v>
      </c>
      <c r="L45">
        <f>_xlfn.NUMBERVALUE(MID(Table2[[#This Row],[CI_95perc_FWER]],2,FIND(",",Table2[[#This Row],[CI_95perc_FWER]])-2))</f>
        <v>2.4250000000000001E-2</v>
      </c>
      <c r="M45">
        <f>_xlfn.NUMBERVALUE(MID(Table2[[#This Row],[CI_95perc_FWER]],FIND(",",Table2[[#This Row],[CI_95perc_FWER]])+1, LEN(Table2[[#This Row],[CI_95perc_FWER]])-FIND(",",Table2[[#This Row],[CI_95perc_FWER]])-1))</f>
        <v>2.6089999999999999E-2</v>
      </c>
      <c r="N45" s="1">
        <v>29477</v>
      </c>
      <c r="O45" t="s">
        <v>341</v>
      </c>
      <c r="P45">
        <v>1.9568133172724</v>
      </c>
      <c r="Q45" t="s">
        <v>54</v>
      </c>
      <c r="R45" t="s">
        <v>55</v>
      </c>
      <c r="S45">
        <v>1000</v>
      </c>
      <c r="T45">
        <f>IF(OR(Table2[[#This Row],[SampleSize]]=5000,Table2[[#This Row],[SampleSize]]=10000),"&gt;=5k",Table2[[#This Row],[SampleSize]])</f>
        <v>1000</v>
      </c>
      <c r="U45">
        <v>2.5000000000000001E-2</v>
      </c>
      <c r="V45" t="s">
        <v>56</v>
      </c>
      <c r="W45" t="s">
        <v>56</v>
      </c>
      <c r="X45" t="s">
        <v>57</v>
      </c>
      <c r="Y45" t="s">
        <v>58</v>
      </c>
      <c r="Z45">
        <v>3</v>
      </c>
      <c r="AA45">
        <v>1</v>
      </c>
      <c r="AB45" t="s">
        <v>59</v>
      </c>
      <c r="AC45" t="s">
        <v>56</v>
      </c>
      <c r="AD45" t="s">
        <v>56</v>
      </c>
      <c r="AE45" t="s">
        <v>60</v>
      </c>
      <c r="AF45" t="s">
        <v>61</v>
      </c>
      <c r="AG45" t="s">
        <v>62</v>
      </c>
      <c r="AH45" t="s">
        <v>63</v>
      </c>
      <c r="AI45" t="s">
        <v>64</v>
      </c>
      <c r="AJ45" t="s">
        <v>65</v>
      </c>
      <c r="AK45" t="s">
        <v>97</v>
      </c>
      <c r="AL45" t="s">
        <v>67</v>
      </c>
      <c r="AM45" t="b">
        <v>0</v>
      </c>
      <c r="AN45" t="b">
        <v>1</v>
      </c>
      <c r="AO45">
        <v>1</v>
      </c>
      <c r="AP45">
        <v>1</v>
      </c>
      <c r="AQ45" t="s">
        <v>77</v>
      </c>
      <c r="AR45" t="s">
        <v>73</v>
      </c>
      <c r="AS45">
        <v>2</v>
      </c>
      <c r="AT45" t="b">
        <v>1</v>
      </c>
      <c r="AU45" t="s">
        <v>36</v>
      </c>
      <c r="AV45">
        <v>20000</v>
      </c>
      <c r="AW45">
        <v>2000</v>
      </c>
      <c r="AX45">
        <v>2300</v>
      </c>
      <c r="AY45" t="b">
        <v>1</v>
      </c>
      <c r="AZ45" t="b">
        <v>0</v>
      </c>
      <c r="BA45" t="b">
        <v>1</v>
      </c>
      <c r="BB45" t="b">
        <v>1</v>
      </c>
      <c r="BC45">
        <v>0</v>
      </c>
      <c r="BD45" t="s">
        <v>317</v>
      </c>
      <c r="BE45">
        <v>11</v>
      </c>
      <c r="BH45">
        <v>52</v>
      </c>
      <c r="BI45">
        <f>INDEX(Table2[SampleSize],MATCH(BH45,Table2[ModelID],0))</f>
        <v>400</v>
      </c>
      <c r="BJ45" t="str">
        <f>INDEX(Table2[FWERControl],MATCH(BH45,Table2[ModelID],0))</f>
        <v>None</v>
      </c>
      <c r="BK45" t="b">
        <f>INDEX(Table2[UseCC],MATCH(BH45,Table2[ModelID],0))</f>
        <v>1</v>
      </c>
      <c r="BL45" s="13">
        <f>INDEX(Table2[SelectionParmeter],MATCH(BH45,Table2[ModelID],0))</f>
        <v>0.75</v>
      </c>
      <c r="BM45" s="12" t="str">
        <f>INDEX(Table2[info_frac],MATCH(BH45,Table2[ModelID],0))</f>
        <v>c(0.5,1)</v>
      </c>
      <c r="BN45" s="14">
        <f>INDEX(Table2[FWER],MATCH(BH45,Table2[ModelID],0))</f>
        <v>2.61043E-2</v>
      </c>
      <c r="BO45" t="str">
        <f>INDEX(Table2[CI_95perc_FWER],MATCH(BH45,Table2[ModelID],0))</f>
        <v>(0.02473,0.02747)</v>
      </c>
      <c r="BQ45">
        <v>109</v>
      </c>
      <c r="BR45">
        <f>INDEX(Table2[SampleSize],MATCH(BQ45,Table2[ModelID],0))</f>
        <v>3000</v>
      </c>
      <c r="BS45" t="str">
        <f>INDEX(Table2[FWERControl],MATCH(BQ45,Table2[ModelID],0))</f>
        <v>CombinationTest</v>
      </c>
      <c r="BT45" t="b">
        <f>INDEX(Table2[UseCC],MATCH(BQ45,Table2[ModelID],0))</f>
        <v>1</v>
      </c>
      <c r="BU45" s="13">
        <f>INDEX(Table2[SelectionParmeter],MATCH(BQ45,Table2[ModelID],0))</f>
        <v>0.75</v>
      </c>
      <c r="BV45" s="12" t="str">
        <f>INDEX(Table2[info_frac],MATCH(BQ45,Table2[ModelID],0))</f>
        <v>c(0.75,1)</v>
      </c>
      <c r="BW45" s="14">
        <f>INDEX(Table2[FWER],MATCH(BQ45,Table2[ModelID],0))</f>
        <v>2.6484575E-2</v>
      </c>
      <c r="BX45" t="str">
        <f>INDEX(Table2[CI_95perc_FWER],MATCH(BQ45,Table2[ModelID],0))</f>
        <v>(0.02489,0.02808)</v>
      </c>
    </row>
    <row r="46" spans="1:76" x14ac:dyDescent="0.25">
      <c r="A46">
        <v>76</v>
      </c>
      <c r="B46" t="s">
        <v>342</v>
      </c>
      <c r="C46">
        <v>2402</v>
      </c>
      <c r="D46">
        <v>2.5045524999999999E-2</v>
      </c>
      <c r="E46">
        <v>0</v>
      </c>
      <c r="F46">
        <v>0</v>
      </c>
      <c r="G46">
        <v>2.5045524999999999E-2</v>
      </c>
      <c r="H46" t="s">
        <v>343</v>
      </c>
      <c r="I46" t="s">
        <v>52</v>
      </c>
      <c r="J46" t="s">
        <v>52</v>
      </c>
      <c r="K46" t="s">
        <v>343</v>
      </c>
      <c r="L46">
        <f>_xlfn.NUMBERVALUE(MID(Table2[[#This Row],[CI_95perc_FWER]],2,FIND(",",Table2[[#This Row],[CI_95perc_FWER]])-2))</f>
        <v>2.4129999999999999E-2</v>
      </c>
      <c r="M46">
        <f>_xlfn.NUMBERVALUE(MID(Table2[[#This Row],[CI_95perc_FWER]],FIND(",",Table2[[#This Row],[CI_95perc_FWER]])+1, LEN(Table2[[#This Row],[CI_95perc_FWER]])-FIND(",",Table2[[#This Row],[CI_95perc_FWER]])-1))</f>
        <v>2.597E-2</v>
      </c>
      <c r="N46" s="1">
        <v>29474</v>
      </c>
      <c r="O46" t="s">
        <v>344</v>
      </c>
      <c r="P46">
        <v>1.2638709744479899</v>
      </c>
      <c r="Q46" t="s">
        <v>54</v>
      </c>
      <c r="R46" t="s">
        <v>55</v>
      </c>
      <c r="S46">
        <v>1000</v>
      </c>
      <c r="T46">
        <f>IF(OR(Table2[[#This Row],[SampleSize]]=5000,Table2[[#This Row],[SampleSize]]=10000),"&gt;=5k",Table2[[#This Row],[SampleSize]])</f>
        <v>1000</v>
      </c>
      <c r="U46">
        <v>2.5000000000000001E-2</v>
      </c>
      <c r="V46" t="s">
        <v>56</v>
      </c>
      <c r="W46" t="s">
        <v>56</v>
      </c>
      <c r="X46" t="s">
        <v>57</v>
      </c>
      <c r="Y46" t="s">
        <v>58</v>
      </c>
      <c r="Z46">
        <v>3</v>
      </c>
      <c r="AA46">
        <v>1</v>
      </c>
      <c r="AB46" t="s">
        <v>59</v>
      </c>
      <c r="AC46" t="s">
        <v>56</v>
      </c>
      <c r="AD46" t="s">
        <v>56</v>
      </c>
      <c r="AE46" t="s">
        <v>60</v>
      </c>
      <c r="AF46" t="s">
        <v>61</v>
      </c>
      <c r="AG46" t="s">
        <v>62</v>
      </c>
      <c r="AH46" t="s">
        <v>63</v>
      </c>
      <c r="AI46" t="s">
        <v>64</v>
      </c>
      <c r="AJ46" t="s">
        <v>65</v>
      </c>
      <c r="AK46" t="s">
        <v>97</v>
      </c>
      <c r="AL46" t="s">
        <v>67</v>
      </c>
      <c r="AM46" t="b">
        <v>0</v>
      </c>
      <c r="AN46" t="b">
        <v>1</v>
      </c>
      <c r="AO46">
        <v>1</v>
      </c>
      <c r="AP46">
        <v>1</v>
      </c>
      <c r="AQ46" t="s">
        <v>77</v>
      </c>
      <c r="AR46" t="s">
        <v>78</v>
      </c>
      <c r="AS46">
        <v>0.5</v>
      </c>
      <c r="AT46" t="b">
        <v>0</v>
      </c>
      <c r="AU46" t="s">
        <v>68</v>
      </c>
      <c r="AV46">
        <v>20000</v>
      </c>
      <c r="AW46">
        <v>2000</v>
      </c>
      <c r="AX46">
        <v>2402</v>
      </c>
      <c r="AY46" t="b">
        <v>1</v>
      </c>
      <c r="AZ46" t="b">
        <v>0</v>
      </c>
      <c r="BA46" t="b">
        <v>1</v>
      </c>
      <c r="BB46" t="b">
        <v>1</v>
      </c>
      <c r="BC46">
        <v>0</v>
      </c>
      <c r="BD46" t="s">
        <v>317</v>
      </c>
      <c r="BE46">
        <v>5</v>
      </c>
      <c r="BH46">
        <v>68</v>
      </c>
      <c r="BI46">
        <f>INDEX(Table2[SampleSize],MATCH(BH46,Table2[ModelID],0))</f>
        <v>1000</v>
      </c>
      <c r="BJ46" t="str">
        <f>INDEX(Table2[FWERControl],MATCH(BH46,Table2[ModelID],0))</f>
        <v>CombinationTest</v>
      </c>
      <c r="BK46" t="b">
        <f>INDEX(Table2[UseCC],MATCH(BH46,Table2[ModelID],0))</f>
        <v>0</v>
      </c>
      <c r="BL46" s="13">
        <f>INDEX(Table2[SelectionParmeter],MATCH(BH46,Table2[ModelID],0))</f>
        <v>0.75</v>
      </c>
      <c r="BM46" s="12" t="str">
        <f>INDEX(Table2[info_frac],MATCH(BH46,Table2[ModelID],0))</f>
        <v>c(0.5,1)</v>
      </c>
      <c r="BN46" s="14">
        <f>INDEX(Table2[FWER],MATCH(BH46,Table2[ModelID],0))</f>
        <v>2.5973550000000001E-2</v>
      </c>
      <c r="BO46" t="str">
        <f>INDEX(Table2[CI_95perc_FWER],MATCH(BH46,Table2[ModelID],0))</f>
        <v>(0.02503,0.02692)</v>
      </c>
      <c r="BQ46">
        <v>107</v>
      </c>
      <c r="BR46">
        <f>INDEX(Table2[SampleSize],MATCH(BQ46,Table2[ModelID],0))</f>
        <v>5000</v>
      </c>
      <c r="BS46" t="str">
        <f>INDEX(Table2[FWERControl],MATCH(BQ46,Table2[ModelID],0))</f>
        <v>CombinationTest</v>
      </c>
      <c r="BT46" t="b">
        <f>INDEX(Table2[UseCC],MATCH(BQ46,Table2[ModelID],0))</f>
        <v>1</v>
      </c>
      <c r="BU46" s="13">
        <f>INDEX(Table2[SelectionParmeter],MATCH(BQ46,Table2[ModelID],0))</f>
        <v>0.75</v>
      </c>
      <c r="BV46" s="12" t="str">
        <f>INDEX(Table2[info_frac],MATCH(BQ46,Table2[ModelID],0))</f>
        <v>c(0.75,1)</v>
      </c>
      <c r="BW46" s="14">
        <f>INDEX(Table2[FWER],MATCH(BQ46,Table2[ModelID],0))</f>
        <v>2.682785E-2</v>
      </c>
      <c r="BX46" t="str">
        <f>INDEX(Table2[CI_95perc_FWER],MATCH(BQ46,Table2[ModelID],0))</f>
        <v>(0.02522,0.02843)</v>
      </c>
    </row>
    <row r="47" spans="1:76" x14ac:dyDescent="0.25">
      <c r="A47">
        <v>88</v>
      </c>
      <c r="B47" t="s">
        <v>379</v>
      </c>
      <c r="C47">
        <v>64564</v>
      </c>
      <c r="D47">
        <v>2.48401E-2</v>
      </c>
      <c r="E47">
        <v>0</v>
      </c>
      <c r="F47">
        <v>0</v>
      </c>
      <c r="G47">
        <v>2.48401E-2</v>
      </c>
      <c r="H47" t="s">
        <v>380</v>
      </c>
      <c r="I47" t="s">
        <v>52</v>
      </c>
      <c r="J47" t="s">
        <v>52</v>
      </c>
      <c r="K47" t="s">
        <v>380</v>
      </c>
      <c r="L47">
        <f>_xlfn.NUMBERVALUE(MID(Table2[[#This Row],[CI_95perc_FWER]],2,FIND(",",Table2[[#This Row],[CI_95perc_FWER]])-2))</f>
        <v>2.3300000000000001E-2</v>
      </c>
      <c r="M47">
        <f>_xlfn.NUMBERVALUE(MID(Table2[[#This Row],[CI_95perc_FWER]],FIND(",",Table2[[#This Row],[CI_95perc_FWER]])+1, LEN(Table2[[#This Row],[CI_95perc_FWER]])-FIND(",",Table2[[#This Row],[CI_95perc_FWER]])-1))</f>
        <v>2.6380000000000001E-2</v>
      </c>
      <c r="N47" s="1">
        <v>200297</v>
      </c>
      <c r="O47" t="s">
        <v>381</v>
      </c>
      <c r="P47">
        <v>1.9949012300041</v>
      </c>
      <c r="Q47" t="s">
        <v>54</v>
      </c>
      <c r="R47" t="s">
        <v>55</v>
      </c>
      <c r="S47">
        <v>1000</v>
      </c>
      <c r="T47">
        <f>IF(OR(Table2[[#This Row],[SampleSize]]=5000,Table2[[#This Row],[SampleSize]]=10000),"&gt;=5k",Table2[[#This Row],[SampleSize]])</f>
        <v>1000</v>
      </c>
      <c r="U47">
        <v>2.5000000000000001E-2</v>
      </c>
      <c r="V47" t="s">
        <v>56</v>
      </c>
      <c r="W47" t="s">
        <v>56</v>
      </c>
      <c r="X47" t="s">
        <v>57</v>
      </c>
      <c r="Y47" t="s">
        <v>58</v>
      </c>
      <c r="Z47">
        <v>3</v>
      </c>
      <c r="AA47">
        <v>1</v>
      </c>
      <c r="AB47" t="s">
        <v>59</v>
      </c>
      <c r="AC47" t="s">
        <v>56</v>
      </c>
      <c r="AD47" t="s">
        <v>56</v>
      </c>
      <c r="AE47" t="s">
        <v>60</v>
      </c>
      <c r="AF47" t="s">
        <v>61</v>
      </c>
      <c r="AG47" t="s">
        <v>62</v>
      </c>
      <c r="AH47" t="s">
        <v>63</v>
      </c>
      <c r="AI47" t="s">
        <v>64</v>
      </c>
      <c r="AJ47" t="s">
        <v>65</v>
      </c>
      <c r="AK47" t="s">
        <v>66</v>
      </c>
      <c r="AL47" t="s">
        <v>67</v>
      </c>
      <c r="AM47" t="b">
        <v>0</v>
      </c>
      <c r="AN47" t="b">
        <v>0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68</v>
      </c>
      <c r="AV47">
        <v>20000</v>
      </c>
      <c r="AW47">
        <v>2000</v>
      </c>
      <c r="AX47">
        <v>64564</v>
      </c>
      <c r="AY47" t="b">
        <v>1</v>
      </c>
      <c r="AZ47" t="b">
        <v>0</v>
      </c>
      <c r="BA47" t="b">
        <v>1</v>
      </c>
      <c r="BB47" t="b">
        <v>0</v>
      </c>
      <c r="BC47">
        <v>1</v>
      </c>
      <c r="BD47" t="s">
        <v>378</v>
      </c>
      <c r="BE47">
        <v>2</v>
      </c>
      <c r="BH47">
        <v>73</v>
      </c>
      <c r="BI47">
        <f>INDEX(Table2[SampleSize],MATCH(BH47,Table2[ModelID],0))</f>
        <v>1000</v>
      </c>
      <c r="BJ47" t="str">
        <f>INDEX(Table2[FWERControl],MATCH(BH47,Table2[ModelID],0))</f>
        <v>CombinationTest</v>
      </c>
      <c r="BK47" t="b">
        <f>INDEX(Table2[UseCC],MATCH(BH47,Table2[ModelID],0))</f>
        <v>1</v>
      </c>
      <c r="BL47" s="13">
        <f>INDEX(Table2[SelectionParmeter],MATCH(BH47,Table2[ModelID],0))</f>
        <v>0.75</v>
      </c>
      <c r="BM47" s="12" t="str">
        <f>INDEX(Table2[info_frac],MATCH(BH47,Table2[ModelID],0))</f>
        <v>c(0.5,1)</v>
      </c>
      <c r="BN47" s="14">
        <f>INDEX(Table2[FWER],MATCH(BH47,Table2[ModelID],0))</f>
        <v>2.4937424999999999E-2</v>
      </c>
      <c r="BO47" t="str">
        <f>INDEX(Table2[CI_95perc_FWER],MATCH(BH47,Table2[ModelID],0))</f>
        <v>(0.02403,0.02585)</v>
      </c>
    </row>
    <row r="48" spans="1:76" x14ac:dyDescent="0.25">
      <c r="A48">
        <v>91</v>
      </c>
      <c r="B48" t="s">
        <v>388</v>
      </c>
      <c r="C48">
        <v>2300</v>
      </c>
      <c r="D48">
        <v>2.6474049999999999E-2</v>
      </c>
      <c r="E48">
        <v>0</v>
      </c>
      <c r="F48">
        <v>0</v>
      </c>
      <c r="G48">
        <v>2.6474049999999999E-2</v>
      </c>
      <c r="H48" t="s">
        <v>389</v>
      </c>
      <c r="I48" t="s">
        <v>52</v>
      </c>
      <c r="J48" t="s">
        <v>52</v>
      </c>
      <c r="K48" t="s">
        <v>389</v>
      </c>
      <c r="L48">
        <f>_xlfn.NUMBERVALUE(MID(Table2[[#This Row],[CI_95perc_FWER]],2,FIND(",",Table2[[#This Row],[CI_95perc_FWER]])-2))</f>
        <v>2.4899999999999999E-2</v>
      </c>
      <c r="M48">
        <f>_xlfn.NUMBERVALUE(MID(Table2[[#This Row],[CI_95perc_FWER]],FIND(",",Table2[[#This Row],[CI_95perc_FWER]])+1, LEN(Table2[[#This Row],[CI_95perc_FWER]])-FIND(",",Table2[[#This Row],[CI_95perc_FWER]])-1))</f>
        <v>2.8039999999999999E-2</v>
      </c>
      <c r="N48" s="1">
        <v>207352</v>
      </c>
      <c r="O48" t="s">
        <v>390</v>
      </c>
      <c r="P48">
        <v>1.9709368789196</v>
      </c>
      <c r="Q48" t="s">
        <v>54</v>
      </c>
      <c r="R48" t="s">
        <v>55</v>
      </c>
      <c r="S48">
        <v>1000</v>
      </c>
      <c r="T48">
        <f>IF(OR(Table2[[#This Row],[SampleSize]]=5000,Table2[[#This Row],[SampleSize]]=10000),"&gt;=5k",Table2[[#This Row],[SampleSize]])</f>
        <v>1000</v>
      </c>
      <c r="U48">
        <v>2.5000000000000001E-2</v>
      </c>
      <c r="V48" t="s">
        <v>56</v>
      </c>
      <c r="W48" t="s">
        <v>56</v>
      </c>
      <c r="X48" t="s">
        <v>57</v>
      </c>
      <c r="Y48" t="s">
        <v>58</v>
      </c>
      <c r="Z48">
        <v>3</v>
      </c>
      <c r="AA48">
        <v>1</v>
      </c>
      <c r="AB48" t="s">
        <v>59</v>
      </c>
      <c r="AC48" t="s">
        <v>56</v>
      </c>
      <c r="AD48" t="s">
        <v>56</v>
      </c>
      <c r="AE48" t="s">
        <v>60</v>
      </c>
      <c r="AF48" t="s">
        <v>61</v>
      </c>
      <c r="AG48" t="s">
        <v>62</v>
      </c>
      <c r="AH48" t="s">
        <v>63</v>
      </c>
      <c r="AI48" t="s">
        <v>64</v>
      </c>
      <c r="AJ48" t="s">
        <v>65</v>
      </c>
      <c r="AK48" t="s">
        <v>66</v>
      </c>
      <c r="AL48" t="s">
        <v>67</v>
      </c>
      <c r="AM48" t="b">
        <v>0</v>
      </c>
      <c r="AN48" t="b">
        <v>1</v>
      </c>
      <c r="AO48">
        <v>1</v>
      </c>
      <c r="AP48">
        <v>1</v>
      </c>
      <c r="AQ48" t="s">
        <v>77</v>
      </c>
      <c r="AR48" t="s">
        <v>73</v>
      </c>
      <c r="AS48">
        <v>2</v>
      </c>
      <c r="AT48" t="b">
        <v>1</v>
      </c>
      <c r="AU48" t="s">
        <v>36</v>
      </c>
      <c r="AV48">
        <v>20000</v>
      </c>
      <c r="AW48">
        <v>2000</v>
      </c>
      <c r="AX48">
        <v>2300</v>
      </c>
      <c r="AY48" t="b">
        <v>1</v>
      </c>
      <c r="AZ48" t="b">
        <v>0</v>
      </c>
      <c r="BA48" t="b">
        <v>1</v>
      </c>
      <c r="BB48" t="b">
        <v>0</v>
      </c>
      <c r="BC48">
        <v>4</v>
      </c>
      <c r="BD48" t="s">
        <v>378</v>
      </c>
      <c r="BE48">
        <v>12</v>
      </c>
      <c r="BH48">
        <v>78</v>
      </c>
      <c r="BI48">
        <f>INDEX(Table2[SampleSize],MATCH(BH48,Table2[ModelID],0))</f>
        <v>3000</v>
      </c>
      <c r="BJ48" t="str">
        <f>INDEX(Table2[FWERControl],MATCH(BH48,Table2[ModelID],0))</f>
        <v>CombinationTest</v>
      </c>
      <c r="BK48" t="b">
        <f>INDEX(Table2[UseCC],MATCH(BH48,Table2[ModelID],0))</f>
        <v>0</v>
      </c>
      <c r="BL48" s="13">
        <f>INDEX(Table2[SelectionParmeter],MATCH(BH48,Table2[ModelID],0))</f>
        <v>0.75</v>
      </c>
      <c r="BM48" s="12" t="str">
        <f>INDEX(Table2[info_frac],MATCH(BH48,Table2[ModelID],0))</f>
        <v>c(0.5,1)</v>
      </c>
      <c r="BN48" s="14">
        <f>INDEX(Table2[FWER],MATCH(BH48,Table2[ModelID],0))</f>
        <v>2.6058375000000002E-2</v>
      </c>
      <c r="BO48" t="str">
        <f>INDEX(Table2[CI_95perc_FWER],MATCH(BH48,Table2[ModelID],0))</f>
        <v>(0.0251,0.02701)</v>
      </c>
    </row>
    <row r="49" spans="1:76" x14ac:dyDescent="0.25">
      <c r="A49">
        <v>94</v>
      </c>
      <c r="B49" t="s">
        <v>396</v>
      </c>
      <c r="C49">
        <v>64564</v>
      </c>
      <c r="D49">
        <v>2.3939100000000001E-2</v>
      </c>
      <c r="E49">
        <v>0</v>
      </c>
      <c r="F49">
        <v>0</v>
      </c>
      <c r="G49">
        <v>2.3939100000000001E-2</v>
      </c>
      <c r="H49" t="s">
        <v>397</v>
      </c>
      <c r="I49" t="s">
        <v>52</v>
      </c>
      <c r="J49" t="s">
        <v>52</v>
      </c>
      <c r="K49" t="s">
        <v>397</v>
      </c>
      <c r="L49">
        <f>_xlfn.NUMBERVALUE(MID(Table2[[#This Row],[CI_95perc_FWER]],2,FIND(",",Table2[[#This Row],[CI_95perc_FWER]])-2))</f>
        <v>2.2429999999999999E-2</v>
      </c>
      <c r="M49">
        <f>_xlfn.NUMBERVALUE(MID(Table2[[#This Row],[CI_95perc_FWER]],FIND(",",Table2[[#This Row],[CI_95perc_FWER]])+1, LEN(Table2[[#This Row],[CI_95perc_FWER]])-FIND(",",Table2[[#This Row],[CI_95perc_FWER]])-1))</f>
        <v>2.545E-2</v>
      </c>
      <c r="N49" s="1">
        <v>193287</v>
      </c>
      <c r="O49" t="s">
        <v>398</v>
      </c>
      <c r="P49">
        <v>1.9661910441186701</v>
      </c>
      <c r="Q49" t="s">
        <v>54</v>
      </c>
      <c r="R49" t="s">
        <v>55</v>
      </c>
      <c r="S49">
        <v>1000</v>
      </c>
      <c r="T49">
        <f>IF(OR(Table2[[#This Row],[SampleSize]]=5000,Table2[[#This Row],[SampleSize]]=10000),"&gt;=5k",Table2[[#This Row],[SampleSize]])</f>
        <v>1000</v>
      </c>
      <c r="U49">
        <v>2.5000000000000001E-2</v>
      </c>
      <c r="V49" t="s">
        <v>56</v>
      </c>
      <c r="W49" t="s">
        <v>56</v>
      </c>
      <c r="X49" t="s">
        <v>57</v>
      </c>
      <c r="Y49" t="s">
        <v>58</v>
      </c>
      <c r="Z49">
        <v>3</v>
      </c>
      <c r="AA49">
        <v>1</v>
      </c>
      <c r="AB49" t="s">
        <v>59</v>
      </c>
      <c r="AC49" t="s">
        <v>56</v>
      </c>
      <c r="AD49" t="s">
        <v>56</v>
      </c>
      <c r="AE49" t="s">
        <v>60</v>
      </c>
      <c r="AF49" t="s">
        <v>61</v>
      </c>
      <c r="AG49" t="s">
        <v>62</v>
      </c>
      <c r="AH49" t="s">
        <v>63</v>
      </c>
      <c r="AI49" t="s">
        <v>64</v>
      </c>
      <c r="AJ49" t="s">
        <v>65</v>
      </c>
      <c r="AK49" t="s">
        <v>66</v>
      </c>
      <c r="AL49" t="s">
        <v>67</v>
      </c>
      <c r="AM49" t="b">
        <v>0</v>
      </c>
      <c r="AN49" t="b">
        <v>0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  <c r="AU49" t="s">
        <v>68</v>
      </c>
      <c r="AV49">
        <v>20000</v>
      </c>
      <c r="AW49">
        <v>2000</v>
      </c>
      <c r="AX49">
        <v>64564</v>
      </c>
      <c r="AY49" t="b">
        <v>1</v>
      </c>
      <c r="AZ49" t="b">
        <v>0</v>
      </c>
      <c r="BA49" t="b">
        <v>1</v>
      </c>
      <c r="BB49" t="b">
        <v>1</v>
      </c>
      <c r="BC49">
        <v>0</v>
      </c>
      <c r="BD49" t="s">
        <v>378</v>
      </c>
      <c r="BE49">
        <v>2</v>
      </c>
      <c r="BH49">
        <v>83</v>
      </c>
      <c r="BI49">
        <f>INDEX(Table2[SampleSize],MATCH(BH49,Table2[ModelID],0))</f>
        <v>3000</v>
      </c>
      <c r="BJ49" t="str">
        <f>INDEX(Table2[FWERControl],MATCH(BH49,Table2[ModelID],0))</f>
        <v>CombinationTest</v>
      </c>
      <c r="BK49" t="b">
        <f>INDEX(Table2[UseCC],MATCH(BH49,Table2[ModelID],0))</f>
        <v>1</v>
      </c>
      <c r="BL49" s="13">
        <f>INDEX(Table2[SelectionParmeter],MATCH(BH49,Table2[ModelID],0))</f>
        <v>0.75</v>
      </c>
      <c r="BM49" s="12" t="str">
        <f>INDEX(Table2[info_frac],MATCH(BH49,Table2[ModelID],0))</f>
        <v>c(0.5,1)</v>
      </c>
      <c r="BN49" s="14">
        <f>INDEX(Table2[FWER],MATCH(BH49,Table2[ModelID],0))</f>
        <v>2.5912825E-2</v>
      </c>
      <c r="BO49" t="str">
        <f>INDEX(Table2[CI_95perc_FWER],MATCH(BH49,Table2[ModelID],0))</f>
        <v>(0.02496,0.02687)</v>
      </c>
    </row>
    <row r="50" spans="1:76" x14ac:dyDescent="0.25">
      <c r="A50">
        <v>97</v>
      </c>
      <c r="B50" t="s">
        <v>404</v>
      </c>
      <c r="C50">
        <v>2300</v>
      </c>
      <c r="D50">
        <v>2.53793E-2</v>
      </c>
      <c r="E50">
        <v>0</v>
      </c>
      <c r="F50">
        <v>0</v>
      </c>
      <c r="G50">
        <v>2.53793E-2</v>
      </c>
      <c r="H50" t="s">
        <v>405</v>
      </c>
      <c r="I50" t="s">
        <v>52</v>
      </c>
      <c r="J50" t="s">
        <v>52</v>
      </c>
      <c r="K50" t="s">
        <v>405</v>
      </c>
      <c r="L50">
        <f>_xlfn.NUMBERVALUE(MID(Table2[[#This Row],[CI_95perc_FWER]],2,FIND(",",Table2[[#This Row],[CI_95perc_FWER]])-2))</f>
        <v>2.385E-2</v>
      </c>
      <c r="M50">
        <f>_xlfn.NUMBERVALUE(MID(Table2[[#This Row],[CI_95perc_FWER]],FIND(",",Table2[[#This Row],[CI_95perc_FWER]])+1, LEN(Table2[[#This Row],[CI_95perc_FWER]])-FIND(",",Table2[[#This Row],[CI_95perc_FWER]])-1))</f>
        <v>2.691E-2</v>
      </c>
      <c r="N50" s="1">
        <v>194338</v>
      </c>
      <c r="O50" t="s">
        <v>406</v>
      </c>
      <c r="P50">
        <v>1.9061309788624401</v>
      </c>
      <c r="Q50" t="s">
        <v>54</v>
      </c>
      <c r="R50" t="s">
        <v>55</v>
      </c>
      <c r="S50">
        <v>1000</v>
      </c>
      <c r="T50">
        <f>IF(OR(Table2[[#This Row],[SampleSize]]=5000,Table2[[#This Row],[SampleSize]]=10000),"&gt;=5k",Table2[[#This Row],[SampleSize]])</f>
        <v>1000</v>
      </c>
      <c r="U50">
        <v>2.5000000000000001E-2</v>
      </c>
      <c r="V50" t="s">
        <v>56</v>
      </c>
      <c r="W50" t="s">
        <v>56</v>
      </c>
      <c r="X50" t="s">
        <v>57</v>
      </c>
      <c r="Y50" t="s">
        <v>58</v>
      </c>
      <c r="Z50">
        <v>3</v>
      </c>
      <c r="AA50">
        <v>1</v>
      </c>
      <c r="AB50" t="s">
        <v>59</v>
      </c>
      <c r="AC50" t="s">
        <v>56</v>
      </c>
      <c r="AD50" t="s">
        <v>56</v>
      </c>
      <c r="AE50" t="s">
        <v>60</v>
      </c>
      <c r="AF50" t="s">
        <v>61</v>
      </c>
      <c r="AG50" t="s">
        <v>62</v>
      </c>
      <c r="AH50" t="s">
        <v>63</v>
      </c>
      <c r="AI50" t="s">
        <v>64</v>
      </c>
      <c r="AJ50" t="s">
        <v>65</v>
      </c>
      <c r="AK50" t="s">
        <v>66</v>
      </c>
      <c r="AL50" t="s">
        <v>67</v>
      </c>
      <c r="AM50" t="b">
        <v>0</v>
      </c>
      <c r="AN50" t="b">
        <v>1</v>
      </c>
      <c r="AO50">
        <v>1</v>
      </c>
      <c r="AP50">
        <v>1</v>
      </c>
      <c r="AQ50" t="s">
        <v>77</v>
      </c>
      <c r="AR50" t="s">
        <v>73</v>
      </c>
      <c r="AS50">
        <v>2</v>
      </c>
      <c r="AT50" t="b">
        <v>1</v>
      </c>
      <c r="AU50" t="s">
        <v>36</v>
      </c>
      <c r="AV50">
        <v>20000</v>
      </c>
      <c r="AW50">
        <v>2000</v>
      </c>
      <c r="AX50">
        <v>2300</v>
      </c>
      <c r="AY50" t="b">
        <v>1</v>
      </c>
      <c r="AZ50" t="b">
        <v>0</v>
      </c>
      <c r="BA50" t="b">
        <v>1</v>
      </c>
      <c r="BB50" t="b">
        <v>1</v>
      </c>
      <c r="BC50">
        <v>0</v>
      </c>
      <c r="BD50" t="s">
        <v>378</v>
      </c>
      <c r="BE50">
        <v>12</v>
      </c>
      <c r="BH50">
        <v>58</v>
      </c>
      <c r="BI50">
        <f>INDEX(Table2[SampleSize],MATCH(BH50,Table2[ModelID],0))</f>
        <v>10000</v>
      </c>
      <c r="BJ50" t="str">
        <f>INDEX(Table2[FWERControl],MATCH(BH50,Table2[ModelID],0))</f>
        <v>CombinationTest</v>
      </c>
      <c r="BK50" t="b">
        <f>INDEX(Table2[UseCC],MATCH(BH50,Table2[ModelID],0))</f>
        <v>0</v>
      </c>
      <c r="BL50" s="13">
        <f>INDEX(Table2[SelectionParmeter],MATCH(BH50,Table2[ModelID],0))</f>
        <v>0.75</v>
      </c>
      <c r="BM50" s="12" t="str">
        <f>INDEX(Table2[info_frac],MATCH(BH50,Table2[ModelID],0))</f>
        <v>c(0.5,1)</v>
      </c>
      <c r="BN50" s="14">
        <f>INDEX(Table2[FWER],MATCH(BH50,Table2[ModelID],0))</f>
        <v>2.5257149999999999E-2</v>
      </c>
      <c r="BO50" t="str">
        <f>INDEX(Table2[CI_95perc_FWER],MATCH(BH50,Table2[ModelID],0))</f>
        <v>(0.02436,0.02615)</v>
      </c>
    </row>
    <row r="51" spans="1:76" x14ac:dyDescent="0.25">
      <c r="A51">
        <v>100</v>
      </c>
      <c r="B51" t="s">
        <v>459</v>
      </c>
      <c r="C51">
        <v>70743</v>
      </c>
      <c r="D51">
        <v>2.4643200000000001E-2</v>
      </c>
      <c r="E51">
        <v>0</v>
      </c>
      <c r="F51">
        <v>0</v>
      </c>
      <c r="G51">
        <v>2.4643200000000001E-2</v>
      </c>
      <c r="H51" t="s">
        <v>460</v>
      </c>
      <c r="I51" t="s">
        <v>52</v>
      </c>
      <c r="J51" t="s">
        <v>52</v>
      </c>
      <c r="K51" t="s">
        <v>460</v>
      </c>
      <c r="L51">
        <f>_xlfn.NUMBERVALUE(MID(Table2[[#This Row],[CI_95perc_FWER]],2,FIND(",",Table2[[#This Row],[CI_95perc_FWER]])-2))</f>
        <v>2.332E-2</v>
      </c>
      <c r="M51">
        <f>_xlfn.NUMBERVALUE(MID(Table2[[#This Row],[CI_95perc_FWER]],FIND(",",Table2[[#This Row],[CI_95perc_FWER]])+1, LEN(Table2[[#This Row],[CI_95perc_FWER]])-FIND(",",Table2[[#This Row],[CI_95perc_FWER]])-1))</f>
        <v>2.596E-2</v>
      </c>
      <c r="N51" s="1">
        <v>19249</v>
      </c>
      <c r="O51" t="s">
        <v>461</v>
      </c>
      <c r="P51">
        <v>0.44520103057225502</v>
      </c>
      <c r="Q51" t="s">
        <v>54</v>
      </c>
      <c r="R51" t="s">
        <v>55</v>
      </c>
      <c r="S51">
        <v>1000</v>
      </c>
      <c r="T51">
        <f>IF(OR(Table2[[#This Row],[SampleSize]]=5000,Table2[[#This Row],[SampleSize]]=10000),"&gt;=5k",Table2[[#This Row],[SampleSize]])</f>
        <v>1000</v>
      </c>
      <c r="U51">
        <v>2.5000000000000001E-2</v>
      </c>
      <c r="V51" t="s">
        <v>56</v>
      </c>
      <c r="W51" t="s">
        <v>56</v>
      </c>
      <c r="X51" t="s">
        <v>57</v>
      </c>
      <c r="Y51" t="s">
        <v>68</v>
      </c>
      <c r="Z51">
        <v>3</v>
      </c>
      <c r="AA51">
        <v>1</v>
      </c>
      <c r="AB51" t="s">
        <v>59</v>
      </c>
      <c r="AC51" t="s">
        <v>56</v>
      </c>
      <c r="AD51" t="s">
        <v>56</v>
      </c>
      <c r="AE51" t="s">
        <v>60</v>
      </c>
      <c r="AF51" t="s">
        <v>61</v>
      </c>
      <c r="AG51" t="s">
        <v>62</v>
      </c>
      <c r="AH51" t="s">
        <v>63</v>
      </c>
      <c r="AI51" t="s">
        <v>64</v>
      </c>
      <c r="AJ51" t="s">
        <v>65</v>
      </c>
      <c r="AK51" t="s">
        <v>97</v>
      </c>
      <c r="AL51" t="s">
        <v>67</v>
      </c>
      <c r="AM51" t="b">
        <v>0</v>
      </c>
      <c r="AN51" t="b">
        <v>1</v>
      </c>
      <c r="AO51">
        <v>1</v>
      </c>
      <c r="AP51">
        <v>1</v>
      </c>
      <c r="AQ51" t="s">
        <v>72</v>
      </c>
      <c r="AR51" t="s">
        <v>73</v>
      </c>
      <c r="AS51">
        <v>1</v>
      </c>
      <c r="AT51" t="b">
        <v>0</v>
      </c>
      <c r="AU51" t="s">
        <v>68</v>
      </c>
      <c r="AV51">
        <v>10000</v>
      </c>
      <c r="AW51">
        <v>1000</v>
      </c>
      <c r="AX51">
        <v>70743</v>
      </c>
      <c r="AY51" t="b">
        <v>1</v>
      </c>
      <c r="AZ51" t="b">
        <v>0</v>
      </c>
      <c r="BA51" t="b">
        <v>1</v>
      </c>
      <c r="BB51" t="b">
        <v>1</v>
      </c>
      <c r="BC51" t="s">
        <v>56</v>
      </c>
      <c r="BD51" t="s">
        <v>56</v>
      </c>
      <c r="BE51">
        <v>9</v>
      </c>
      <c r="BH51">
        <v>63</v>
      </c>
      <c r="BI51">
        <f>INDEX(Table2[SampleSize],MATCH(BH51,Table2[ModelID],0))</f>
        <v>10000</v>
      </c>
      <c r="BJ51" t="str">
        <f>INDEX(Table2[FWERControl],MATCH(BH51,Table2[ModelID],0))</f>
        <v>CombinationTest</v>
      </c>
      <c r="BK51" t="b">
        <f>INDEX(Table2[UseCC],MATCH(BH51,Table2[ModelID],0))</f>
        <v>1</v>
      </c>
      <c r="BL51" s="13">
        <f>INDEX(Table2[SelectionParmeter],MATCH(BH51,Table2[ModelID],0))</f>
        <v>0.75</v>
      </c>
      <c r="BM51" s="12" t="str">
        <f>INDEX(Table2[info_frac],MATCH(BH51,Table2[ModelID],0))</f>
        <v>c(0.5,1)</v>
      </c>
      <c r="BN51" s="14">
        <f>INDEX(Table2[FWER],MATCH(BH51,Table2[ModelID],0))</f>
        <v>2.5157100000000002E-2</v>
      </c>
      <c r="BO51" t="str">
        <f>INDEX(Table2[CI_95perc_FWER],MATCH(BH51,Table2[ModelID],0))</f>
        <v>(0.02427,0.02605)</v>
      </c>
    </row>
    <row r="52" spans="1:76" x14ac:dyDescent="0.25">
      <c r="A52">
        <v>104</v>
      </c>
      <c r="B52" t="s">
        <v>459</v>
      </c>
      <c r="C52">
        <v>70743</v>
      </c>
      <c r="D52">
        <v>2.3941400000000002E-2</v>
      </c>
      <c r="E52">
        <v>0</v>
      </c>
      <c r="F52">
        <v>0</v>
      </c>
      <c r="G52">
        <v>2.3941400000000002E-2</v>
      </c>
      <c r="H52" t="s">
        <v>470</v>
      </c>
      <c r="I52" t="s">
        <v>52</v>
      </c>
      <c r="J52" t="s">
        <v>52</v>
      </c>
      <c r="K52" t="s">
        <v>470</v>
      </c>
      <c r="L52">
        <f>_xlfn.NUMBERVALUE(MID(Table2[[#This Row],[CI_95perc_FWER]],2,FIND(",",Table2[[#This Row],[CI_95perc_FWER]])-2))</f>
        <v>2.179E-2</v>
      </c>
      <c r="M52">
        <f>_xlfn.NUMBERVALUE(MID(Table2[[#This Row],[CI_95perc_FWER]],FIND(",",Table2[[#This Row],[CI_95perc_FWER]])+1, LEN(Table2[[#This Row],[CI_95perc_FWER]])-FIND(",",Table2[[#This Row],[CI_95perc_FWER]])-1))</f>
        <v>2.6089999999999999E-2</v>
      </c>
      <c r="N52" s="1">
        <v>98131</v>
      </c>
      <c r="O52" t="s">
        <v>471</v>
      </c>
      <c r="P52">
        <v>0.447735670010249</v>
      </c>
      <c r="Q52" t="s">
        <v>54</v>
      </c>
      <c r="R52" t="s">
        <v>55</v>
      </c>
      <c r="S52">
        <v>1000</v>
      </c>
      <c r="T52">
        <f>IF(OR(Table2[[#This Row],[SampleSize]]=5000,Table2[[#This Row],[SampleSize]]=10000),"&gt;=5k",Table2[[#This Row],[SampleSize]])</f>
        <v>1000</v>
      </c>
      <c r="U52">
        <v>2.5000000000000001E-2</v>
      </c>
      <c r="V52" t="s">
        <v>56</v>
      </c>
      <c r="W52" t="s">
        <v>56</v>
      </c>
      <c r="X52" t="s">
        <v>57</v>
      </c>
      <c r="Y52" t="s">
        <v>68</v>
      </c>
      <c r="Z52">
        <v>3</v>
      </c>
      <c r="AA52">
        <v>1</v>
      </c>
      <c r="AB52" t="s">
        <v>59</v>
      </c>
      <c r="AC52" t="s">
        <v>56</v>
      </c>
      <c r="AD52" t="s">
        <v>56</v>
      </c>
      <c r="AE52" t="s">
        <v>60</v>
      </c>
      <c r="AF52" t="s">
        <v>61</v>
      </c>
      <c r="AG52" t="s">
        <v>62</v>
      </c>
      <c r="AH52" t="s">
        <v>63</v>
      </c>
      <c r="AI52" t="s">
        <v>64</v>
      </c>
      <c r="AJ52" t="s">
        <v>65</v>
      </c>
      <c r="AK52" t="s">
        <v>66</v>
      </c>
      <c r="AL52" t="s">
        <v>67</v>
      </c>
      <c r="AM52" t="b">
        <v>0</v>
      </c>
      <c r="AN52" t="b">
        <v>1</v>
      </c>
      <c r="AO52">
        <v>1</v>
      </c>
      <c r="AP52">
        <v>1</v>
      </c>
      <c r="AQ52" t="s">
        <v>72</v>
      </c>
      <c r="AR52" t="s">
        <v>73</v>
      </c>
      <c r="AS52">
        <v>1</v>
      </c>
      <c r="AT52" t="b">
        <v>0</v>
      </c>
      <c r="AU52" t="s">
        <v>68</v>
      </c>
      <c r="AV52">
        <v>10000</v>
      </c>
      <c r="AW52">
        <v>1000</v>
      </c>
      <c r="AX52">
        <v>70743</v>
      </c>
      <c r="AY52" t="b">
        <v>1</v>
      </c>
      <c r="AZ52" t="b">
        <v>0</v>
      </c>
      <c r="BA52" t="b">
        <v>1</v>
      </c>
      <c r="BB52" t="b">
        <v>1</v>
      </c>
      <c r="BC52" t="s">
        <v>56</v>
      </c>
      <c r="BD52" t="s">
        <v>56</v>
      </c>
      <c r="BE52">
        <v>10</v>
      </c>
    </row>
    <row r="53" spans="1:76" x14ac:dyDescent="0.25">
      <c r="A53">
        <v>108</v>
      </c>
      <c r="B53" t="s">
        <v>333</v>
      </c>
      <c r="C53">
        <v>343</v>
      </c>
      <c r="D53">
        <v>2.4838275E-2</v>
      </c>
      <c r="E53">
        <v>0</v>
      </c>
      <c r="F53">
        <v>0</v>
      </c>
      <c r="G53">
        <v>2.4838275E-2</v>
      </c>
      <c r="H53" t="s">
        <v>478</v>
      </c>
      <c r="I53" t="s">
        <v>52</v>
      </c>
      <c r="J53" t="s">
        <v>52</v>
      </c>
      <c r="K53" t="s">
        <v>478</v>
      </c>
      <c r="L53">
        <f>_xlfn.NUMBERVALUE(MID(Table2[[#This Row],[CI_95perc_FWER]],2,FIND(",",Table2[[#This Row],[CI_95perc_FWER]])-2))</f>
        <v>2.333E-2</v>
      </c>
      <c r="M53">
        <f>_xlfn.NUMBERVALUE(MID(Table2[[#This Row],[CI_95perc_FWER]],FIND(",",Table2[[#This Row],[CI_95perc_FWER]])+1, LEN(Table2[[#This Row],[CI_95perc_FWER]])-FIND(",",Table2[[#This Row],[CI_95perc_FWER]])-1))</f>
        <v>2.6349999999999998E-2</v>
      </c>
      <c r="N53" s="1">
        <v>188332</v>
      </c>
      <c r="O53" t="s">
        <v>479</v>
      </c>
      <c r="P53">
        <v>1.6787435199817</v>
      </c>
      <c r="Q53" t="s">
        <v>54</v>
      </c>
      <c r="R53" t="s">
        <v>55</v>
      </c>
      <c r="S53">
        <v>1000</v>
      </c>
      <c r="T53">
        <f>IF(OR(Table2[[#This Row],[SampleSize]]=5000,Table2[[#This Row],[SampleSize]]=10000),"&gt;=5k",Table2[[#This Row],[SampleSize]])</f>
        <v>1000</v>
      </c>
      <c r="U53">
        <v>2.5000000000000001E-2</v>
      </c>
      <c r="V53" t="s">
        <v>56</v>
      </c>
      <c r="W53" t="s">
        <v>56</v>
      </c>
      <c r="X53" t="s">
        <v>57</v>
      </c>
      <c r="Y53" t="s">
        <v>58</v>
      </c>
      <c r="Z53">
        <v>3</v>
      </c>
      <c r="AA53">
        <v>1</v>
      </c>
      <c r="AB53" t="s">
        <v>59</v>
      </c>
      <c r="AC53" t="s">
        <v>56</v>
      </c>
      <c r="AD53" t="s">
        <v>56</v>
      </c>
      <c r="AE53" t="s">
        <v>60</v>
      </c>
      <c r="AF53" t="s">
        <v>61</v>
      </c>
      <c r="AG53" t="s">
        <v>62</v>
      </c>
      <c r="AH53" t="s">
        <v>63</v>
      </c>
      <c r="AI53" t="s">
        <v>64</v>
      </c>
      <c r="AJ53" t="s">
        <v>65</v>
      </c>
      <c r="AK53" t="s">
        <v>66</v>
      </c>
      <c r="AL53" t="s">
        <v>67</v>
      </c>
      <c r="AM53" t="b">
        <v>0</v>
      </c>
      <c r="AN53" t="b">
        <v>1</v>
      </c>
      <c r="AO53">
        <v>1</v>
      </c>
      <c r="AP53">
        <v>1</v>
      </c>
      <c r="AQ53" t="s">
        <v>77</v>
      </c>
      <c r="AR53" t="s">
        <v>78</v>
      </c>
      <c r="AS53">
        <v>0.75</v>
      </c>
      <c r="AT53" t="b">
        <v>1</v>
      </c>
      <c r="AU53" t="s">
        <v>36</v>
      </c>
      <c r="AV53">
        <v>20000</v>
      </c>
      <c r="AW53">
        <v>2000</v>
      </c>
      <c r="AX53">
        <v>343</v>
      </c>
      <c r="AY53" t="b">
        <v>1</v>
      </c>
      <c r="AZ53" t="b">
        <v>0</v>
      </c>
      <c r="BA53" t="b">
        <v>1</v>
      </c>
      <c r="BB53" t="b">
        <v>1</v>
      </c>
      <c r="BC53" t="s">
        <v>56</v>
      </c>
      <c r="BD53" t="s">
        <v>317</v>
      </c>
      <c r="BE53">
        <v>8</v>
      </c>
      <c r="BH53" s="14" t="s">
        <v>517</v>
      </c>
      <c r="BI53" s="14" t="s">
        <v>518</v>
      </c>
      <c r="BQ53" s="14" t="s">
        <v>519</v>
      </c>
      <c r="BR53" s="14" t="s">
        <v>520</v>
      </c>
    </row>
    <row r="54" spans="1:76" x14ac:dyDescent="0.25">
      <c r="A54">
        <v>111</v>
      </c>
      <c r="B54" t="s">
        <v>485</v>
      </c>
      <c r="C54">
        <v>4346</v>
      </c>
      <c r="D54">
        <v>2.38769E-2</v>
      </c>
      <c r="E54">
        <v>0</v>
      </c>
      <c r="F54">
        <v>0</v>
      </c>
      <c r="G54">
        <v>2.38769E-2</v>
      </c>
      <c r="H54" t="s">
        <v>486</v>
      </c>
      <c r="I54" t="s">
        <v>52</v>
      </c>
      <c r="J54" t="s">
        <v>52</v>
      </c>
      <c r="K54" t="s">
        <v>486</v>
      </c>
      <c r="L54">
        <f>_xlfn.NUMBERVALUE(MID(Table2[[#This Row],[CI_95perc_FWER]],2,FIND(",",Table2[[#This Row],[CI_95perc_FWER]])-2))</f>
        <v>2.1819999999999999E-2</v>
      </c>
      <c r="M54">
        <f>_xlfn.NUMBERVALUE(MID(Table2[[#This Row],[CI_95perc_FWER]],FIND(",",Table2[[#This Row],[CI_95perc_FWER]])+1, LEN(Table2[[#This Row],[CI_95perc_FWER]])-FIND(",",Table2[[#This Row],[CI_95perc_FWER]])-1))</f>
        <v>2.5930000000000002E-2</v>
      </c>
      <c r="N54" s="1">
        <v>85152</v>
      </c>
      <c r="O54" t="s">
        <v>487</v>
      </c>
      <c r="P54">
        <v>0.17944134169154699</v>
      </c>
      <c r="Q54" t="s">
        <v>54</v>
      </c>
      <c r="R54" t="s">
        <v>55</v>
      </c>
      <c r="S54">
        <v>1000</v>
      </c>
      <c r="T54">
        <f>IF(OR(Table2[[#This Row],[SampleSize]]=5000,Table2[[#This Row],[SampleSize]]=10000),"&gt;=5k",Table2[[#This Row],[SampleSize]])</f>
        <v>1000</v>
      </c>
      <c r="U54">
        <v>2.5000000000000001E-2</v>
      </c>
      <c r="V54" t="s">
        <v>56</v>
      </c>
      <c r="W54" t="s">
        <v>56</v>
      </c>
      <c r="X54" t="s">
        <v>57</v>
      </c>
      <c r="Y54" t="s">
        <v>58</v>
      </c>
      <c r="Z54">
        <v>3</v>
      </c>
      <c r="AA54">
        <v>1</v>
      </c>
      <c r="AB54" t="s">
        <v>59</v>
      </c>
      <c r="AC54" t="s">
        <v>56</v>
      </c>
      <c r="AD54" t="s">
        <v>56</v>
      </c>
      <c r="AE54" t="s">
        <v>60</v>
      </c>
      <c r="AF54" t="s">
        <v>61</v>
      </c>
      <c r="AG54" t="s">
        <v>62</v>
      </c>
      <c r="AH54" t="s">
        <v>63</v>
      </c>
      <c r="AI54" t="s">
        <v>64</v>
      </c>
      <c r="AJ54" t="s">
        <v>65</v>
      </c>
      <c r="AK54" t="s">
        <v>66</v>
      </c>
      <c r="AL54" t="s">
        <v>67</v>
      </c>
      <c r="AM54" t="b">
        <v>0</v>
      </c>
      <c r="AN54" t="b">
        <v>1</v>
      </c>
      <c r="AO54">
        <v>1</v>
      </c>
      <c r="AP54">
        <v>1</v>
      </c>
      <c r="AQ54" t="s">
        <v>77</v>
      </c>
      <c r="AR54" t="s">
        <v>78</v>
      </c>
      <c r="AS54">
        <v>0.25</v>
      </c>
      <c r="AT54" t="b">
        <v>1</v>
      </c>
      <c r="AU54" t="s">
        <v>36</v>
      </c>
      <c r="AV54">
        <v>10000</v>
      </c>
      <c r="AW54">
        <v>1000</v>
      </c>
      <c r="AX54">
        <v>4346</v>
      </c>
      <c r="AY54" t="b">
        <v>1</v>
      </c>
      <c r="AZ54" t="b">
        <v>0</v>
      </c>
      <c r="BA54" t="b">
        <v>1</v>
      </c>
      <c r="BB54" t="b">
        <v>1</v>
      </c>
      <c r="BC54">
        <v>3</v>
      </c>
      <c r="BD54" t="s">
        <v>447</v>
      </c>
      <c r="BE54">
        <v>4</v>
      </c>
      <c r="BH54" t="s">
        <v>449</v>
      </c>
      <c r="BI54" t="s">
        <v>450</v>
      </c>
      <c r="BJ54" t="s">
        <v>451</v>
      </c>
      <c r="BK54" t="s">
        <v>452</v>
      </c>
      <c r="BL54" s="13" t="s">
        <v>453</v>
      </c>
      <c r="BM54" s="12" t="s">
        <v>454</v>
      </c>
      <c r="BN54" s="14" t="s">
        <v>6</v>
      </c>
      <c r="BO54" t="s">
        <v>455</v>
      </c>
      <c r="BQ54" t="s">
        <v>449</v>
      </c>
      <c r="BR54" t="s">
        <v>450</v>
      </c>
      <c r="BS54" t="s">
        <v>451</v>
      </c>
      <c r="BT54" t="s">
        <v>452</v>
      </c>
      <c r="BU54" s="13" t="s">
        <v>453</v>
      </c>
      <c r="BV54" s="12" t="s">
        <v>454</v>
      </c>
      <c r="BW54" s="14" t="s">
        <v>6</v>
      </c>
      <c r="BX54" t="s">
        <v>455</v>
      </c>
    </row>
    <row r="55" spans="1:76" x14ac:dyDescent="0.25">
      <c r="A55">
        <v>77</v>
      </c>
      <c r="B55" t="s">
        <v>345</v>
      </c>
      <c r="C55">
        <v>64564</v>
      </c>
      <c r="D55">
        <v>2.4440125E-2</v>
      </c>
      <c r="E55">
        <v>0</v>
      </c>
      <c r="F55">
        <v>0</v>
      </c>
      <c r="G55">
        <v>2.4440125E-2</v>
      </c>
      <c r="H55" t="s">
        <v>346</v>
      </c>
      <c r="I55" t="s">
        <v>52</v>
      </c>
      <c r="J55" t="s">
        <v>52</v>
      </c>
      <c r="K55" t="s">
        <v>346</v>
      </c>
      <c r="L55">
        <f>_xlfn.NUMBERVALUE(MID(Table2[[#This Row],[CI_95perc_FWER]],2,FIND(",",Table2[[#This Row],[CI_95perc_FWER]])-2))</f>
        <v>2.3529999999999999E-2</v>
      </c>
      <c r="M55">
        <f>_xlfn.NUMBERVALUE(MID(Table2[[#This Row],[CI_95perc_FWER]],FIND(",",Table2[[#This Row],[CI_95perc_FWER]])+1, LEN(Table2[[#This Row],[CI_95perc_FWER]])-FIND(",",Table2[[#This Row],[CI_95perc_FWER]])-1))</f>
        <v>2.5350000000000001E-2</v>
      </c>
      <c r="N55" s="1">
        <v>33433</v>
      </c>
      <c r="O55" t="s">
        <v>347</v>
      </c>
      <c r="P55">
        <v>2.0589073380496798</v>
      </c>
      <c r="Q55" t="s">
        <v>54</v>
      </c>
      <c r="R55" t="s">
        <v>55</v>
      </c>
      <c r="S55">
        <v>3000</v>
      </c>
      <c r="T55">
        <f>IF(OR(Table2[[#This Row],[SampleSize]]=5000,Table2[[#This Row],[SampleSize]]=10000),"&gt;=5k",Table2[[#This Row],[SampleSize]])</f>
        <v>3000</v>
      </c>
      <c r="U55">
        <v>2.5000000000000001E-2</v>
      </c>
      <c r="V55" t="s">
        <v>56</v>
      </c>
      <c r="W55" t="s">
        <v>56</v>
      </c>
      <c r="X55" t="s">
        <v>57</v>
      </c>
      <c r="Y55" t="s">
        <v>58</v>
      </c>
      <c r="Z55">
        <v>3</v>
      </c>
      <c r="AA55">
        <v>1</v>
      </c>
      <c r="AB55" t="s">
        <v>59</v>
      </c>
      <c r="AC55" t="s">
        <v>56</v>
      </c>
      <c r="AD55" t="s">
        <v>56</v>
      </c>
      <c r="AE55" t="s">
        <v>60</v>
      </c>
      <c r="AF55" t="s">
        <v>61</v>
      </c>
      <c r="AG55" t="s">
        <v>62</v>
      </c>
      <c r="AH55" t="s">
        <v>63</v>
      </c>
      <c r="AI55" t="s">
        <v>64</v>
      </c>
      <c r="AJ55" t="s">
        <v>65</v>
      </c>
      <c r="AK55" t="s">
        <v>97</v>
      </c>
      <c r="AL55" t="s">
        <v>67</v>
      </c>
      <c r="AM55" t="b">
        <v>0</v>
      </c>
      <c r="AN55" t="b">
        <v>0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68</v>
      </c>
      <c r="AV55">
        <v>20000</v>
      </c>
      <c r="AW55">
        <v>2000</v>
      </c>
      <c r="AX55">
        <v>64564</v>
      </c>
      <c r="AY55" t="b">
        <v>1</v>
      </c>
      <c r="AZ55" t="b">
        <v>0</v>
      </c>
      <c r="BA55" t="b">
        <v>1</v>
      </c>
      <c r="BB55" t="b">
        <v>0</v>
      </c>
      <c r="BC55">
        <v>0</v>
      </c>
      <c r="BD55" t="s">
        <v>244</v>
      </c>
      <c r="BE55">
        <v>1</v>
      </c>
      <c r="BH55">
        <v>18</v>
      </c>
      <c r="BI55">
        <f>INDEX(Table2[SampleSize],MATCH(BH55,Table2[ModelID],0))</f>
        <v>400</v>
      </c>
      <c r="BJ55" t="str">
        <f>INDEX(Table2[FWERControl],MATCH(BH55,Table2[ModelID],0))</f>
        <v>CombinationTest</v>
      </c>
      <c r="BK55" t="b">
        <f>INDEX(Table2[UseCC],MATCH(BH55,Table2[ModelID],0))</f>
        <v>0</v>
      </c>
      <c r="BL55" s="13">
        <f>INDEX(Table2[SelectionParmeter],MATCH(BH55,Table2[ModelID],0))</f>
        <v>1</v>
      </c>
      <c r="BM55" s="12" t="str">
        <f>INDEX(Table2[info_frac],MATCH(BH55,Table2[ModelID],0))</f>
        <v>c(0.5,1)</v>
      </c>
      <c r="BN55" s="14">
        <f>INDEX(Table2[FWER],MATCH(BH55,Table2[ModelID],0))</f>
        <v>2.6875699999999999E-2</v>
      </c>
      <c r="BO55" t="str">
        <f>INDEX(Table2[CI_95perc_FWER],MATCH(BH55,Table2[ModelID],0))</f>
        <v>(0.0255,0.02825)</v>
      </c>
      <c r="BQ55">
        <v>15</v>
      </c>
      <c r="BR55">
        <f>INDEX(Table2[SampleSize],MATCH(BQ55,Table2[ModelID],0))</f>
        <v>600</v>
      </c>
      <c r="BS55" t="str">
        <f>INDEX(Table2[FWERControl],MATCH(BQ55,Table2[ModelID],0))</f>
        <v>CombinationTest</v>
      </c>
      <c r="BT55" t="b">
        <f>INDEX(Table2[UseCC],MATCH(BQ55,Table2[ModelID],0))</f>
        <v>0</v>
      </c>
      <c r="BU55" s="13">
        <f>INDEX(Table2[SelectionParmeter],MATCH(BQ55,Table2[ModelID],0))</f>
        <v>1</v>
      </c>
      <c r="BV55" s="12" t="str">
        <f>INDEX(Table2[info_frac],MATCH(BQ55,Table2[ModelID],0))</f>
        <v>c(0.75,1)</v>
      </c>
      <c r="BW55" s="14">
        <f>INDEX(Table2[FWER],MATCH(BQ55,Table2[ModelID],0))</f>
        <v>2.6602399999999998E-2</v>
      </c>
      <c r="BX55" t="str">
        <f>INDEX(Table2[CI_95perc_FWER],MATCH(BQ55,Table2[ModelID],0))</f>
        <v>(0.02433,0.02887)</v>
      </c>
    </row>
    <row r="56" spans="1:76" x14ac:dyDescent="0.25">
      <c r="A56">
        <v>78</v>
      </c>
      <c r="B56" t="s">
        <v>348</v>
      </c>
      <c r="C56">
        <v>343</v>
      </c>
      <c r="D56">
        <v>2.6058375000000002E-2</v>
      </c>
      <c r="E56">
        <v>0</v>
      </c>
      <c r="F56">
        <v>0</v>
      </c>
      <c r="G56">
        <v>2.6058375000000002E-2</v>
      </c>
      <c r="H56" t="s">
        <v>349</v>
      </c>
      <c r="I56" t="s">
        <v>52</v>
      </c>
      <c r="J56" t="s">
        <v>52</v>
      </c>
      <c r="K56" t="s">
        <v>349</v>
      </c>
      <c r="L56">
        <f>_xlfn.NUMBERVALUE(MID(Table2[[#This Row],[CI_95perc_FWER]],2,FIND(",",Table2[[#This Row],[CI_95perc_FWER]])-2))</f>
        <v>2.5100000000000001E-2</v>
      </c>
      <c r="M56">
        <f>_xlfn.NUMBERVALUE(MID(Table2[[#This Row],[CI_95perc_FWER]],FIND(",",Table2[[#This Row],[CI_95perc_FWER]])+1, LEN(Table2[[#This Row],[CI_95perc_FWER]])-FIND(",",Table2[[#This Row],[CI_95perc_FWER]])-1))</f>
        <v>2.7009999999999999E-2</v>
      </c>
      <c r="N56" s="1">
        <v>34446</v>
      </c>
      <c r="O56" t="s">
        <v>350</v>
      </c>
      <c r="P56">
        <v>1.6671249085664701</v>
      </c>
      <c r="Q56" t="s">
        <v>54</v>
      </c>
      <c r="R56" t="s">
        <v>55</v>
      </c>
      <c r="S56">
        <v>3000</v>
      </c>
      <c r="T56">
        <f>IF(OR(Table2[[#This Row],[SampleSize]]=5000,Table2[[#This Row],[SampleSize]]=10000),"&gt;=5k",Table2[[#This Row],[SampleSize]])</f>
        <v>3000</v>
      </c>
      <c r="U56">
        <v>2.5000000000000001E-2</v>
      </c>
      <c r="V56" t="s">
        <v>56</v>
      </c>
      <c r="W56" t="s">
        <v>56</v>
      </c>
      <c r="X56" t="s">
        <v>57</v>
      </c>
      <c r="Y56" t="s">
        <v>58</v>
      </c>
      <c r="Z56">
        <v>3</v>
      </c>
      <c r="AA56">
        <v>1</v>
      </c>
      <c r="AB56" t="s">
        <v>59</v>
      </c>
      <c r="AC56" t="s">
        <v>56</v>
      </c>
      <c r="AD56" t="s">
        <v>56</v>
      </c>
      <c r="AE56" t="s">
        <v>60</v>
      </c>
      <c r="AF56" t="s">
        <v>61</v>
      </c>
      <c r="AG56" t="s">
        <v>62</v>
      </c>
      <c r="AH56" t="s">
        <v>63</v>
      </c>
      <c r="AI56" t="s">
        <v>64</v>
      </c>
      <c r="AJ56" t="s">
        <v>65</v>
      </c>
      <c r="AK56" t="s">
        <v>97</v>
      </c>
      <c r="AL56" t="s">
        <v>67</v>
      </c>
      <c r="AM56" t="b">
        <v>0</v>
      </c>
      <c r="AN56" t="b">
        <v>1</v>
      </c>
      <c r="AO56">
        <v>1</v>
      </c>
      <c r="AP56">
        <v>1</v>
      </c>
      <c r="AQ56" t="s">
        <v>77</v>
      </c>
      <c r="AR56" t="s">
        <v>78</v>
      </c>
      <c r="AS56">
        <v>0.75</v>
      </c>
      <c r="AT56" t="b">
        <v>1</v>
      </c>
      <c r="AU56" t="s">
        <v>36</v>
      </c>
      <c r="AV56">
        <v>20000</v>
      </c>
      <c r="AW56">
        <v>2000</v>
      </c>
      <c r="AX56">
        <v>343</v>
      </c>
      <c r="AY56" t="b">
        <v>1</v>
      </c>
      <c r="AZ56" t="b">
        <v>0</v>
      </c>
      <c r="BA56" t="b">
        <v>1</v>
      </c>
      <c r="BB56" t="b">
        <v>0</v>
      </c>
      <c r="BC56">
        <v>6</v>
      </c>
      <c r="BD56" t="s">
        <v>244</v>
      </c>
      <c r="BE56">
        <v>7</v>
      </c>
      <c r="BH56">
        <v>23</v>
      </c>
      <c r="BI56">
        <f>INDEX(Table2[SampleSize],MATCH(BH56,Table2[ModelID],0))</f>
        <v>400</v>
      </c>
      <c r="BJ56" t="str">
        <f>INDEX(Table2[FWERControl],MATCH(BH56,Table2[ModelID],0))</f>
        <v>CombinationTest</v>
      </c>
      <c r="BK56" t="b">
        <f>INDEX(Table2[UseCC],MATCH(BH56,Table2[ModelID],0))</f>
        <v>0</v>
      </c>
      <c r="BL56" s="13">
        <f>INDEX(Table2[SelectionParmeter],MATCH(BH56,Table2[ModelID],0))</f>
        <v>1</v>
      </c>
      <c r="BM56" s="12" t="str">
        <f>INDEX(Table2[info_frac],MATCH(BH56,Table2[ModelID],0))</f>
        <v>c(0.5,1)</v>
      </c>
      <c r="BN56" s="14">
        <f>INDEX(Table2[FWER],MATCH(BH56,Table2[ModelID],0))</f>
        <v>2.7047700000000001E-2</v>
      </c>
      <c r="BO56" t="str">
        <f>INDEX(Table2[CI_95perc_FWER],MATCH(BH56,Table2[ModelID],0))</f>
        <v>(0.02567,0.02843)</v>
      </c>
      <c r="BQ56">
        <v>103</v>
      </c>
      <c r="BR56">
        <f>INDEX(Table2[SampleSize],MATCH(BQ56,Table2[ModelID],0))</f>
        <v>600</v>
      </c>
      <c r="BS56" t="str">
        <f>INDEX(Table2[FWERControl],MATCH(BQ56,Table2[ModelID],0))</f>
        <v>CombinationTest</v>
      </c>
      <c r="BT56" t="b">
        <f>INDEX(Table2[UseCC],MATCH(BQ56,Table2[ModelID],0))</f>
        <v>1</v>
      </c>
      <c r="BU56" s="13">
        <f>INDEX(Table2[SelectionParmeter],MATCH(BQ56,Table2[ModelID],0))</f>
        <v>1</v>
      </c>
      <c r="BV56" s="12" t="str">
        <f>INDEX(Table2[info_frac],MATCH(BQ56,Table2[ModelID],0))</f>
        <v>c(0.75,1)</v>
      </c>
      <c r="BW56" s="14">
        <f>INDEX(Table2[FWER],MATCH(BQ56,Table2[ModelID],0))</f>
        <v>2.51165E-2</v>
      </c>
      <c r="BX56" t="str">
        <f>INDEX(Table2[CI_95perc_FWER],MATCH(BQ56,Table2[ModelID],0))</f>
        <v>(0.02292,0.02731)</v>
      </c>
    </row>
    <row r="57" spans="1:76" x14ac:dyDescent="0.25">
      <c r="A57">
        <v>79</v>
      </c>
      <c r="B57" t="s">
        <v>351</v>
      </c>
      <c r="C57">
        <v>4346</v>
      </c>
      <c r="D57">
        <v>2.4750125000000001E-2</v>
      </c>
      <c r="E57">
        <v>0</v>
      </c>
      <c r="F57">
        <v>0</v>
      </c>
      <c r="G57">
        <v>2.4750125000000001E-2</v>
      </c>
      <c r="H57" t="s">
        <v>352</v>
      </c>
      <c r="I57" t="s">
        <v>52</v>
      </c>
      <c r="J57" t="s">
        <v>52</v>
      </c>
      <c r="K57" t="s">
        <v>352</v>
      </c>
      <c r="L57">
        <f>_xlfn.NUMBERVALUE(MID(Table2[[#This Row],[CI_95perc_FWER]],2,FIND(",",Table2[[#This Row],[CI_95perc_FWER]])-2))</f>
        <v>2.3810000000000001E-2</v>
      </c>
      <c r="M57">
        <f>_xlfn.NUMBERVALUE(MID(Table2[[#This Row],[CI_95perc_FWER]],FIND(",",Table2[[#This Row],[CI_95perc_FWER]])+1, LEN(Table2[[#This Row],[CI_95perc_FWER]])-FIND(",",Table2[[#This Row],[CI_95perc_FWER]])-1))</f>
        <v>2.5690000000000001E-2</v>
      </c>
      <c r="N57" s="1">
        <v>31437</v>
      </c>
      <c r="O57" t="s">
        <v>353</v>
      </c>
      <c r="P57">
        <v>0.70380943026807596</v>
      </c>
      <c r="Q57" t="s">
        <v>54</v>
      </c>
      <c r="R57" t="s">
        <v>55</v>
      </c>
      <c r="S57">
        <v>3000</v>
      </c>
      <c r="T57">
        <f>IF(OR(Table2[[#This Row],[SampleSize]]=5000,Table2[[#This Row],[SampleSize]]=10000),"&gt;=5k",Table2[[#This Row],[SampleSize]])</f>
        <v>3000</v>
      </c>
      <c r="U57">
        <v>2.5000000000000001E-2</v>
      </c>
      <c r="V57" t="s">
        <v>56</v>
      </c>
      <c r="W57" t="s">
        <v>56</v>
      </c>
      <c r="X57" t="s">
        <v>57</v>
      </c>
      <c r="Y57" t="s">
        <v>58</v>
      </c>
      <c r="Z57">
        <v>3</v>
      </c>
      <c r="AA57">
        <v>1</v>
      </c>
      <c r="AB57" t="s">
        <v>59</v>
      </c>
      <c r="AC57" t="s">
        <v>56</v>
      </c>
      <c r="AD57" t="s">
        <v>56</v>
      </c>
      <c r="AE57" t="s">
        <v>60</v>
      </c>
      <c r="AF57" t="s">
        <v>61</v>
      </c>
      <c r="AG57" t="s">
        <v>62</v>
      </c>
      <c r="AH57" t="s">
        <v>63</v>
      </c>
      <c r="AI57" t="s">
        <v>64</v>
      </c>
      <c r="AJ57" t="s">
        <v>65</v>
      </c>
      <c r="AK57" t="s">
        <v>97</v>
      </c>
      <c r="AL57" t="s">
        <v>67</v>
      </c>
      <c r="AM57" t="b">
        <v>0</v>
      </c>
      <c r="AN57" t="b">
        <v>1</v>
      </c>
      <c r="AO57">
        <v>1</v>
      </c>
      <c r="AP57">
        <v>1</v>
      </c>
      <c r="AQ57" t="s">
        <v>77</v>
      </c>
      <c r="AR57" t="s">
        <v>78</v>
      </c>
      <c r="AS57">
        <v>0.25</v>
      </c>
      <c r="AT57" t="b">
        <v>1</v>
      </c>
      <c r="AU57" t="s">
        <v>36</v>
      </c>
      <c r="AV57">
        <v>20000</v>
      </c>
      <c r="AW57">
        <v>2000</v>
      </c>
      <c r="AX57">
        <v>4346</v>
      </c>
      <c r="AY57" t="b">
        <v>1</v>
      </c>
      <c r="AZ57" t="b">
        <v>0</v>
      </c>
      <c r="BA57" t="b">
        <v>1</v>
      </c>
      <c r="BB57" t="b">
        <v>0</v>
      </c>
      <c r="BC57">
        <v>3</v>
      </c>
      <c r="BD57" t="s">
        <v>244</v>
      </c>
      <c r="BE57">
        <v>3</v>
      </c>
      <c r="BH57">
        <v>26</v>
      </c>
      <c r="BI57">
        <f>INDEX(Table2[SampleSize],MATCH(BH57,Table2[ModelID],0))</f>
        <v>400</v>
      </c>
      <c r="BJ57" t="str">
        <f>INDEX(Table2[FWERControl],MATCH(BH57,Table2[ModelID],0))</f>
        <v>None</v>
      </c>
      <c r="BK57" t="b">
        <f>INDEX(Table2[UseCC],MATCH(BH57,Table2[ModelID],0))</f>
        <v>0</v>
      </c>
      <c r="BL57" s="13">
        <f>INDEX(Table2[SelectionParmeter],MATCH(BH57,Table2[ModelID],0))</f>
        <v>1</v>
      </c>
      <c r="BM57" s="12" t="str">
        <f>INDEX(Table2[info_frac],MATCH(BH57,Table2[ModelID],0))</f>
        <v>c(0.5,1)</v>
      </c>
      <c r="BN57" s="14">
        <f>INDEX(Table2[FWER],MATCH(BH57,Table2[ModelID],0))</f>
        <v>2.5911099999999999E-2</v>
      </c>
      <c r="BO57" t="str">
        <f>INDEX(Table2[CI_95perc_FWER],MATCH(BH57,Table2[ModelID],0))</f>
        <v>(0.02457,0.02725)</v>
      </c>
      <c r="BQ57">
        <v>104</v>
      </c>
      <c r="BR57">
        <f>INDEX(Table2[SampleSize],MATCH(BQ57,Table2[ModelID],0))</f>
        <v>1000</v>
      </c>
      <c r="BS57" t="str">
        <f>INDEX(Table2[FWERControl],MATCH(BQ57,Table2[ModelID],0))</f>
        <v>None</v>
      </c>
      <c r="BT57" t="b">
        <f>INDEX(Table2[UseCC],MATCH(BQ57,Table2[ModelID],0))</f>
        <v>1</v>
      </c>
      <c r="BU57" s="13">
        <f>INDEX(Table2[SelectionParmeter],MATCH(BQ57,Table2[ModelID],0))</f>
        <v>1</v>
      </c>
      <c r="BV57" s="12" t="str">
        <f>INDEX(Table2[info_frac],MATCH(BQ57,Table2[ModelID],0))</f>
        <v>c(0.75,1)</v>
      </c>
      <c r="BW57" s="14">
        <f>INDEX(Table2[FWER],MATCH(BQ57,Table2[ModelID],0))</f>
        <v>2.3941400000000002E-2</v>
      </c>
      <c r="BX57" t="str">
        <f>INDEX(Table2[CI_95perc_FWER],MATCH(BQ57,Table2[ModelID],0))</f>
        <v>(0.02179,0.02609)</v>
      </c>
    </row>
    <row r="58" spans="1:76" x14ac:dyDescent="0.25">
      <c r="A58">
        <v>80</v>
      </c>
      <c r="B58" t="s">
        <v>354</v>
      </c>
      <c r="C58">
        <v>2300</v>
      </c>
      <c r="D58">
        <v>2.602645E-2</v>
      </c>
      <c r="E58">
        <v>0</v>
      </c>
      <c r="F58">
        <v>0</v>
      </c>
      <c r="G58">
        <v>2.602645E-2</v>
      </c>
      <c r="H58" t="s">
        <v>355</v>
      </c>
      <c r="I58" t="s">
        <v>52</v>
      </c>
      <c r="J58" t="s">
        <v>52</v>
      </c>
      <c r="K58" t="s">
        <v>355</v>
      </c>
      <c r="L58">
        <f>_xlfn.NUMBERVALUE(MID(Table2[[#This Row],[CI_95perc_FWER]],2,FIND(",",Table2[[#This Row],[CI_95perc_FWER]])-2))</f>
        <v>2.5100000000000001E-2</v>
      </c>
      <c r="M58">
        <f>_xlfn.NUMBERVALUE(MID(Table2[[#This Row],[CI_95perc_FWER]],FIND(",",Table2[[#This Row],[CI_95perc_FWER]])+1, LEN(Table2[[#This Row],[CI_95perc_FWER]])-FIND(",",Table2[[#This Row],[CI_95perc_FWER]])-1))</f>
        <v>2.6950000000000002E-2</v>
      </c>
      <c r="N58" s="1">
        <v>28459</v>
      </c>
      <c r="O58" t="s">
        <v>356</v>
      </c>
      <c r="P58">
        <v>2.01785904751884</v>
      </c>
      <c r="Q58" t="s">
        <v>54</v>
      </c>
      <c r="R58" t="s">
        <v>55</v>
      </c>
      <c r="S58">
        <v>3000</v>
      </c>
      <c r="T58">
        <f>IF(OR(Table2[[#This Row],[SampleSize]]=5000,Table2[[#This Row],[SampleSize]]=10000),"&gt;=5k",Table2[[#This Row],[SampleSize]])</f>
        <v>3000</v>
      </c>
      <c r="U58">
        <v>2.5000000000000001E-2</v>
      </c>
      <c r="V58" t="s">
        <v>56</v>
      </c>
      <c r="W58" t="s">
        <v>56</v>
      </c>
      <c r="X58" t="s">
        <v>57</v>
      </c>
      <c r="Y58" t="s">
        <v>58</v>
      </c>
      <c r="Z58">
        <v>3</v>
      </c>
      <c r="AA58">
        <v>1</v>
      </c>
      <c r="AB58" t="s">
        <v>59</v>
      </c>
      <c r="AC58" t="s">
        <v>56</v>
      </c>
      <c r="AD58" t="s">
        <v>56</v>
      </c>
      <c r="AE58" t="s">
        <v>60</v>
      </c>
      <c r="AF58" t="s">
        <v>61</v>
      </c>
      <c r="AG58" t="s">
        <v>62</v>
      </c>
      <c r="AH58" t="s">
        <v>63</v>
      </c>
      <c r="AI58" t="s">
        <v>64</v>
      </c>
      <c r="AJ58" t="s">
        <v>65</v>
      </c>
      <c r="AK58" t="s">
        <v>97</v>
      </c>
      <c r="AL58" t="s">
        <v>67</v>
      </c>
      <c r="AM58" t="b">
        <v>0</v>
      </c>
      <c r="AN58" t="b">
        <v>1</v>
      </c>
      <c r="AO58">
        <v>1</v>
      </c>
      <c r="AP58">
        <v>1</v>
      </c>
      <c r="AQ58" t="s">
        <v>77</v>
      </c>
      <c r="AR58" t="s">
        <v>73</v>
      </c>
      <c r="AS58">
        <v>2</v>
      </c>
      <c r="AT58" t="b">
        <v>1</v>
      </c>
      <c r="AU58" t="s">
        <v>36</v>
      </c>
      <c r="AV58">
        <v>20000</v>
      </c>
      <c r="AW58">
        <v>2000</v>
      </c>
      <c r="AX58">
        <v>2300</v>
      </c>
      <c r="AY58" t="b">
        <v>1</v>
      </c>
      <c r="AZ58" t="b">
        <v>0</v>
      </c>
      <c r="BA58" t="b">
        <v>1</v>
      </c>
      <c r="BB58" t="b">
        <v>0</v>
      </c>
      <c r="BC58">
        <v>0</v>
      </c>
      <c r="BD58" t="s">
        <v>244</v>
      </c>
      <c r="BE58">
        <v>11</v>
      </c>
      <c r="BH58">
        <v>31</v>
      </c>
      <c r="BI58">
        <f>INDEX(Table2[SampleSize],MATCH(BH58,Table2[ModelID],0))</f>
        <v>400</v>
      </c>
      <c r="BJ58" t="str">
        <f>INDEX(Table2[FWERControl],MATCH(BH58,Table2[ModelID],0))</f>
        <v>None</v>
      </c>
      <c r="BK58" t="b">
        <f>INDEX(Table2[UseCC],MATCH(BH58,Table2[ModelID],0))</f>
        <v>0</v>
      </c>
      <c r="BL58" s="13">
        <f>INDEX(Table2[SelectionParmeter],MATCH(BH58,Table2[ModelID],0))</f>
        <v>1</v>
      </c>
      <c r="BM58" s="12" t="str">
        <f>INDEX(Table2[info_frac],MATCH(BH58,Table2[ModelID],0))</f>
        <v>c(0.5,1)</v>
      </c>
      <c r="BN58" s="14">
        <f>INDEX(Table2[FWER],MATCH(BH58,Table2[ModelID],0))</f>
        <v>2.6208800000000001E-2</v>
      </c>
      <c r="BO58" t="str">
        <f>INDEX(Table2[CI_95perc_FWER],MATCH(BH58,Table2[ModelID],0))</f>
        <v>(0.02487,0.02755)</v>
      </c>
      <c r="BQ58">
        <v>105</v>
      </c>
      <c r="BR58">
        <f>INDEX(Table2[SampleSize],MATCH(BQ58,Table2[ModelID],0))</f>
        <v>3000</v>
      </c>
      <c r="BS58" t="str">
        <f>INDEX(Table2[FWERControl],MATCH(BQ58,Table2[ModelID],0))</f>
        <v>CombinationTest</v>
      </c>
      <c r="BT58" t="b">
        <f>INDEX(Table2[UseCC],MATCH(BQ58,Table2[ModelID],0))</f>
        <v>1</v>
      </c>
      <c r="BU58" s="13">
        <f>INDEX(Table2[SelectionParmeter],MATCH(BQ58,Table2[ModelID],0))</f>
        <v>1</v>
      </c>
      <c r="BV58" s="12" t="str">
        <f>INDEX(Table2[info_frac],MATCH(BQ58,Table2[ModelID],0))</f>
        <v>c(0.75,1)</v>
      </c>
      <c r="BW58" s="14">
        <f>INDEX(Table2[FWER],MATCH(BQ58,Table2[ModelID],0))</f>
        <v>2.5061199999999999E-2</v>
      </c>
      <c r="BX58" t="str">
        <f>INDEX(Table2[CI_95perc_FWER],MATCH(BQ58,Table2[ModelID],0))</f>
        <v>(0.0229,0.02723)</v>
      </c>
    </row>
    <row r="59" spans="1:76" x14ac:dyDescent="0.25">
      <c r="A59">
        <v>81</v>
      </c>
      <c r="B59" t="s">
        <v>357</v>
      </c>
      <c r="C59">
        <v>2402</v>
      </c>
      <c r="D59">
        <v>2.5948224999999998E-2</v>
      </c>
      <c r="E59">
        <v>0</v>
      </c>
      <c r="F59">
        <v>0</v>
      </c>
      <c r="G59">
        <v>2.5948224999999998E-2</v>
      </c>
      <c r="H59" t="s">
        <v>358</v>
      </c>
      <c r="I59" t="s">
        <v>52</v>
      </c>
      <c r="J59" t="s">
        <v>52</v>
      </c>
      <c r="K59" t="s">
        <v>358</v>
      </c>
      <c r="L59">
        <f>_xlfn.NUMBERVALUE(MID(Table2[[#This Row],[CI_95perc_FWER]],2,FIND(",",Table2[[#This Row],[CI_95perc_FWER]])-2))</f>
        <v>2.5020000000000001E-2</v>
      </c>
      <c r="M59">
        <f>_xlfn.NUMBERVALUE(MID(Table2[[#This Row],[CI_95perc_FWER]],FIND(",",Table2[[#This Row],[CI_95perc_FWER]])+1, LEN(Table2[[#This Row],[CI_95perc_FWER]])-FIND(",",Table2[[#This Row],[CI_95perc_FWER]])-1))</f>
        <v>2.6880000000000001E-2</v>
      </c>
      <c r="N59" s="1">
        <v>28460</v>
      </c>
      <c r="O59" t="s">
        <v>359</v>
      </c>
      <c r="P59">
        <v>1.2682143010695801</v>
      </c>
      <c r="Q59" t="s">
        <v>54</v>
      </c>
      <c r="R59" t="s">
        <v>55</v>
      </c>
      <c r="S59">
        <v>3000</v>
      </c>
      <c r="T59">
        <f>IF(OR(Table2[[#This Row],[SampleSize]]=5000,Table2[[#This Row],[SampleSize]]=10000),"&gt;=5k",Table2[[#This Row],[SampleSize]])</f>
        <v>3000</v>
      </c>
      <c r="U59">
        <v>2.5000000000000001E-2</v>
      </c>
      <c r="V59" t="s">
        <v>56</v>
      </c>
      <c r="W59" t="s">
        <v>56</v>
      </c>
      <c r="X59" t="s">
        <v>57</v>
      </c>
      <c r="Y59" t="s">
        <v>58</v>
      </c>
      <c r="Z59">
        <v>3</v>
      </c>
      <c r="AA59">
        <v>1</v>
      </c>
      <c r="AB59" t="s">
        <v>59</v>
      </c>
      <c r="AC59" t="s">
        <v>56</v>
      </c>
      <c r="AD59" t="s">
        <v>56</v>
      </c>
      <c r="AE59" t="s">
        <v>60</v>
      </c>
      <c r="AF59" t="s">
        <v>61</v>
      </c>
      <c r="AG59" t="s">
        <v>62</v>
      </c>
      <c r="AH59" t="s">
        <v>63</v>
      </c>
      <c r="AI59" t="s">
        <v>64</v>
      </c>
      <c r="AJ59" t="s">
        <v>65</v>
      </c>
      <c r="AK59" t="s">
        <v>97</v>
      </c>
      <c r="AL59" t="s">
        <v>67</v>
      </c>
      <c r="AM59" t="b">
        <v>0</v>
      </c>
      <c r="AN59" t="b">
        <v>1</v>
      </c>
      <c r="AO59">
        <v>1</v>
      </c>
      <c r="AP59">
        <v>1</v>
      </c>
      <c r="AQ59" t="s">
        <v>77</v>
      </c>
      <c r="AR59" t="s">
        <v>78</v>
      </c>
      <c r="AS59">
        <v>0.5</v>
      </c>
      <c r="AT59" t="b">
        <v>0</v>
      </c>
      <c r="AU59" t="s">
        <v>68</v>
      </c>
      <c r="AV59">
        <v>20000</v>
      </c>
      <c r="AW59">
        <v>2000</v>
      </c>
      <c r="AX59">
        <v>2402</v>
      </c>
      <c r="AY59" t="b">
        <v>1</v>
      </c>
      <c r="AZ59" t="b">
        <v>0</v>
      </c>
      <c r="BA59" t="b">
        <v>1</v>
      </c>
      <c r="BB59" t="b">
        <v>0</v>
      </c>
      <c r="BC59">
        <v>5</v>
      </c>
      <c r="BD59" t="s">
        <v>244</v>
      </c>
      <c r="BE59">
        <v>5</v>
      </c>
      <c r="BH59">
        <v>99</v>
      </c>
      <c r="BI59">
        <f>INDEX(Table2[SampleSize],MATCH(BH59,Table2[ModelID],0))</f>
        <v>600</v>
      </c>
      <c r="BJ59" t="str">
        <f>INDEX(Table2[FWERControl],MATCH(BH59,Table2[ModelID],0))</f>
        <v>CombinationTest</v>
      </c>
      <c r="BK59" t="b">
        <f>INDEX(Table2[UseCC],MATCH(BH59,Table2[ModelID],0))</f>
        <v>1</v>
      </c>
      <c r="BL59" s="13">
        <f>INDEX(Table2[SelectionParmeter],MATCH(BH59,Table2[ModelID],0))</f>
        <v>1</v>
      </c>
      <c r="BM59" s="12" t="str">
        <f>INDEX(Table2[info_frac],MATCH(BH59,Table2[ModelID],0))</f>
        <v>c(0.5,1)</v>
      </c>
      <c r="BN59" s="14">
        <f>INDEX(Table2[FWER],MATCH(BH59,Table2[ModelID],0))</f>
        <v>2.5647699999999999E-2</v>
      </c>
      <c r="BO59" t="str">
        <f>INDEX(Table2[CI_95perc_FWER],MATCH(BH59,Table2[ModelID],0))</f>
        <v>(0.02426,0.02704)</v>
      </c>
      <c r="BQ59">
        <v>106</v>
      </c>
      <c r="BR59">
        <f>INDEX(Table2[SampleSize],MATCH(BQ59,Table2[ModelID],0))</f>
        <v>5000</v>
      </c>
      <c r="BS59" t="str">
        <f>INDEX(Table2[FWERControl],MATCH(BQ59,Table2[ModelID],0))</f>
        <v>None</v>
      </c>
      <c r="BT59" t="b">
        <f>INDEX(Table2[UseCC],MATCH(BQ59,Table2[ModelID],0))</f>
        <v>1</v>
      </c>
      <c r="BU59" s="13">
        <f>INDEX(Table2[SelectionParmeter],MATCH(BQ59,Table2[ModelID],0))</f>
        <v>1</v>
      </c>
      <c r="BV59" s="12" t="str">
        <f>INDEX(Table2[info_frac],MATCH(BQ59,Table2[ModelID],0))</f>
        <v>c(0.75,1)</v>
      </c>
      <c r="BW59" s="14">
        <f>INDEX(Table2[FWER],MATCH(BQ59,Table2[ModelID],0))</f>
        <v>2.4262700000000002E-2</v>
      </c>
      <c r="BX59" t="str">
        <f>INDEX(Table2[CI_95perc_FWER],MATCH(BQ59,Table2[ModelID],0))</f>
        <v>(0.02217,0.02635)</v>
      </c>
    </row>
    <row r="60" spans="1:76" x14ac:dyDescent="0.25">
      <c r="A60">
        <v>82</v>
      </c>
      <c r="B60" t="s">
        <v>360</v>
      </c>
      <c r="C60">
        <v>64564</v>
      </c>
      <c r="D60">
        <v>2.429715E-2</v>
      </c>
      <c r="E60">
        <v>0</v>
      </c>
      <c r="F60">
        <v>0</v>
      </c>
      <c r="G60">
        <v>2.429715E-2</v>
      </c>
      <c r="H60" t="s">
        <v>361</v>
      </c>
      <c r="I60" t="s">
        <v>52</v>
      </c>
      <c r="J60" t="s">
        <v>52</v>
      </c>
      <c r="K60" t="s">
        <v>361</v>
      </c>
      <c r="L60">
        <f>_xlfn.NUMBERVALUE(MID(Table2[[#This Row],[CI_95perc_FWER]],2,FIND(",",Table2[[#This Row],[CI_95perc_FWER]])-2))</f>
        <v>2.3390000000000001E-2</v>
      </c>
      <c r="M60">
        <f>_xlfn.NUMBERVALUE(MID(Table2[[#This Row],[CI_95perc_FWER]],FIND(",",Table2[[#This Row],[CI_95perc_FWER]])+1, LEN(Table2[[#This Row],[CI_95perc_FWER]])-FIND(",",Table2[[#This Row],[CI_95perc_FWER]])-1))</f>
        <v>2.521E-2</v>
      </c>
      <c r="N60" s="1">
        <v>33429</v>
      </c>
      <c r="O60" t="s">
        <v>362</v>
      </c>
      <c r="P60">
        <v>2.07239866442151</v>
      </c>
      <c r="Q60" t="s">
        <v>54</v>
      </c>
      <c r="R60" t="s">
        <v>55</v>
      </c>
      <c r="S60">
        <v>3000</v>
      </c>
      <c r="T60">
        <f>IF(OR(Table2[[#This Row],[SampleSize]]=5000,Table2[[#This Row],[SampleSize]]=10000),"&gt;=5k",Table2[[#This Row],[SampleSize]])</f>
        <v>3000</v>
      </c>
      <c r="U60">
        <v>2.5000000000000001E-2</v>
      </c>
      <c r="V60" t="s">
        <v>56</v>
      </c>
      <c r="W60" t="s">
        <v>56</v>
      </c>
      <c r="X60" t="s">
        <v>57</v>
      </c>
      <c r="Y60" t="s">
        <v>58</v>
      </c>
      <c r="Z60">
        <v>3</v>
      </c>
      <c r="AA60">
        <v>1</v>
      </c>
      <c r="AB60" t="s">
        <v>59</v>
      </c>
      <c r="AC60" t="s">
        <v>56</v>
      </c>
      <c r="AD60" t="s">
        <v>56</v>
      </c>
      <c r="AE60" t="s">
        <v>60</v>
      </c>
      <c r="AF60" t="s">
        <v>61</v>
      </c>
      <c r="AG60" t="s">
        <v>62</v>
      </c>
      <c r="AH60" t="s">
        <v>63</v>
      </c>
      <c r="AI60" t="s">
        <v>64</v>
      </c>
      <c r="AJ60" t="s">
        <v>65</v>
      </c>
      <c r="AK60" t="s">
        <v>97</v>
      </c>
      <c r="AL60" t="s">
        <v>67</v>
      </c>
      <c r="AM60" t="b">
        <v>0</v>
      </c>
      <c r="AN60" t="b">
        <v>0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68</v>
      </c>
      <c r="AV60">
        <v>20000</v>
      </c>
      <c r="AW60">
        <v>2000</v>
      </c>
      <c r="AX60">
        <v>64564</v>
      </c>
      <c r="AY60" t="b">
        <v>1</v>
      </c>
      <c r="AZ60" t="b">
        <v>0</v>
      </c>
      <c r="BA60" t="b">
        <v>1</v>
      </c>
      <c r="BB60" t="b">
        <v>1</v>
      </c>
      <c r="BC60">
        <v>0</v>
      </c>
      <c r="BD60" t="s">
        <v>244</v>
      </c>
      <c r="BE60">
        <v>1</v>
      </c>
      <c r="BH60">
        <v>100</v>
      </c>
      <c r="BI60">
        <f>INDEX(Table2[SampleSize],MATCH(BH60,Table2[ModelID],0))</f>
        <v>1000</v>
      </c>
      <c r="BJ60" t="str">
        <f>INDEX(Table2[FWERControl],MATCH(BH60,Table2[ModelID],0))</f>
        <v>None</v>
      </c>
      <c r="BK60" t="b">
        <f>INDEX(Table2[UseCC],MATCH(BH60,Table2[ModelID],0))</f>
        <v>1</v>
      </c>
      <c r="BL60" s="13">
        <f>INDEX(Table2[SelectionParmeter],MATCH(BH60,Table2[ModelID],0))</f>
        <v>1</v>
      </c>
      <c r="BM60" s="12" t="str">
        <f>INDEX(Table2[info_frac],MATCH(BH60,Table2[ModelID],0))</f>
        <v>c(0.5,1)</v>
      </c>
      <c r="BN60" s="14">
        <f>INDEX(Table2[FWER],MATCH(BH60,Table2[ModelID],0))</f>
        <v>2.4643200000000001E-2</v>
      </c>
      <c r="BO60" t="str">
        <f>INDEX(Table2[CI_95perc_FWER],MATCH(BH60,Table2[ModelID],0))</f>
        <v>(0.02332,0.02596)</v>
      </c>
    </row>
    <row r="61" spans="1:76" x14ac:dyDescent="0.25">
      <c r="A61">
        <v>83</v>
      </c>
      <c r="B61" t="s">
        <v>363</v>
      </c>
      <c r="C61">
        <v>343</v>
      </c>
      <c r="D61">
        <v>2.5912825E-2</v>
      </c>
      <c r="E61">
        <v>0</v>
      </c>
      <c r="F61">
        <v>0</v>
      </c>
      <c r="G61">
        <v>2.5912825E-2</v>
      </c>
      <c r="H61" t="s">
        <v>364</v>
      </c>
      <c r="I61" t="s">
        <v>52</v>
      </c>
      <c r="J61" t="s">
        <v>52</v>
      </c>
      <c r="K61" t="s">
        <v>364</v>
      </c>
      <c r="L61">
        <f>_xlfn.NUMBERVALUE(MID(Table2[[#This Row],[CI_95perc_FWER]],2,FIND(",",Table2[[#This Row],[CI_95perc_FWER]])-2))</f>
        <v>2.496E-2</v>
      </c>
      <c r="M61">
        <f>_xlfn.NUMBERVALUE(MID(Table2[[#This Row],[CI_95perc_FWER]],FIND(",",Table2[[#This Row],[CI_95perc_FWER]])+1, LEN(Table2[[#This Row],[CI_95perc_FWER]])-FIND(",",Table2[[#This Row],[CI_95perc_FWER]])-1))</f>
        <v>2.6870000000000002E-2</v>
      </c>
      <c r="N61" s="1">
        <v>34443</v>
      </c>
      <c r="O61" t="s">
        <v>365</v>
      </c>
      <c r="P61">
        <v>1.6704443005720799</v>
      </c>
      <c r="Q61" t="s">
        <v>54</v>
      </c>
      <c r="R61" t="s">
        <v>55</v>
      </c>
      <c r="S61">
        <v>3000</v>
      </c>
      <c r="T61">
        <f>IF(OR(Table2[[#This Row],[SampleSize]]=5000,Table2[[#This Row],[SampleSize]]=10000),"&gt;=5k",Table2[[#This Row],[SampleSize]])</f>
        <v>3000</v>
      </c>
      <c r="U61">
        <v>2.5000000000000001E-2</v>
      </c>
      <c r="V61" t="s">
        <v>56</v>
      </c>
      <c r="W61" t="s">
        <v>56</v>
      </c>
      <c r="X61" t="s">
        <v>57</v>
      </c>
      <c r="Y61" t="s">
        <v>58</v>
      </c>
      <c r="Z61">
        <v>3</v>
      </c>
      <c r="AA61">
        <v>1</v>
      </c>
      <c r="AB61" t="s">
        <v>59</v>
      </c>
      <c r="AC61" t="s">
        <v>56</v>
      </c>
      <c r="AD61" t="s">
        <v>56</v>
      </c>
      <c r="AE61" t="s">
        <v>60</v>
      </c>
      <c r="AF61" t="s">
        <v>61</v>
      </c>
      <c r="AG61" t="s">
        <v>62</v>
      </c>
      <c r="AH61" t="s">
        <v>63</v>
      </c>
      <c r="AI61" t="s">
        <v>64</v>
      </c>
      <c r="AJ61" t="s">
        <v>65</v>
      </c>
      <c r="AK61" t="s">
        <v>97</v>
      </c>
      <c r="AL61" t="s">
        <v>67</v>
      </c>
      <c r="AM61" t="b">
        <v>0</v>
      </c>
      <c r="AN61" t="b">
        <v>1</v>
      </c>
      <c r="AO61">
        <v>1</v>
      </c>
      <c r="AP61">
        <v>1</v>
      </c>
      <c r="AQ61" t="s">
        <v>77</v>
      </c>
      <c r="AR61" t="s">
        <v>78</v>
      </c>
      <c r="AS61">
        <v>0.75</v>
      </c>
      <c r="AT61" t="b">
        <v>1</v>
      </c>
      <c r="AU61" t="s">
        <v>36</v>
      </c>
      <c r="AV61">
        <v>20000</v>
      </c>
      <c r="AW61">
        <v>2000</v>
      </c>
      <c r="AX61">
        <v>343</v>
      </c>
      <c r="AY61" t="b">
        <v>1</v>
      </c>
      <c r="AZ61" t="b">
        <v>0</v>
      </c>
      <c r="BA61" t="b">
        <v>1</v>
      </c>
      <c r="BB61" t="b">
        <v>1</v>
      </c>
      <c r="BC61">
        <v>0</v>
      </c>
      <c r="BD61" t="s">
        <v>244</v>
      </c>
      <c r="BE61">
        <v>7</v>
      </c>
      <c r="BH61">
        <v>101</v>
      </c>
      <c r="BI61">
        <f>INDEX(Table2[SampleSize],MATCH(BH61,Table2[ModelID],0))</f>
        <v>3000</v>
      </c>
      <c r="BJ61" t="str">
        <f>INDEX(Table2[FWERControl],MATCH(BH61,Table2[ModelID],0))</f>
        <v>CombinationTest</v>
      </c>
      <c r="BK61" t="b">
        <f>INDEX(Table2[UseCC],MATCH(BH61,Table2[ModelID],0))</f>
        <v>1</v>
      </c>
      <c r="BL61" s="13">
        <f>INDEX(Table2[SelectionParmeter],MATCH(BH61,Table2[ModelID],0))</f>
        <v>1</v>
      </c>
      <c r="BM61" s="12" t="str">
        <f>INDEX(Table2[info_frac],MATCH(BH61,Table2[ModelID],0))</f>
        <v>c(0.5,1)</v>
      </c>
      <c r="BN61" s="14">
        <f>INDEX(Table2[FWER],MATCH(BH61,Table2[ModelID],0))</f>
        <v>2.4060000000000002E-2</v>
      </c>
      <c r="BO61" t="str">
        <f>INDEX(Table2[CI_95perc_FWER],MATCH(BH61,Table2[ModelID],0))</f>
        <v>(0.02283,0.02529)</v>
      </c>
    </row>
    <row r="62" spans="1:76" x14ac:dyDescent="0.25">
      <c r="A62">
        <v>84</v>
      </c>
      <c r="B62" t="s">
        <v>366</v>
      </c>
      <c r="C62">
        <v>4346</v>
      </c>
      <c r="D62">
        <v>2.4604075E-2</v>
      </c>
      <c r="E62">
        <v>0</v>
      </c>
      <c r="F62">
        <v>0</v>
      </c>
      <c r="G62">
        <v>2.4604075E-2</v>
      </c>
      <c r="H62" t="s">
        <v>367</v>
      </c>
      <c r="I62" t="s">
        <v>52</v>
      </c>
      <c r="J62" t="s">
        <v>52</v>
      </c>
      <c r="K62" t="s">
        <v>367</v>
      </c>
      <c r="L62">
        <f>_xlfn.NUMBERVALUE(MID(Table2[[#This Row],[CI_95perc_FWER]],2,FIND(",",Table2[[#This Row],[CI_95perc_FWER]])-2))</f>
        <v>2.366E-2</v>
      </c>
      <c r="M62">
        <f>_xlfn.NUMBERVALUE(MID(Table2[[#This Row],[CI_95perc_FWER]],FIND(",",Table2[[#This Row],[CI_95perc_FWER]])+1, LEN(Table2[[#This Row],[CI_95perc_FWER]])-FIND(",",Table2[[#This Row],[CI_95perc_FWER]])-1))</f>
        <v>2.554E-2</v>
      </c>
      <c r="N62" s="1">
        <v>31435</v>
      </c>
      <c r="O62" t="s">
        <v>368</v>
      </c>
      <c r="P62">
        <v>0.70170077582200396</v>
      </c>
      <c r="Q62" t="s">
        <v>54</v>
      </c>
      <c r="R62" t="s">
        <v>55</v>
      </c>
      <c r="S62">
        <v>3000</v>
      </c>
      <c r="T62">
        <f>IF(OR(Table2[[#This Row],[SampleSize]]=5000,Table2[[#This Row],[SampleSize]]=10000),"&gt;=5k",Table2[[#This Row],[SampleSize]])</f>
        <v>3000</v>
      </c>
      <c r="U62">
        <v>2.5000000000000001E-2</v>
      </c>
      <c r="V62" t="s">
        <v>56</v>
      </c>
      <c r="W62" t="s">
        <v>56</v>
      </c>
      <c r="X62" t="s">
        <v>57</v>
      </c>
      <c r="Y62" t="s">
        <v>58</v>
      </c>
      <c r="Z62">
        <v>3</v>
      </c>
      <c r="AA62">
        <v>1</v>
      </c>
      <c r="AB62" t="s">
        <v>59</v>
      </c>
      <c r="AC62" t="s">
        <v>56</v>
      </c>
      <c r="AD62" t="s">
        <v>56</v>
      </c>
      <c r="AE62" t="s">
        <v>60</v>
      </c>
      <c r="AF62" t="s">
        <v>61</v>
      </c>
      <c r="AG62" t="s">
        <v>62</v>
      </c>
      <c r="AH62" t="s">
        <v>63</v>
      </c>
      <c r="AI62" t="s">
        <v>64</v>
      </c>
      <c r="AJ62" t="s">
        <v>65</v>
      </c>
      <c r="AK62" t="s">
        <v>97</v>
      </c>
      <c r="AL62" t="s">
        <v>67</v>
      </c>
      <c r="AM62" t="b">
        <v>0</v>
      </c>
      <c r="AN62" t="b">
        <v>1</v>
      </c>
      <c r="AO62">
        <v>1</v>
      </c>
      <c r="AP62">
        <v>1</v>
      </c>
      <c r="AQ62" t="s">
        <v>77</v>
      </c>
      <c r="AR62" t="s">
        <v>78</v>
      </c>
      <c r="AS62">
        <v>0.25</v>
      </c>
      <c r="AT62" t="b">
        <v>1</v>
      </c>
      <c r="AU62" t="s">
        <v>36</v>
      </c>
      <c r="AV62">
        <v>20000</v>
      </c>
      <c r="AW62">
        <v>2000</v>
      </c>
      <c r="AX62">
        <v>4346</v>
      </c>
      <c r="AY62" t="b">
        <v>1</v>
      </c>
      <c r="AZ62" t="b">
        <v>0</v>
      </c>
      <c r="BA62" t="b">
        <v>1</v>
      </c>
      <c r="BB62" t="b">
        <v>1</v>
      </c>
      <c r="BC62">
        <v>0</v>
      </c>
      <c r="BD62" t="s">
        <v>244</v>
      </c>
      <c r="BE62">
        <v>3</v>
      </c>
      <c r="BH62">
        <v>102</v>
      </c>
      <c r="BI62">
        <f>INDEX(Table2[SampleSize],MATCH(BH62,Table2[ModelID],0))</f>
        <v>5000</v>
      </c>
      <c r="BJ62" t="str">
        <f>INDEX(Table2[FWERControl],MATCH(BH62,Table2[ModelID],0))</f>
        <v>None</v>
      </c>
      <c r="BK62" t="b">
        <f>INDEX(Table2[UseCC],MATCH(BH62,Table2[ModelID],0))</f>
        <v>1</v>
      </c>
      <c r="BL62" s="13">
        <f>INDEX(Table2[SelectionParmeter],MATCH(BH62,Table2[ModelID],0))</f>
        <v>1</v>
      </c>
      <c r="BM62" s="12" t="str">
        <f>INDEX(Table2[info_frac],MATCH(BH62,Table2[ModelID],0))</f>
        <v>c(0.5,1)</v>
      </c>
      <c r="BN62" s="14">
        <f>INDEX(Table2[FWER],MATCH(BH62,Table2[ModelID],0))</f>
        <v>2.3898699999999998E-2</v>
      </c>
      <c r="BO62" t="str">
        <f>INDEX(Table2[CI_95perc_FWER],MATCH(BH62,Table2[ModelID],0))</f>
        <v>(0.02267,0.02513)</v>
      </c>
    </row>
    <row r="63" spans="1:76" x14ac:dyDescent="0.25">
      <c r="A63">
        <v>85</v>
      </c>
      <c r="B63" t="s">
        <v>369</v>
      </c>
      <c r="C63">
        <v>2300</v>
      </c>
      <c r="D63">
        <v>2.5882024999999999E-2</v>
      </c>
      <c r="E63">
        <v>0</v>
      </c>
      <c r="F63">
        <v>0</v>
      </c>
      <c r="G63">
        <v>2.5882024999999999E-2</v>
      </c>
      <c r="H63" t="s">
        <v>370</v>
      </c>
      <c r="I63" t="s">
        <v>52</v>
      </c>
      <c r="J63" t="s">
        <v>52</v>
      </c>
      <c r="K63" t="s">
        <v>370</v>
      </c>
      <c r="L63">
        <f>_xlfn.NUMBERVALUE(MID(Table2[[#This Row],[CI_95perc_FWER]],2,FIND(",",Table2[[#This Row],[CI_95perc_FWER]])-2))</f>
        <v>2.496E-2</v>
      </c>
      <c r="M63">
        <f>_xlfn.NUMBERVALUE(MID(Table2[[#This Row],[CI_95perc_FWER]],FIND(",",Table2[[#This Row],[CI_95perc_FWER]])+1, LEN(Table2[[#This Row],[CI_95perc_FWER]])-FIND(",",Table2[[#This Row],[CI_95perc_FWER]])-1))</f>
        <v>2.681E-2</v>
      </c>
      <c r="N63" s="1">
        <v>28456</v>
      </c>
      <c r="O63" t="s">
        <v>371</v>
      </c>
      <c r="P63">
        <v>2.0113618594407998</v>
      </c>
      <c r="Q63" t="s">
        <v>54</v>
      </c>
      <c r="R63" t="s">
        <v>55</v>
      </c>
      <c r="S63">
        <v>3000</v>
      </c>
      <c r="T63">
        <f>IF(OR(Table2[[#This Row],[SampleSize]]=5000,Table2[[#This Row],[SampleSize]]=10000),"&gt;=5k",Table2[[#This Row],[SampleSize]])</f>
        <v>3000</v>
      </c>
      <c r="U63">
        <v>2.5000000000000001E-2</v>
      </c>
      <c r="V63" t="s">
        <v>56</v>
      </c>
      <c r="W63" t="s">
        <v>56</v>
      </c>
      <c r="X63" t="s">
        <v>57</v>
      </c>
      <c r="Y63" t="s">
        <v>58</v>
      </c>
      <c r="Z63">
        <v>3</v>
      </c>
      <c r="AA63">
        <v>1</v>
      </c>
      <c r="AB63" t="s">
        <v>59</v>
      </c>
      <c r="AC63" t="s">
        <v>56</v>
      </c>
      <c r="AD63" t="s">
        <v>56</v>
      </c>
      <c r="AE63" t="s">
        <v>60</v>
      </c>
      <c r="AF63" t="s">
        <v>61</v>
      </c>
      <c r="AG63" t="s">
        <v>62</v>
      </c>
      <c r="AH63" t="s">
        <v>63</v>
      </c>
      <c r="AI63" t="s">
        <v>64</v>
      </c>
      <c r="AJ63" t="s">
        <v>65</v>
      </c>
      <c r="AK63" t="s">
        <v>97</v>
      </c>
      <c r="AL63" t="s">
        <v>67</v>
      </c>
      <c r="AM63" t="b">
        <v>0</v>
      </c>
      <c r="AN63" t="b">
        <v>1</v>
      </c>
      <c r="AO63">
        <v>1</v>
      </c>
      <c r="AP63">
        <v>1</v>
      </c>
      <c r="AQ63" t="s">
        <v>77</v>
      </c>
      <c r="AR63" t="s">
        <v>73</v>
      </c>
      <c r="AS63">
        <v>2</v>
      </c>
      <c r="AT63" t="b">
        <v>1</v>
      </c>
      <c r="AU63" t="s">
        <v>36</v>
      </c>
      <c r="AV63">
        <v>20000</v>
      </c>
      <c r="AW63">
        <v>2000</v>
      </c>
      <c r="AX63">
        <v>2300</v>
      </c>
      <c r="AY63" t="b">
        <v>1</v>
      </c>
      <c r="AZ63" t="b">
        <v>0</v>
      </c>
      <c r="BA63" t="b">
        <v>1</v>
      </c>
      <c r="BB63" t="b">
        <v>1</v>
      </c>
      <c r="BC63">
        <v>0</v>
      </c>
      <c r="BD63" t="s">
        <v>244</v>
      </c>
      <c r="BE63">
        <v>11</v>
      </c>
    </row>
    <row r="64" spans="1:76" x14ac:dyDescent="0.25">
      <c r="A64">
        <v>86</v>
      </c>
      <c r="B64" t="s">
        <v>372</v>
      </c>
      <c r="C64">
        <v>2402</v>
      </c>
      <c r="D64">
        <v>2.5807424999999998E-2</v>
      </c>
      <c r="E64">
        <v>0</v>
      </c>
      <c r="F64">
        <v>0</v>
      </c>
      <c r="G64">
        <v>2.5807424999999998E-2</v>
      </c>
      <c r="H64" t="s">
        <v>373</v>
      </c>
      <c r="I64" t="s">
        <v>52</v>
      </c>
      <c r="J64" t="s">
        <v>52</v>
      </c>
      <c r="K64" t="s">
        <v>373</v>
      </c>
      <c r="L64">
        <f>_xlfn.NUMBERVALUE(MID(Table2[[#This Row],[CI_95perc_FWER]],2,FIND(",",Table2[[#This Row],[CI_95perc_FWER]])-2))</f>
        <v>2.4879999999999999E-2</v>
      </c>
      <c r="M64">
        <f>_xlfn.NUMBERVALUE(MID(Table2[[#This Row],[CI_95perc_FWER]],FIND(",",Table2[[#This Row],[CI_95perc_FWER]])+1, LEN(Table2[[#This Row],[CI_95perc_FWER]])-FIND(",",Table2[[#This Row],[CI_95perc_FWER]])-1))</f>
        <v>2.673E-2</v>
      </c>
      <c r="N64" s="1">
        <v>28458</v>
      </c>
      <c r="O64" t="s">
        <v>374</v>
      </c>
      <c r="P64">
        <v>1.2883558524979499</v>
      </c>
      <c r="Q64" t="s">
        <v>54</v>
      </c>
      <c r="R64" t="s">
        <v>55</v>
      </c>
      <c r="S64">
        <v>3000</v>
      </c>
      <c r="T64">
        <f>IF(OR(Table2[[#This Row],[SampleSize]]=5000,Table2[[#This Row],[SampleSize]]=10000),"&gt;=5k",Table2[[#This Row],[SampleSize]])</f>
        <v>3000</v>
      </c>
      <c r="U64">
        <v>2.5000000000000001E-2</v>
      </c>
      <c r="V64" t="s">
        <v>56</v>
      </c>
      <c r="W64" t="s">
        <v>56</v>
      </c>
      <c r="X64" t="s">
        <v>57</v>
      </c>
      <c r="Y64" t="s">
        <v>58</v>
      </c>
      <c r="Z64">
        <v>3</v>
      </c>
      <c r="AA64">
        <v>1</v>
      </c>
      <c r="AB64" t="s">
        <v>59</v>
      </c>
      <c r="AC64" t="s">
        <v>56</v>
      </c>
      <c r="AD64" t="s">
        <v>56</v>
      </c>
      <c r="AE64" t="s">
        <v>60</v>
      </c>
      <c r="AF64" t="s">
        <v>61</v>
      </c>
      <c r="AG64" t="s">
        <v>62</v>
      </c>
      <c r="AH64" t="s">
        <v>63</v>
      </c>
      <c r="AI64" t="s">
        <v>64</v>
      </c>
      <c r="AJ64" t="s">
        <v>65</v>
      </c>
      <c r="AK64" t="s">
        <v>97</v>
      </c>
      <c r="AL64" t="s">
        <v>67</v>
      </c>
      <c r="AM64" t="b">
        <v>0</v>
      </c>
      <c r="AN64" t="b">
        <v>1</v>
      </c>
      <c r="AO64">
        <v>1</v>
      </c>
      <c r="AP64">
        <v>1</v>
      </c>
      <c r="AQ64" t="s">
        <v>77</v>
      </c>
      <c r="AR64" t="s">
        <v>78</v>
      </c>
      <c r="AS64">
        <v>0.5</v>
      </c>
      <c r="AT64" t="b">
        <v>0</v>
      </c>
      <c r="AU64" t="s">
        <v>68</v>
      </c>
      <c r="AV64">
        <v>20000</v>
      </c>
      <c r="AW64">
        <v>2000</v>
      </c>
      <c r="AX64">
        <v>2402</v>
      </c>
      <c r="AY64" t="b">
        <v>1</v>
      </c>
      <c r="AZ64" t="b">
        <v>0</v>
      </c>
      <c r="BA64" t="b">
        <v>1</v>
      </c>
      <c r="BB64" t="b">
        <v>1</v>
      </c>
      <c r="BC64">
        <v>0</v>
      </c>
      <c r="BD64" t="s">
        <v>244</v>
      </c>
      <c r="BE64">
        <v>5</v>
      </c>
      <c r="BH64" s="14" t="s">
        <v>521</v>
      </c>
      <c r="BI64" s="14" t="s">
        <v>522</v>
      </c>
      <c r="BQ64" s="14" t="s">
        <v>523</v>
      </c>
      <c r="BR64" s="14" t="s">
        <v>524</v>
      </c>
    </row>
    <row r="65" spans="1:76" x14ac:dyDescent="0.25">
      <c r="A65">
        <v>89</v>
      </c>
      <c r="B65" t="s">
        <v>382</v>
      </c>
      <c r="C65">
        <v>64564</v>
      </c>
      <c r="D65">
        <v>2.488435E-2</v>
      </c>
      <c r="E65">
        <v>0</v>
      </c>
      <c r="F65">
        <v>0</v>
      </c>
      <c r="G65">
        <v>2.488435E-2</v>
      </c>
      <c r="H65" t="s">
        <v>383</v>
      </c>
      <c r="I65" t="s">
        <v>52</v>
      </c>
      <c r="J65" t="s">
        <v>52</v>
      </c>
      <c r="K65" t="s">
        <v>383</v>
      </c>
      <c r="L65">
        <f>_xlfn.NUMBERVALUE(MID(Table2[[#This Row],[CI_95perc_FWER]],2,FIND(",",Table2[[#This Row],[CI_95perc_FWER]])-2))</f>
        <v>2.3359999999999999E-2</v>
      </c>
      <c r="M65">
        <f>_xlfn.NUMBERVALUE(MID(Table2[[#This Row],[CI_95perc_FWER]],FIND(",",Table2[[#This Row],[CI_95perc_FWER]])+1, LEN(Table2[[#This Row],[CI_95perc_FWER]])-FIND(",",Table2[[#This Row],[CI_95perc_FWER]])-1))</f>
        <v>2.6409999999999999E-2</v>
      </c>
      <c r="N65" s="1">
        <v>195300</v>
      </c>
      <c r="O65" t="s">
        <v>384</v>
      </c>
      <c r="P65">
        <v>2.0398623975118002</v>
      </c>
      <c r="Q65" t="s">
        <v>54</v>
      </c>
      <c r="R65" t="s">
        <v>55</v>
      </c>
      <c r="S65">
        <v>3000</v>
      </c>
      <c r="T65">
        <f>IF(OR(Table2[[#This Row],[SampleSize]]=5000,Table2[[#This Row],[SampleSize]]=10000),"&gt;=5k",Table2[[#This Row],[SampleSize]])</f>
        <v>3000</v>
      </c>
      <c r="U65">
        <v>2.5000000000000001E-2</v>
      </c>
      <c r="V65" t="s">
        <v>56</v>
      </c>
      <c r="W65" t="s">
        <v>56</v>
      </c>
      <c r="X65" t="s">
        <v>57</v>
      </c>
      <c r="Y65" t="s">
        <v>58</v>
      </c>
      <c r="Z65">
        <v>3</v>
      </c>
      <c r="AA65">
        <v>1</v>
      </c>
      <c r="AB65" t="s">
        <v>59</v>
      </c>
      <c r="AC65" t="s">
        <v>56</v>
      </c>
      <c r="AD65" t="s">
        <v>56</v>
      </c>
      <c r="AE65" t="s">
        <v>60</v>
      </c>
      <c r="AF65" t="s">
        <v>61</v>
      </c>
      <c r="AG65" t="s">
        <v>62</v>
      </c>
      <c r="AH65" t="s">
        <v>63</v>
      </c>
      <c r="AI65" t="s">
        <v>64</v>
      </c>
      <c r="AJ65" t="s">
        <v>65</v>
      </c>
      <c r="AK65" t="s">
        <v>66</v>
      </c>
      <c r="AL65" t="s">
        <v>67</v>
      </c>
      <c r="AM65" t="b">
        <v>0</v>
      </c>
      <c r="AN65" t="b">
        <v>0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68</v>
      </c>
      <c r="AV65">
        <v>20000</v>
      </c>
      <c r="AW65">
        <v>2000</v>
      </c>
      <c r="AX65">
        <v>64564</v>
      </c>
      <c r="AY65" t="b">
        <v>1</v>
      </c>
      <c r="AZ65" t="b">
        <v>0</v>
      </c>
      <c r="BA65" t="b">
        <v>1</v>
      </c>
      <c r="BB65" t="b">
        <v>0</v>
      </c>
      <c r="BC65">
        <v>1</v>
      </c>
      <c r="BD65" t="s">
        <v>378</v>
      </c>
      <c r="BE65">
        <v>2</v>
      </c>
      <c r="BH65" t="s">
        <v>449</v>
      </c>
      <c r="BI65" t="s">
        <v>450</v>
      </c>
      <c r="BJ65" t="s">
        <v>451</v>
      </c>
      <c r="BK65" t="s">
        <v>452</v>
      </c>
      <c r="BL65" s="13" t="s">
        <v>453</v>
      </c>
      <c r="BM65" s="12" t="s">
        <v>454</v>
      </c>
      <c r="BN65" s="14" t="s">
        <v>6</v>
      </c>
      <c r="BO65" t="s">
        <v>455</v>
      </c>
      <c r="BQ65" t="s">
        <v>449</v>
      </c>
      <c r="BR65" t="s">
        <v>450</v>
      </c>
      <c r="BS65" t="s">
        <v>451</v>
      </c>
      <c r="BT65" t="s">
        <v>452</v>
      </c>
      <c r="BU65" s="13" t="s">
        <v>453</v>
      </c>
      <c r="BV65" s="12" t="s">
        <v>454</v>
      </c>
      <c r="BW65" s="14" t="s">
        <v>6</v>
      </c>
      <c r="BX65" t="s">
        <v>455</v>
      </c>
    </row>
    <row r="66" spans="1:76" x14ac:dyDescent="0.25">
      <c r="A66">
        <v>92</v>
      </c>
      <c r="B66" t="s">
        <v>391</v>
      </c>
      <c r="C66">
        <v>2402</v>
      </c>
      <c r="D66">
        <v>2.6798599999999999E-2</v>
      </c>
      <c r="E66">
        <v>0</v>
      </c>
      <c r="F66">
        <v>0</v>
      </c>
      <c r="G66">
        <v>2.6798599999999999E-2</v>
      </c>
      <c r="H66" t="s">
        <v>392</v>
      </c>
      <c r="I66" t="s">
        <v>52</v>
      </c>
      <c r="J66" t="s">
        <v>52</v>
      </c>
      <c r="K66" t="s">
        <v>392</v>
      </c>
      <c r="L66">
        <f>_xlfn.NUMBERVALUE(MID(Table2[[#This Row],[CI_95perc_FWER]],2,FIND(",",Table2[[#This Row],[CI_95perc_FWER]])-2))</f>
        <v>2.5219999999999999E-2</v>
      </c>
      <c r="M66">
        <f>_xlfn.NUMBERVALUE(MID(Table2[[#This Row],[CI_95perc_FWER]],FIND(",",Table2[[#This Row],[CI_95perc_FWER]])+1, LEN(Table2[[#This Row],[CI_95perc_FWER]])-FIND(",",Table2[[#This Row],[CI_95perc_FWER]])-1))</f>
        <v>2.8379999999999999E-2</v>
      </c>
      <c r="N66" s="1">
        <v>207334</v>
      </c>
      <c r="O66" t="s">
        <v>393</v>
      </c>
      <c r="P66">
        <v>1.2309202249844899</v>
      </c>
      <c r="Q66" t="s">
        <v>54</v>
      </c>
      <c r="R66" t="s">
        <v>55</v>
      </c>
      <c r="S66">
        <v>3000</v>
      </c>
      <c r="T66">
        <f>IF(OR(Table2[[#This Row],[SampleSize]]=5000,Table2[[#This Row],[SampleSize]]=10000),"&gt;=5k",Table2[[#This Row],[SampleSize]])</f>
        <v>3000</v>
      </c>
      <c r="U66">
        <v>2.5000000000000001E-2</v>
      </c>
      <c r="V66" t="s">
        <v>56</v>
      </c>
      <c r="W66" t="s">
        <v>56</v>
      </c>
      <c r="X66" t="s">
        <v>57</v>
      </c>
      <c r="Y66" t="s">
        <v>58</v>
      </c>
      <c r="Z66">
        <v>3</v>
      </c>
      <c r="AA66">
        <v>1</v>
      </c>
      <c r="AB66" t="s">
        <v>59</v>
      </c>
      <c r="AC66" t="s">
        <v>56</v>
      </c>
      <c r="AD66" t="s">
        <v>56</v>
      </c>
      <c r="AE66" t="s">
        <v>60</v>
      </c>
      <c r="AF66" t="s">
        <v>61</v>
      </c>
      <c r="AG66" t="s">
        <v>62</v>
      </c>
      <c r="AH66" t="s">
        <v>63</v>
      </c>
      <c r="AI66" t="s">
        <v>64</v>
      </c>
      <c r="AJ66" t="s">
        <v>65</v>
      </c>
      <c r="AK66" t="s">
        <v>66</v>
      </c>
      <c r="AL66" t="s">
        <v>67</v>
      </c>
      <c r="AM66" t="b">
        <v>0</v>
      </c>
      <c r="AN66" t="b">
        <v>1</v>
      </c>
      <c r="AO66">
        <v>1</v>
      </c>
      <c r="AP66">
        <v>1</v>
      </c>
      <c r="AQ66" t="s">
        <v>77</v>
      </c>
      <c r="AR66" t="s">
        <v>78</v>
      </c>
      <c r="AS66">
        <v>0.5</v>
      </c>
      <c r="AT66" t="b">
        <v>0</v>
      </c>
      <c r="AU66" t="s">
        <v>68</v>
      </c>
      <c r="AV66">
        <v>20000</v>
      </c>
      <c r="AW66">
        <v>2000</v>
      </c>
      <c r="AX66">
        <v>2402</v>
      </c>
      <c r="AY66" t="b">
        <v>1</v>
      </c>
      <c r="AZ66" t="b">
        <v>0</v>
      </c>
      <c r="BA66" t="b">
        <v>1</v>
      </c>
      <c r="BB66" t="b">
        <v>0</v>
      </c>
      <c r="BC66">
        <v>0</v>
      </c>
      <c r="BD66" t="s">
        <v>378</v>
      </c>
      <c r="BE66">
        <v>6</v>
      </c>
      <c r="BH66">
        <v>24</v>
      </c>
      <c r="BI66">
        <f>INDEX(Table2[SampleSize],MATCH(BH66,Table2[ModelID],0))</f>
        <v>400</v>
      </c>
      <c r="BJ66" t="str">
        <f>INDEX(Table2[FWERControl],MATCH(BH66,Table2[ModelID],0))</f>
        <v>CombinationTest</v>
      </c>
      <c r="BK66" t="b">
        <f>INDEX(Table2[UseCC],MATCH(BH66,Table2[ModelID],0))</f>
        <v>0</v>
      </c>
      <c r="BL66" s="13">
        <f>INDEX(Table2[SelectionParmeter],MATCH(BH66,Table2[ModelID],0))</f>
        <v>2</v>
      </c>
      <c r="BM66" s="12" t="str">
        <f>INDEX(Table2[info_frac],MATCH(BH66,Table2[ModelID],0))</f>
        <v>c(0.5,1)</v>
      </c>
      <c r="BN66" s="14">
        <f>INDEX(Table2[FWER],MATCH(BH66,Table2[ModelID],0))</f>
        <v>2.7430900000000001E-2</v>
      </c>
      <c r="BO66" t="str">
        <f>INDEX(Table2[CI_95perc_FWER],MATCH(BH66,Table2[ModelID],0))</f>
        <v>(0.02607,0.0288)</v>
      </c>
      <c r="BQ66">
        <v>16</v>
      </c>
      <c r="BR66">
        <f>INDEX(Table2[SampleSize],MATCH(BQ66,Table2[ModelID],0))</f>
        <v>600</v>
      </c>
      <c r="BS66" t="str">
        <f>INDEX(Table2[FWERControl],MATCH(BQ66,Table2[ModelID],0))</f>
        <v>CombinationTest</v>
      </c>
      <c r="BT66" t="b">
        <f>INDEX(Table2[UseCC],MATCH(BQ66,Table2[ModelID],0))</f>
        <v>0</v>
      </c>
      <c r="BU66" s="13">
        <f>INDEX(Table2[SelectionParmeter],MATCH(BQ66,Table2[ModelID],0))</f>
        <v>2</v>
      </c>
      <c r="BV66" s="12" t="str">
        <f>INDEX(Table2[info_frac],MATCH(BQ66,Table2[ModelID],0))</f>
        <v>c(0.75,1)</v>
      </c>
      <c r="BW66" s="14">
        <f>INDEX(Table2[FWER],MATCH(BQ66,Table2[ModelID],0))</f>
        <v>2.8512200000000001E-2</v>
      </c>
      <c r="BX66" t="str">
        <f>INDEX(Table2[CI_95perc_FWER],MATCH(BQ66,Table2[ModelID],0))</f>
        <v>(0.02616,0.03087)</v>
      </c>
    </row>
    <row r="67" spans="1:76" x14ac:dyDescent="0.25">
      <c r="A67">
        <v>95</v>
      </c>
      <c r="B67" t="s">
        <v>399</v>
      </c>
      <c r="C67">
        <v>64564</v>
      </c>
      <c r="D67">
        <v>2.4739225E-2</v>
      </c>
      <c r="E67">
        <v>0</v>
      </c>
      <c r="F67">
        <v>0</v>
      </c>
      <c r="G67">
        <v>2.4739225E-2</v>
      </c>
      <c r="H67" t="s">
        <v>400</v>
      </c>
      <c r="I67" t="s">
        <v>52</v>
      </c>
      <c r="J67" t="s">
        <v>52</v>
      </c>
      <c r="K67" t="s">
        <v>400</v>
      </c>
      <c r="L67">
        <f>_xlfn.NUMBERVALUE(MID(Table2[[#This Row],[CI_95perc_FWER]],2,FIND(",",Table2[[#This Row],[CI_95perc_FWER]])-2))</f>
        <v>2.3220000000000001E-2</v>
      </c>
      <c r="M67">
        <f>_xlfn.NUMBERVALUE(MID(Table2[[#This Row],[CI_95perc_FWER]],FIND(",",Table2[[#This Row],[CI_95perc_FWER]])+1, LEN(Table2[[#This Row],[CI_95perc_FWER]])-FIND(",",Table2[[#This Row],[CI_95perc_FWER]])-1))</f>
        <v>2.6259999999999999E-2</v>
      </c>
      <c r="N67" s="1">
        <v>194294</v>
      </c>
      <c r="O67" t="s">
        <v>401</v>
      </c>
      <c r="P67">
        <v>1.9700325733423201</v>
      </c>
      <c r="Q67" t="s">
        <v>54</v>
      </c>
      <c r="R67" t="s">
        <v>55</v>
      </c>
      <c r="S67">
        <v>3000</v>
      </c>
      <c r="T67">
        <f>IF(OR(Table2[[#This Row],[SampleSize]]=5000,Table2[[#This Row],[SampleSize]]=10000),"&gt;=5k",Table2[[#This Row],[SampleSize]])</f>
        <v>3000</v>
      </c>
      <c r="U67">
        <v>2.5000000000000001E-2</v>
      </c>
      <c r="V67" t="s">
        <v>56</v>
      </c>
      <c r="W67" t="s">
        <v>56</v>
      </c>
      <c r="X67" t="s">
        <v>57</v>
      </c>
      <c r="Y67" t="s">
        <v>58</v>
      </c>
      <c r="Z67">
        <v>3</v>
      </c>
      <c r="AA67">
        <v>1</v>
      </c>
      <c r="AB67" t="s">
        <v>59</v>
      </c>
      <c r="AC67" t="s">
        <v>56</v>
      </c>
      <c r="AD67" t="s">
        <v>56</v>
      </c>
      <c r="AE67" t="s">
        <v>60</v>
      </c>
      <c r="AF67" t="s">
        <v>61</v>
      </c>
      <c r="AG67" t="s">
        <v>62</v>
      </c>
      <c r="AH67" t="s">
        <v>63</v>
      </c>
      <c r="AI67" t="s">
        <v>64</v>
      </c>
      <c r="AJ67" t="s">
        <v>65</v>
      </c>
      <c r="AK67" t="s">
        <v>66</v>
      </c>
      <c r="AL67" t="s">
        <v>67</v>
      </c>
      <c r="AM67" t="b">
        <v>0</v>
      </c>
      <c r="AN67" t="b">
        <v>0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68</v>
      </c>
      <c r="AV67">
        <v>20000</v>
      </c>
      <c r="AW67">
        <v>2000</v>
      </c>
      <c r="AX67">
        <v>64564</v>
      </c>
      <c r="AY67" t="b">
        <v>1</v>
      </c>
      <c r="AZ67" t="b">
        <v>0</v>
      </c>
      <c r="BA67" t="b">
        <v>1</v>
      </c>
      <c r="BB67" t="b">
        <v>1</v>
      </c>
      <c r="BC67">
        <v>0</v>
      </c>
      <c r="BD67" t="s">
        <v>378</v>
      </c>
      <c r="BE67">
        <v>2</v>
      </c>
      <c r="BH67">
        <v>32</v>
      </c>
      <c r="BI67">
        <f>INDEX(Table2[SampleSize],MATCH(BH67,Table2[ModelID],0))</f>
        <v>400</v>
      </c>
      <c r="BJ67" t="str">
        <f>INDEX(Table2[FWERControl],MATCH(BH67,Table2[ModelID],0))</f>
        <v>None</v>
      </c>
      <c r="BK67" t="b">
        <f>INDEX(Table2[UseCC],MATCH(BH67,Table2[ModelID],0))</f>
        <v>0</v>
      </c>
      <c r="BL67" s="13">
        <f>INDEX(Table2[SelectionParmeter],MATCH(BH67,Table2[ModelID],0))</f>
        <v>2</v>
      </c>
      <c r="BM67" s="12" t="str">
        <f>INDEX(Table2[info_frac],MATCH(BH67,Table2[ModelID],0))</f>
        <v>c(0.5,1)</v>
      </c>
      <c r="BN67" s="14">
        <f>INDEX(Table2[FWER],MATCH(BH67,Table2[ModelID],0))</f>
        <v>2.64841E-2</v>
      </c>
      <c r="BO67" t="str">
        <f>INDEX(Table2[CI_95perc_FWER],MATCH(BH67,Table2[ModelID],0))</f>
        <v>(0.02516,0.02781)</v>
      </c>
      <c r="BQ67">
        <v>40</v>
      </c>
      <c r="BR67">
        <f>INDEX(Table2[SampleSize],MATCH(BQ67,Table2[ModelID],0))</f>
        <v>600</v>
      </c>
      <c r="BS67" t="str">
        <f>INDEX(Table2[FWERControl],MATCH(BQ67,Table2[ModelID],0))</f>
        <v>CombinationTest</v>
      </c>
      <c r="BT67" t="b">
        <f>INDEX(Table2[UseCC],MATCH(BQ67,Table2[ModelID],0))</f>
        <v>1</v>
      </c>
      <c r="BU67" s="13">
        <f>INDEX(Table2[SelectionParmeter],MATCH(BQ67,Table2[ModelID],0))</f>
        <v>2</v>
      </c>
      <c r="BV67" s="12" t="str">
        <f>INDEX(Table2[info_frac],MATCH(BQ67,Table2[ModelID],0))</f>
        <v>c(0.75,1)</v>
      </c>
      <c r="BW67" s="14">
        <f>INDEX(Table2[FWER],MATCH(BQ67,Table2[ModelID],0))</f>
        <v>2.64572E-2</v>
      </c>
      <c r="BX67" t="str">
        <f>INDEX(Table2[CI_95perc_FWER],MATCH(BQ67,Table2[ModelID],0))</f>
        <v>(0.02417,0.02874)</v>
      </c>
    </row>
    <row r="68" spans="1:76" x14ac:dyDescent="0.25">
      <c r="A68">
        <v>98</v>
      </c>
      <c r="B68" t="s">
        <v>407</v>
      </c>
      <c r="C68">
        <v>2402</v>
      </c>
      <c r="D68">
        <v>2.6662425E-2</v>
      </c>
      <c r="E68">
        <v>0</v>
      </c>
      <c r="F68">
        <v>0</v>
      </c>
      <c r="G68">
        <v>2.6662425E-2</v>
      </c>
      <c r="H68" t="s">
        <v>408</v>
      </c>
      <c r="I68" t="s">
        <v>52</v>
      </c>
      <c r="J68" t="s">
        <v>52</v>
      </c>
      <c r="K68" t="s">
        <v>408</v>
      </c>
      <c r="L68">
        <f>_xlfn.NUMBERVALUE(MID(Table2[[#This Row],[CI_95perc_FWER]],2,FIND(",",Table2[[#This Row],[CI_95perc_FWER]])-2))</f>
        <v>2.5080000000000002E-2</v>
      </c>
      <c r="M68">
        <f>_xlfn.NUMBERVALUE(MID(Table2[[#This Row],[CI_95perc_FWER]],FIND(",",Table2[[#This Row],[CI_95perc_FWER]])+1, LEN(Table2[[#This Row],[CI_95perc_FWER]])-FIND(",",Table2[[#This Row],[CI_95perc_FWER]])-1))</f>
        <v>2.8240000000000001E-2</v>
      </c>
      <c r="N68" s="1">
        <v>207332</v>
      </c>
      <c r="O68" t="s">
        <v>409</v>
      </c>
      <c r="P68">
        <v>1.2419511408276001</v>
      </c>
      <c r="Q68" t="s">
        <v>54</v>
      </c>
      <c r="R68" t="s">
        <v>55</v>
      </c>
      <c r="S68">
        <v>3000</v>
      </c>
      <c r="T68">
        <f>IF(OR(Table2[[#This Row],[SampleSize]]=5000,Table2[[#This Row],[SampleSize]]=10000),"&gt;=5k",Table2[[#This Row],[SampleSize]])</f>
        <v>3000</v>
      </c>
      <c r="U68">
        <v>2.5000000000000001E-2</v>
      </c>
      <c r="V68" t="s">
        <v>56</v>
      </c>
      <c r="W68" t="s">
        <v>56</v>
      </c>
      <c r="X68" t="s">
        <v>57</v>
      </c>
      <c r="Y68" t="s">
        <v>58</v>
      </c>
      <c r="Z68">
        <v>3</v>
      </c>
      <c r="AA68">
        <v>1</v>
      </c>
      <c r="AB68" t="s">
        <v>59</v>
      </c>
      <c r="AC68" t="s">
        <v>56</v>
      </c>
      <c r="AD68" t="s">
        <v>56</v>
      </c>
      <c r="AE68" t="s">
        <v>60</v>
      </c>
      <c r="AF68" t="s">
        <v>61</v>
      </c>
      <c r="AG68" t="s">
        <v>62</v>
      </c>
      <c r="AH68" t="s">
        <v>63</v>
      </c>
      <c r="AI68" t="s">
        <v>64</v>
      </c>
      <c r="AJ68" t="s">
        <v>65</v>
      </c>
      <c r="AK68" t="s">
        <v>66</v>
      </c>
      <c r="AL68" t="s">
        <v>67</v>
      </c>
      <c r="AM68" t="b">
        <v>0</v>
      </c>
      <c r="AN68" t="b">
        <v>1</v>
      </c>
      <c r="AO68">
        <v>1</v>
      </c>
      <c r="AP68">
        <v>1</v>
      </c>
      <c r="AQ68" t="s">
        <v>77</v>
      </c>
      <c r="AR68" t="s">
        <v>78</v>
      </c>
      <c r="AS68">
        <v>0.5</v>
      </c>
      <c r="AT68" t="b">
        <v>0</v>
      </c>
      <c r="AU68" t="s">
        <v>68</v>
      </c>
      <c r="AV68">
        <v>20000</v>
      </c>
      <c r="AW68">
        <v>2000</v>
      </c>
      <c r="AX68">
        <v>2402</v>
      </c>
      <c r="AY68" t="b">
        <v>1</v>
      </c>
      <c r="AZ68" t="b">
        <v>0</v>
      </c>
      <c r="BA68" t="b">
        <v>1</v>
      </c>
      <c r="BB68" t="b">
        <v>1</v>
      </c>
      <c r="BC68">
        <v>0</v>
      </c>
      <c r="BD68" t="s">
        <v>378</v>
      </c>
      <c r="BE68">
        <v>6</v>
      </c>
      <c r="BH68">
        <v>70</v>
      </c>
      <c r="BI68">
        <f>INDEX(Table2[SampleSize],MATCH(BH68,Table2[ModelID],0))</f>
        <v>1000</v>
      </c>
      <c r="BJ68" t="str">
        <f>INDEX(Table2[FWERControl],MATCH(BH68,Table2[ModelID],0))</f>
        <v>CombinationTest</v>
      </c>
      <c r="BK68" t="b">
        <f>INDEX(Table2[UseCC],MATCH(BH68,Table2[ModelID],0))</f>
        <v>0</v>
      </c>
      <c r="BL68" s="13">
        <f>INDEX(Table2[SelectionParmeter],MATCH(BH68,Table2[ModelID],0))</f>
        <v>2</v>
      </c>
      <c r="BM68" s="12" t="str">
        <f>INDEX(Table2[info_frac],MATCH(BH68,Table2[ModelID],0))</f>
        <v>c(0.5,1)</v>
      </c>
      <c r="BN68" s="14">
        <f>INDEX(Table2[FWER],MATCH(BH68,Table2[ModelID],0))</f>
        <v>2.6193850000000001E-2</v>
      </c>
      <c r="BO68" t="str">
        <f>INDEX(Table2[CI_95perc_FWER],MATCH(BH68,Table2[ModelID],0))</f>
        <v>(0.02524,0.02715)</v>
      </c>
      <c r="BQ68">
        <v>91</v>
      </c>
      <c r="BR68">
        <f>INDEX(Table2[SampleSize],MATCH(BQ68,Table2[ModelID],0))</f>
        <v>1000</v>
      </c>
      <c r="BS68" t="str">
        <f>INDEX(Table2[FWERControl],MATCH(BQ68,Table2[ModelID],0))</f>
        <v>CombinationTest</v>
      </c>
      <c r="BT68" t="b">
        <f>INDEX(Table2[UseCC],MATCH(BQ68,Table2[ModelID],0))</f>
        <v>0</v>
      </c>
      <c r="BU68" s="13">
        <f>INDEX(Table2[SelectionParmeter],MATCH(BQ68,Table2[ModelID],0))</f>
        <v>2</v>
      </c>
      <c r="BV68" s="12" t="str">
        <f>INDEX(Table2[info_frac],MATCH(BQ68,Table2[ModelID],0))</f>
        <v>c(0.75,1)</v>
      </c>
      <c r="BW68" s="14">
        <f>INDEX(Table2[FWER],MATCH(BQ68,Table2[ModelID],0))</f>
        <v>2.6474049999999999E-2</v>
      </c>
      <c r="BX68" t="str">
        <f>INDEX(Table2[CI_95perc_FWER],MATCH(BQ68,Table2[ModelID],0))</f>
        <v>(0.0249,0.02804)</v>
      </c>
    </row>
    <row r="69" spans="1:76" x14ac:dyDescent="0.25">
      <c r="A69">
        <v>101</v>
      </c>
      <c r="B69" t="s">
        <v>462</v>
      </c>
      <c r="C69">
        <v>59079</v>
      </c>
      <c r="D69">
        <v>2.4060000000000002E-2</v>
      </c>
      <c r="E69">
        <v>0</v>
      </c>
      <c r="F69">
        <v>0</v>
      </c>
      <c r="G69">
        <v>2.4060000000000002E-2</v>
      </c>
      <c r="H69" t="s">
        <v>463</v>
      </c>
      <c r="I69" t="s">
        <v>52</v>
      </c>
      <c r="J69" t="s">
        <v>52</v>
      </c>
      <c r="K69" t="s">
        <v>463</v>
      </c>
      <c r="L69">
        <f>_xlfn.NUMBERVALUE(MID(Table2[[#This Row],[CI_95perc_FWER]],2,FIND(",",Table2[[#This Row],[CI_95perc_FWER]])-2))</f>
        <v>2.283E-2</v>
      </c>
      <c r="M69">
        <f>_xlfn.NUMBERVALUE(MID(Table2[[#This Row],[CI_95perc_FWER]],FIND(",",Table2[[#This Row],[CI_95perc_FWER]])+1, LEN(Table2[[#This Row],[CI_95perc_FWER]])-FIND(",",Table2[[#This Row],[CI_95perc_FWER]])-1))</f>
        <v>2.529E-2</v>
      </c>
      <c r="N69" s="1">
        <v>12225</v>
      </c>
      <c r="O69" t="s">
        <v>464</v>
      </c>
      <c r="P69">
        <v>0.42622293723954102</v>
      </c>
      <c r="Q69" t="s">
        <v>54</v>
      </c>
      <c r="R69" t="s">
        <v>55</v>
      </c>
      <c r="S69">
        <v>3000</v>
      </c>
      <c r="T69">
        <f>IF(OR(Table2[[#This Row],[SampleSize]]=5000,Table2[[#This Row],[SampleSize]]=10000),"&gt;=5k",Table2[[#This Row],[SampleSize]])</f>
        <v>3000</v>
      </c>
      <c r="U69">
        <v>2.5000000000000001E-2</v>
      </c>
      <c r="V69" t="s">
        <v>56</v>
      </c>
      <c r="W69" t="s">
        <v>56</v>
      </c>
      <c r="X69" t="s">
        <v>57</v>
      </c>
      <c r="Y69" t="s">
        <v>58</v>
      </c>
      <c r="Z69">
        <v>3</v>
      </c>
      <c r="AA69">
        <v>1</v>
      </c>
      <c r="AB69" t="s">
        <v>59</v>
      </c>
      <c r="AC69" t="s">
        <v>56</v>
      </c>
      <c r="AD69" t="s">
        <v>56</v>
      </c>
      <c r="AE69" t="s">
        <v>60</v>
      </c>
      <c r="AF69" t="s">
        <v>61</v>
      </c>
      <c r="AG69" t="s">
        <v>62</v>
      </c>
      <c r="AH69" t="s">
        <v>63</v>
      </c>
      <c r="AI69" t="s">
        <v>64</v>
      </c>
      <c r="AJ69" t="s">
        <v>65</v>
      </c>
      <c r="AK69" t="s">
        <v>97</v>
      </c>
      <c r="AL69" t="s">
        <v>67</v>
      </c>
      <c r="AM69" t="b">
        <v>0</v>
      </c>
      <c r="AN69" t="b">
        <v>1</v>
      </c>
      <c r="AO69">
        <v>1</v>
      </c>
      <c r="AP69">
        <v>1</v>
      </c>
      <c r="AQ69" t="s">
        <v>77</v>
      </c>
      <c r="AR69" t="s">
        <v>73</v>
      </c>
      <c r="AS69">
        <v>1</v>
      </c>
      <c r="AT69" t="b">
        <v>1</v>
      </c>
      <c r="AU69" t="s">
        <v>36</v>
      </c>
      <c r="AV69">
        <v>10000</v>
      </c>
      <c r="AW69">
        <v>1000</v>
      </c>
      <c r="AX69">
        <v>59079</v>
      </c>
      <c r="AY69" t="b">
        <v>1</v>
      </c>
      <c r="AZ69" t="b">
        <v>0</v>
      </c>
      <c r="BA69" t="b">
        <v>1</v>
      </c>
      <c r="BB69" t="b">
        <v>1</v>
      </c>
      <c r="BC69" t="s">
        <v>56</v>
      </c>
      <c r="BD69" t="s">
        <v>56</v>
      </c>
      <c r="BE69">
        <v>9</v>
      </c>
      <c r="BH69">
        <v>75</v>
      </c>
      <c r="BI69">
        <f>INDEX(Table2[SampleSize],MATCH(BH69,Table2[ModelID],0))</f>
        <v>1000</v>
      </c>
      <c r="BJ69" t="str">
        <f>INDEX(Table2[FWERControl],MATCH(BH69,Table2[ModelID],0))</f>
        <v>CombinationTest</v>
      </c>
      <c r="BK69" t="b">
        <f>INDEX(Table2[UseCC],MATCH(BH69,Table2[ModelID],0))</f>
        <v>1</v>
      </c>
      <c r="BL69" s="13">
        <f>INDEX(Table2[SelectionParmeter],MATCH(BH69,Table2[ModelID],0))</f>
        <v>2</v>
      </c>
      <c r="BM69" s="12" t="str">
        <f>INDEX(Table2[info_frac],MATCH(BH69,Table2[ModelID],0))</f>
        <v>c(0.5,1)</v>
      </c>
      <c r="BN69" s="14">
        <f>INDEX(Table2[FWER],MATCH(BH69,Table2[ModelID],0))</f>
        <v>2.5166424999999999E-2</v>
      </c>
      <c r="BO69" t="str">
        <f>INDEX(Table2[CI_95perc_FWER],MATCH(BH69,Table2[ModelID],0))</f>
        <v>(0.02425,0.02609)</v>
      </c>
      <c r="BQ69">
        <v>97</v>
      </c>
      <c r="BR69">
        <f>INDEX(Table2[SampleSize],MATCH(BQ69,Table2[ModelID],0))</f>
        <v>1000</v>
      </c>
      <c r="BS69" t="str">
        <f>INDEX(Table2[FWERControl],MATCH(BQ69,Table2[ModelID],0))</f>
        <v>CombinationTest</v>
      </c>
      <c r="BT69" t="b">
        <f>INDEX(Table2[UseCC],MATCH(BQ69,Table2[ModelID],0))</f>
        <v>1</v>
      </c>
      <c r="BU69" s="13">
        <f>INDEX(Table2[SelectionParmeter],MATCH(BQ69,Table2[ModelID],0))</f>
        <v>2</v>
      </c>
      <c r="BV69" s="12" t="str">
        <f>INDEX(Table2[info_frac],MATCH(BQ69,Table2[ModelID],0))</f>
        <v>c(0.75,1)</v>
      </c>
      <c r="BW69" s="14">
        <f>INDEX(Table2[FWER],MATCH(BQ69,Table2[ModelID],0))</f>
        <v>2.53793E-2</v>
      </c>
      <c r="BX69" t="str">
        <f>INDEX(Table2[CI_95perc_FWER],MATCH(BQ69,Table2[ModelID],0))</f>
        <v>(0.02385,0.02691)</v>
      </c>
    </row>
    <row r="70" spans="1:76" x14ac:dyDescent="0.25">
      <c r="A70">
        <v>105</v>
      </c>
      <c r="B70" t="s">
        <v>462</v>
      </c>
      <c r="C70">
        <v>59079</v>
      </c>
      <c r="D70">
        <v>2.5061199999999999E-2</v>
      </c>
      <c r="E70">
        <v>0</v>
      </c>
      <c r="F70">
        <v>0</v>
      </c>
      <c r="G70">
        <v>2.5061199999999999E-2</v>
      </c>
      <c r="H70" t="s">
        <v>472</v>
      </c>
      <c r="I70" t="s">
        <v>52</v>
      </c>
      <c r="J70" t="s">
        <v>52</v>
      </c>
      <c r="K70" t="s">
        <v>472</v>
      </c>
      <c r="L70">
        <f>_xlfn.NUMBERVALUE(MID(Table2[[#This Row],[CI_95perc_FWER]],2,FIND(",",Table2[[#This Row],[CI_95perc_FWER]])-2))</f>
        <v>2.29E-2</v>
      </c>
      <c r="M70">
        <f>_xlfn.NUMBERVALUE(MID(Table2[[#This Row],[CI_95perc_FWER]],FIND(",",Table2[[#This Row],[CI_95perc_FWER]])+1, LEN(Table2[[#This Row],[CI_95perc_FWER]])-FIND(",",Table2[[#This Row],[CI_95perc_FWER]])-1))</f>
        <v>2.7230000000000001E-2</v>
      </c>
      <c r="N70" s="1">
        <v>99159</v>
      </c>
      <c r="O70" t="s">
        <v>473</v>
      </c>
      <c r="P70">
        <v>0.42265808807478999</v>
      </c>
      <c r="Q70" t="s">
        <v>54</v>
      </c>
      <c r="R70" t="s">
        <v>55</v>
      </c>
      <c r="S70">
        <v>3000</v>
      </c>
      <c r="T70">
        <f>IF(OR(Table2[[#This Row],[SampleSize]]=5000,Table2[[#This Row],[SampleSize]]=10000),"&gt;=5k",Table2[[#This Row],[SampleSize]])</f>
        <v>3000</v>
      </c>
      <c r="U70">
        <v>2.5000000000000001E-2</v>
      </c>
      <c r="V70" t="s">
        <v>56</v>
      </c>
      <c r="W70" t="s">
        <v>56</v>
      </c>
      <c r="X70" t="s">
        <v>57</v>
      </c>
      <c r="Y70" t="s">
        <v>58</v>
      </c>
      <c r="Z70">
        <v>3</v>
      </c>
      <c r="AA70">
        <v>1</v>
      </c>
      <c r="AB70" t="s">
        <v>59</v>
      </c>
      <c r="AC70" t="s">
        <v>56</v>
      </c>
      <c r="AD70" t="s">
        <v>56</v>
      </c>
      <c r="AE70" t="s">
        <v>60</v>
      </c>
      <c r="AF70" t="s">
        <v>61</v>
      </c>
      <c r="AG70" t="s">
        <v>62</v>
      </c>
      <c r="AH70" t="s">
        <v>63</v>
      </c>
      <c r="AI70" t="s">
        <v>64</v>
      </c>
      <c r="AJ70" t="s">
        <v>65</v>
      </c>
      <c r="AK70" t="s">
        <v>66</v>
      </c>
      <c r="AL70" t="s">
        <v>67</v>
      </c>
      <c r="AM70" t="b">
        <v>0</v>
      </c>
      <c r="AN70" t="b">
        <v>1</v>
      </c>
      <c r="AO70">
        <v>1</v>
      </c>
      <c r="AP70">
        <v>1</v>
      </c>
      <c r="AQ70" t="s">
        <v>77</v>
      </c>
      <c r="AR70" t="s">
        <v>73</v>
      </c>
      <c r="AS70">
        <v>1</v>
      </c>
      <c r="AT70" t="b">
        <v>1</v>
      </c>
      <c r="AU70" t="s">
        <v>36</v>
      </c>
      <c r="AV70">
        <v>10000</v>
      </c>
      <c r="AW70">
        <v>1000</v>
      </c>
      <c r="AX70">
        <v>59079</v>
      </c>
      <c r="AY70" t="b">
        <v>1</v>
      </c>
      <c r="AZ70" t="b">
        <v>0</v>
      </c>
      <c r="BA70" t="b">
        <v>1</v>
      </c>
      <c r="BB70" t="b">
        <v>1</v>
      </c>
      <c r="BC70" t="s">
        <v>56</v>
      </c>
      <c r="BD70" t="s">
        <v>56</v>
      </c>
      <c r="BE70">
        <v>10</v>
      </c>
      <c r="BH70">
        <v>80</v>
      </c>
      <c r="BI70">
        <f>INDEX(Table2[SampleSize],MATCH(BH70,Table2[ModelID],0))</f>
        <v>3000</v>
      </c>
      <c r="BJ70" t="str">
        <f>INDEX(Table2[FWERControl],MATCH(BH70,Table2[ModelID],0))</f>
        <v>CombinationTest</v>
      </c>
      <c r="BK70" t="b">
        <f>INDEX(Table2[UseCC],MATCH(BH70,Table2[ModelID],0))</f>
        <v>0</v>
      </c>
      <c r="BL70" s="13">
        <f>INDEX(Table2[SelectionParmeter],MATCH(BH70,Table2[ModelID],0))</f>
        <v>2</v>
      </c>
      <c r="BM70" s="12" t="str">
        <f>INDEX(Table2[info_frac],MATCH(BH70,Table2[ModelID],0))</f>
        <v>c(0.5,1)</v>
      </c>
      <c r="BN70" s="14">
        <f>INDEX(Table2[FWER],MATCH(BH70,Table2[ModelID],0))</f>
        <v>2.602645E-2</v>
      </c>
      <c r="BO70" t="str">
        <f>INDEX(Table2[CI_95perc_FWER],MATCH(BH70,Table2[ModelID],0))</f>
        <v>(0.0251,0.02695)</v>
      </c>
      <c r="BQ70">
        <v>90</v>
      </c>
      <c r="BR70">
        <f>INDEX(Table2[SampleSize],MATCH(BQ70,Table2[ModelID],0))</f>
        <v>10000</v>
      </c>
      <c r="BS70" t="str">
        <f>INDEX(Table2[FWERControl],MATCH(BQ70,Table2[ModelID],0))</f>
        <v>CombinationTest</v>
      </c>
      <c r="BT70" t="b">
        <f>INDEX(Table2[UseCC],MATCH(BQ70,Table2[ModelID],0))</f>
        <v>0</v>
      </c>
      <c r="BU70" s="13">
        <f>INDEX(Table2[SelectionParmeter],MATCH(BQ70,Table2[ModelID],0))</f>
        <v>2</v>
      </c>
      <c r="BV70" s="12" t="str">
        <f>INDEX(Table2[info_frac],MATCH(BQ70,Table2[ModelID],0))</f>
        <v>c(0.75,1)</v>
      </c>
      <c r="BW70" s="14">
        <f>INDEX(Table2[FWER],MATCH(BQ70,Table2[ModelID],0))</f>
        <v>2.6235925E-2</v>
      </c>
      <c r="BX70" t="str">
        <f>INDEX(Table2[CI_95perc_FWER],MATCH(BQ70,Table2[ModelID],0))</f>
        <v>(0.02465,0.02782)</v>
      </c>
    </row>
    <row r="71" spans="1:76" x14ac:dyDescent="0.25">
      <c r="A71">
        <v>109</v>
      </c>
      <c r="B71" t="s">
        <v>363</v>
      </c>
      <c r="C71">
        <v>343</v>
      </c>
      <c r="D71">
        <v>2.6484575E-2</v>
      </c>
      <c r="E71">
        <v>0</v>
      </c>
      <c r="F71">
        <v>0</v>
      </c>
      <c r="G71">
        <v>2.6484575E-2</v>
      </c>
      <c r="H71" t="s">
        <v>480</v>
      </c>
      <c r="I71" t="s">
        <v>52</v>
      </c>
      <c r="J71" t="s">
        <v>52</v>
      </c>
      <c r="K71" t="s">
        <v>480</v>
      </c>
      <c r="L71">
        <f>_xlfn.NUMBERVALUE(MID(Table2[[#This Row],[CI_95perc_FWER]],2,FIND(",",Table2[[#This Row],[CI_95perc_FWER]])-2))</f>
        <v>2.4889999999999999E-2</v>
      </c>
      <c r="M71">
        <f>_xlfn.NUMBERVALUE(MID(Table2[[#This Row],[CI_95perc_FWER]],FIND(",",Table2[[#This Row],[CI_95perc_FWER]])+1, LEN(Table2[[#This Row],[CI_95perc_FWER]])-FIND(",",Table2[[#This Row],[CI_95perc_FWER]])-1))</f>
        <v>2.8080000000000001E-2</v>
      </c>
      <c r="N71" s="1">
        <v>214321</v>
      </c>
      <c r="O71" t="s">
        <v>481</v>
      </c>
      <c r="P71">
        <v>1.62632207135359</v>
      </c>
      <c r="Q71" t="s">
        <v>54</v>
      </c>
      <c r="R71" t="s">
        <v>55</v>
      </c>
      <c r="S71">
        <v>3000</v>
      </c>
      <c r="T71">
        <f>IF(OR(Table2[[#This Row],[SampleSize]]=5000,Table2[[#This Row],[SampleSize]]=10000),"&gt;=5k",Table2[[#This Row],[SampleSize]])</f>
        <v>3000</v>
      </c>
      <c r="U71">
        <v>2.5000000000000001E-2</v>
      </c>
      <c r="V71" t="s">
        <v>56</v>
      </c>
      <c r="W71" t="s">
        <v>56</v>
      </c>
      <c r="X71" t="s">
        <v>57</v>
      </c>
      <c r="Y71" t="s">
        <v>58</v>
      </c>
      <c r="Z71">
        <v>3</v>
      </c>
      <c r="AA71">
        <v>1</v>
      </c>
      <c r="AB71" t="s">
        <v>59</v>
      </c>
      <c r="AC71" t="s">
        <v>56</v>
      </c>
      <c r="AD71" t="s">
        <v>56</v>
      </c>
      <c r="AE71" t="s">
        <v>60</v>
      </c>
      <c r="AF71" t="s">
        <v>61</v>
      </c>
      <c r="AG71" t="s">
        <v>62</v>
      </c>
      <c r="AH71" t="s">
        <v>63</v>
      </c>
      <c r="AI71" t="s">
        <v>64</v>
      </c>
      <c r="AJ71" t="s">
        <v>65</v>
      </c>
      <c r="AK71" t="s">
        <v>66</v>
      </c>
      <c r="AL71" t="s">
        <v>67</v>
      </c>
      <c r="AM71" t="b">
        <v>0</v>
      </c>
      <c r="AN71" t="b">
        <v>1</v>
      </c>
      <c r="AO71">
        <v>1</v>
      </c>
      <c r="AP71">
        <v>1</v>
      </c>
      <c r="AQ71" t="s">
        <v>77</v>
      </c>
      <c r="AR71" t="s">
        <v>78</v>
      </c>
      <c r="AS71">
        <v>0.75</v>
      </c>
      <c r="AT71" t="b">
        <v>1</v>
      </c>
      <c r="AU71" t="s">
        <v>36</v>
      </c>
      <c r="AV71">
        <v>20000</v>
      </c>
      <c r="AW71">
        <v>2000</v>
      </c>
      <c r="AX71">
        <v>343</v>
      </c>
      <c r="AY71" t="b">
        <v>1</v>
      </c>
      <c r="AZ71" t="b">
        <v>0</v>
      </c>
      <c r="BA71" t="b">
        <v>1</v>
      </c>
      <c r="BB71" t="b">
        <v>1</v>
      </c>
      <c r="BC71" t="s">
        <v>56</v>
      </c>
      <c r="BD71" t="s">
        <v>244</v>
      </c>
      <c r="BE71">
        <v>8</v>
      </c>
      <c r="BH71">
        <v>85</v>
      </c>
      <c r="BI71">
        <f>INDEX(Table2[SampleSize],MATCH(BH71,Table2[ModelID],0))</f>
        <v>3000</v>
      </c>
      <c r="BJ71" t="str">
        <f>INDEX(Table2[FWERControl],MATCH(BH71,Table2[ModelID],0))</f>
        <v>CombinationTest</v>
      </c>
      <c r="BK71" t="b">
        <f>INDEX(Table2[UseCC],MATCH(BH71,Table2[ModelID],0))</f>
        <v>1</v>
      </c>
      <c r="BL71" s="13">
        <f>INDEX(Table2[SelectionParmeter],MATCH(BH71,Table2[ModelID],0))</f>
        <v>2</v>
      </c>
      <c r="BM71" s="12" t="str">
        <f>INDEX(Table2[info_frac],MATCH(BH71,Table2[ModelID],0))</f>
        <v>c(0.5,1)</v>
      </c>
      <c r="BN71" s="14">
        <f>INDEX(Table2[FWER],MATCH(BH71,Table2[ModelID],0))</f>
        <v>2.5882024999999999E-2</v>
      </c>
      <c r="BO71" t="str">
        <f>INDEX(Table2[CI_95perc_FWER],MATCH(BH71,Table2[ModelID],0))</f>
        <v>(0.02496,0.02681)</v>
      </c>
      <c r="BQ71">
        <v>96</v>
      </c>
      <c r="BR71">
        <f>INDEX(Table2[SampleSize],MATCH(BQ71,Table2[ModelID],0))</f>
        <v>10000</v>
      </c>
      <c r="BS71" t="str">
        <f>INDEX(Table2[FWERControl],MATCH(BQ71,Table2[ModelID],0))</f>
        <v>CombinationTest</v>
      </c>
      <c r="BT71" t="b">
        <f>INDEX(Table2[UseCC],MATCH(BQ71,Table2[ModelID],0))</f>
        <v>1</v>
      </c>
      <c r="BU71" s="13">
        <f>INDEX(Table2[SelectionParmeter],MATCH(BQ71,Table2[ModelID],0))</f>
        <v>2</v>
      </c>
      <c r="BV71" s="12" t="str">
        <f>INDEX(Table2[info_frac],MATCH(BQ71,Table2[ModelID],0))</f>
        <v>c(0.75,1)</v>
      </c>
      <c r="BW71" s="14">
        <f>INDEX(Table2[FWER],MATCH(BQ71,Table2[ModelID],0))</f>
        <v>2.615085E-2</v>
      </c>
      <c r="BX71" t="str">
        <f>INDEX(Table2[CI_95perc_FWER],MATCH(BQ71,Table2[ModelID],0))</f>
        <v>(0.02457,0.02774)</v>
      </c>
    </row>
    <row r="72" spans="1:76" x14ac:dyDescent="0.25">
      <c r="A72">
        <v>112</v>
      </c>
      <c r="B72" t="s">
        <v>488</v>
      </c>
      <c r="C72">
        <v>4346</v>
      </c>
      <c r="D72">
        <v>2.7602000000000002E-2</v>
      </c>
      <c r="E72">
        <v>0</v>
      </c>
      <c r="F72">
        <v>0</v>
      </c>
      <c r="G72">
        <v>2.7602000000000002E-2</v>
      </c>
      <c r="H72" t="s">
        <v>489</v>
      </c>
      <c r="I72" t="s">
        <v>52</v>
      </c>
      <c r="J72" t="s">
        <v>52</v>
      </c>
      <c r="K72" t="s">
        <v>489</v>
      </c>
      <c r="L72">
        <f>_xlfn.NUMBERVALUE(MID(Table2[[#This Row],[CI_95perc_FWER]],2,FIND(",",Table2[[#This Row],[CI_95perc_FWER]])-2))</f>
        <v>2.5270000000000001E-2</v>
      </c>
      <c r="M72">
        <f>_xlfn.NUMBERVALUE(MID(Table2[[#This Row],[CI_95perc_FWER]],FIND(",",Table2[[#This Row],[CI_95perc_FWER]])+1, LEN(Table2[[#This Row],[CI_95perc_FWER]])-FIND(",",Table2[[#This Row],[CI_95perc_FWER]])-1))</f>
        <v>2.9929999999999998E-2</v>
      </c>
      <c r="N72" s="1">
        <v>116148</v>
      </c>
      <c r="O72" t="s">
        <v>490</v>
      </c>
      <c r="P72">
        <v>0.18783890306949599</v>
      </c>
      <c r="Q72" t="s">
        <v>54</v>
      </c>
      <c r="R72" t="s">
        <v>55</v>
      </c>
      <c r="S72">
        <v>3000</v>
      </c>
      <c r="T72">
        <f>IF(OR(Table2[[#This Row],[SampleSize]]=5000,Table2[[#This Row],[SampleSize]]=10000),"&gt;=5k",Table2[[#This Row],[SampleSize]])</f>
        <v>3000</v>
      </c>
      <c r="U72">
        <v>2.5000000000000001E-2</v>
      </c>
      <c r="V72" t="s">
        <v>56</v>
      </c>
      <c r="W72" t="s">
        <v>56</v>
      </c>
      <c r="X72" t="s">
        <v>57</v>
      </c>
      <c r="Y72" t="s">
        <v>58</v>
      </c>
      <c r="Z72">
        <v>3</v>
      </c>
      <c r="AA72">
        <v>1</v>
      </c>
      <c r="AB72" t="s">
        <v>59</v>
      </c>
      <c r="AC72" t="s">
        <v>56</v>
      </c>
      <c r="AD72" t="s">
        <v>56</v>
      </c>
      <c r="AE72" t="s">
        <v>60</v>
      </c>
      <c r="AF72" t="s">
        <v>61</v>
      </c>
      <c r="AG72" t="s">
        <v>62</v>
      </c>
      <c r="AH72" t="s">
        <v>63</v>
      </c>
      <c r="AI72" t="s">
        <v>64</v>
      </c>
      <c r="AJ72" t="s">
        <v>65</v>
      </c>
      <c r="AK72" t="s">
        <v>66</v>
      </c>
      <c r="AL72" t="s">
        <v>67</v>
      </c>
      <c r="AM72" t="b">
        <v>0</v>
      </c>
      <c r="AN72" t="b">
        <v>1</v>
      </c>
      <c r="AO72">
        <v>1</v>
      </c>
      <c r="AP72">
        <v>1</v>
      </c>
      <c r="AQ72" t="s">
        <v>77</v>
      </c>
      <c r="AR72" t="s">
        <v>78</v>
      </c>
      <c r="AS72">
        <v>0.25</v>
      </c>
      <c r="AT72" t="b">
        <v>1</v>
      </c>
      <c r="AU72" t="s">
        <v>36</v>
      </c>
      <c r="AV72">
        <v>10000</v>
      </c>
      <c r="AW72">
        <v>1000</v>
      </c>
      <c r="AX72">
        <v>4346</v>
      </c>
      <c r="AY72" t="b">
        <v>1</v>
      </c>
      <c r="AZ72" t="b">
        <v>0</v>
      </c>
      <c r="BA72" t="b">
        <v>1</v>
      </c>
      <c r="BB72" t="b">
        <v>1</v>
      </c>
      <c r="BC72">
        <v>3</v>
      </c>
      <c r="BD72" t="s">
        <v>447</v>
      </c>
      <c r="BE72">
        <v>4</v>
      </c>
      <c r="BH72">
        <v>60</v>
      </c>
      <c r="BI72">
        <f>INDEX(Table2[SampleSize],MATCH(BH72,Table2[ModelID],0))</f>
        <v>10000</v>
      </c>
      <c r="BJ72" t="str">
        <f>INDEX(Table2[FWERControl],MATCH(BH72,Table2[ModelID],0))</f>
        <v>CombinationTest</v>
      </c>
      <c r="BK72" t="b">
        <f>INDEX(Table2[UseCC],MATCH(BH72,Table2[ModelID],0))</f>
        <v>0</v>
      </c>
      <c r="BL72" s="13">
        <f>INDEX(Table2[SelectionParmeter],MATCH(BH72,Table2[ModelID],0))</f>
        <v>2</v>
      </c>
      <c r="BM72" s="12" t="str">
        <f>INDEX(Table2[info_frac],MATCH(BH72,Table2[ModelID],0))</f>
        <v>c(0.5,1)</v>
      </c>
      <c r="BN72" s="14">
        <f>INDEX(Table2[FWER],MATCH(BH72,Table2[ModelID],0))</f>
        <v>2.526865E-2</v>
      </c>
      <c r="BO72" t="str">
        <f>INDEX(Table2[CI_95perc_FWER],MATCH(BH72,Table2[ModelID],0))</f>
        <v>(0.02438,0.02616)</v>
      </c>
    </row>
    <row r="73" spans="1:76" x14ac:dyDescent="0.25">
      <c r="A73">
        <v>102</v>
      </c>
      <c r="B73" t="s">
        <v>465</v>
      </c>
      <c r="C73">
        <v>70743</v>
      </c>
      <c r="D73">
        <v>2.3898699999999998E-2</v>
      </c>
      <c r="E73">
        <v>0</v>
      </c>
      <c r="F73">
        <v>0</v>
      </c>
      <c r="G73">
        <v>2.3898699999999998E-2</v>
      </c>
      <c r="H73" t="s">
        <v>466</v>
      </c>
      <c r="I73" t="s">
        <v>52</v>
      </c>
      <c r="J73" t="s">
        <v>52</v>
      </c>
      <c r="K73" t="s">
        <v>466</v>
      </c>
      <c r="L73">
        <f>_xlfn.NUMBERVALUE(MID(Table2[[#This Row],[CI_95perc_FWER]],2,FIND(",",Table2[[#This Row],[CI_95perc_FWER]])-2))</f>
        <v>2.2669999999999999E-2</v>
      </c>
      <c r="M73">
        <f>_xlfn.NUMBERVALUE(MID(Table2[[#This Row],[CI_95perc_FWER]],FIND(",",Table2[[#This Row],[CI_95perc_FWER]])+1, LEN(Table2[[#This Row],[CI_95perc_FWER]])-FIND(",",Table2[[#This Row],[CI_95perc_FWER]])-1))</f>
        <v>2.513E-2</v>
      </c>
      <c r="N73" s="1">
        <v>12203</v>
      </c>
      <c r="O73" t="s">
        <v>467</v>
      </c>
      <c r="P73">
        <v>0.45453873866134198</v>
      </c>
      <c r="Q73" t="s">
        <v>54</v>
      </c>
      <c r="R73" t="s">
        <v>55</v>
      </c>
      <c r="S73">
        <v>5000</v>
      </c>
      <c r="T73" t="str">
        <f>IF(OR(Table2[[#This Row],[SampleSize]]=5000,Table2[[#This Row],[SampleSize]]=10000),"&gt;=5k",Table2[[#This Row],[SampleSize]])</f>
        <v>&gt;=5k</v>
      </c>
      <c r="U73">
        <v>2.5000000000000001E-2</v>
      </c>
      <c r="V73" t="s">
        <v>56</v>
      </c>
      <c r="W73" t="s">
        <v>56</v>
      </c>
      <c r="X73" t="s">
        <v>57</v>
      </c>
      <c r="Y73" t="s">
        <v>68</v>
      </c>
      <c r="Z73">
        <v>3</v>
      </c>
      <c r="AA73">
        <v>1</v>
      </c>
      <c r="AB73" t="s">
        <v>59</v>
      </c>
      <c r="AC73" t="s">
        <v>56</v>
      </c>
      <c r="AD73" t="s">
        <v>56</v>
      </c>
      <c r="AE73" t="s">
        <v>60</v>
      </c>
      <c r="AF73" t="s">
        <v>61</v>
      </c>
      <c r="AG73" t="s">
        <v>62</v>
      </c>
      <c r="AH73" t="s">
        <v>63</v>
      </c>
      <c r="AI73" t="s">
        <v>64</v>
      </c>
      <c r="AJ73" t="s">
        <v>65</v>
      </c>
      <c r="AK73" t="s">
        <v>97</v>
      </c>
      <c r="AL73" t="s">
        <v>67</v>
      </c>
      <c r="AM73" t="b">
        <v>0</v>
      </c>
      <c r="AN73" t="b">
        <v>1</v>
      </c>
      <c r="AO73">
        <v>1</v>
      </c>
      <c r="AP73">
        <v>1</v>
      </c>
      <c r="AQ73" t="s">
        <v>72</v>
      </c>
      <c r="AR73" t="s">
        <v>73</v>
      </c>
      <c r="AS73">
        <v>1</v>
      </c>
      <c r="AT73" t="b">
        <v>0</v>
      </c>
      <c r="AU73" t="s">
        <v>68</v>
      </c>
      <c r="AV73">
        <v>10000</v>
      </c>
      <c r="AW73">
        <v>1000</v>
      </c>
      <c r="AX73">
        <v>70743</v>
      </c>
      <c r="AY73" t="b">
        <v>1</v>
      </c>
      <c r="AZ73" t="b">
        <v>0</v>
      </c>
      <c r="BA73" t="b">
        <v>1</v>
      </c>
      <c r="BB73" t="b">
        <v>1</v>
      </c>
      <c r="BC73" t="s">
        <v>56</v>
      </c>
      <c r="BD73" t="s">
        <v>56</v>
      </c>
      <c r="BE73">
        <v>9</v>
      </c>
      <c r="BH73">
        <v>65</v>
      </c>
      <c r="BI73">
        <f>INDEX(Table2[SampleSize],MATCH(BH73,Table2[ModelID],0))</f>
        <v>10000</v>
      </c>
      <c r="BJ73" t="str">
        <f>INDEX(Table2[FWERControl],MATCH(BH73,Table2[ModelID],0))</f>
        <v>CombinationTest</v>
      </c>
      <c r="BK73" t="b">
        <f>INDEX(Table2[UseCC],MATCH(BH73,Table2[ModelID],0))</f>
        <v>1</v>
      </c>
      <c r="BL73" s="13">
        <f>INDEX(Table2[SelectionParmeter],MATCH(BH73,Table2[ModelID],0))</f>
        <v>2</v>
      </c>
      <c r="BM73" s="12" t="str">
        <f>INDEX(Table2[info_frac],MATCH(BH73,Table2[ModelID],0))</f>
        <v>c(0.5,1)</v>
      </c>
      <c r="BN73" s="14">
        <f>INDEX(Table2[FWER],MATCH(BH73,Table2[ModelID],0))</f>
        <v>2.5167849999999999E-2</v>
      </c>
      <c r="BO73" t="str">
        <f>INDEX(Table2[CI_95perc_FWER],MATCH(BH73,Table2[ModelID],0))</f>
        <v>(0.02428,0.02606)</v>
      </c>
    </row>
    <row r="74" spans="1:76" x14ac:dyDescent="0.25">
      <c r="A74">
        <v>106</v>
      </c>
      <c r="B74" t="s">
        <v>465</v>
      </c>
      <c r="C74">
        <v>70743</v>
      </c>
      <c r="D74">
        <v>2.4262700000000002E-2</v>
      </c>
      <c r="E74">
        <v>0</v>
      </c>
      <c r="F74">
        <v>0</v>
      </c>
      <c r="G74">
        <v>2.4262700000000002E-2</v>
      </c>
      <c r="H74" t="s">
        <v>474</v>
      </c>
      <c r="I74" t="s">
        <v>52</v>
      </c>
      <c r="J74" t="s">
        <v>52</v>
      </c>
      <c r="K74" t="s">
        <v>474</v>
      </c>
      <c r="L74">
        <f>_xlfn.NUMBERVALUE(MID(Table2[[#This Row],[CI_95perc_FWER]],2,FIND(",",Table2[[#This Row],[CI_95perc_FWER]])-2))</f>
        <v>2.2169999999999999E-2</v>
      </c>
      <c r="M74">
        <f>_xlfn.NUMBERVALUE(MID(Table2[[#This Row],[CI_95perc_FWER]],FIND(",",Table2[[#This Row],[CI_95perc_FWER]])+1, LEN(Table2[[#This Row],[CI_95perc_FWER]])-FIND(",",Table2[[#This Row],[CI_95perc_FWER]])-1))</f>
        <v>2.6349999999999998E-2</v>
      </c>
      <c r="N74" s="1">
        <v>86150</v>
      </c>
      <c r="O74" t="s">
        <v>475</v>
      </c>
      <c r="P74">
        <v>0.451815361115668</v>
      </c>
      <c r="Q74" t="s">
        <v>54</v>
      </c>
      <c r="R74" t="s">
        <v>55</v>
      </c>
      <c r="S74">
        <v>5000</v>
      </c>
      <c r="T74" t="str">
        <f>IF(OR(Table2[[#This Row],[SampleSize]]=5000,Table2[[#This Row],[SampleSize]]=10000),"&gt;=5k",Table2[[#This Row],[SampleSize]])</f>
        <v>&gt;=5k</v>
      </c>
      <c r="U74">
        <v>2.5000000000000001E-2</v>
      </c>
      <c r="V74" t="s">
        <v>56</v>
      </c>
      <c r="W74" t="s">
        <v>56</v>
      </c>
      <c r="X74" t="s">
        <v>57</v>
      </c>
      <c r="Y74" t="s">
        <v>68</v>
      </c>
      <c r="Z74">
        <v>3</v>
      </c>
      <c r="AA74">
        <v>1</v>
      </c>
      <c r="AB74" t="s">
        <v>59</v>
      </c>
      <c r="AC74" t="s">
        <v>56</v>
      </c>
      <c r="AD74" t="s">
        <v>56</v>
      </c>
      <c r="AE74" t="s">
        <v>60</v>
      </c>
      <c r="AF74" t="s">
        <v>61</v>
      </c>
      <c r="AG74" t="s">
        <v>62</v>
      </c>
      <c r="AH74" t="s">
        <v>63</v>
      </c>
      <c r="AI74" t="s">
        <v>64</v>
      </c>
      <c r="AJ74" t="s">
        <v>65</v>
      </c>
      <c r="AK74" t="s">
        <v>66</v>
      </c>
      <c r="AL74" t="s">
        <v>67</v>
      </c>
      <c r="AM74" t="b">
        <v>0</v>
      </c>
      <c r="AN74" t="b">
        <v>1</v>
      </c>
      <c r="AO74">
        <v>1</v>
      </c>
      <c r="AP74">
        <v>1</v>
      </c>
      <c r="AQ74" t="s">
        <v>72</v>
      </c>
      <c r="AR74" t="s">
        <v>73</v>
      </c>
      <c r="AS74">
        <v>1</v>
      </c>
      <c r="AT74" t="b">
        <v>0</v>
      </c>
      <c r="AU74" t="s">
        <v>68</v>
      </c>
      <c r="AV74">
        <v>10000</v>
      </c>
      <c r="AW74">
        <v>1000</v>
      </c>
      <c r="AX74">
        <v>70743</v>
      </c>
      <c r="AY74" t="b">
        <v>1</v>
      </c>
      <c r="AZ74" t="b">
        <v>0</v>
      </c>
      <c r="BA74" t="b">
        <v>1</v>
      </c>
      <c r="BB74" t="b">
        <v>1</v>
      </c>
      <c r="BC74" t="s">
        <v>56</v>
      </c>
      <c r="BD74" t="s">
        <v>56</v>
      </c>
      <c r="BE74">
        <v>10</v>
      </c>
    </row>
    <row r="75" spans="1:76" x14ac:dyDescent="0.25">
      <c r="A75">
        <v>107</v>
      </c>
      <c r="B75" t="s">
        <v>303</v>
      </c>
      <c r="C75">
        <v>343</v>
      </c>
      <c r="D75">
        <v>2.682785E-2</v>
      </c>
      <c r="E75">
        <v>0</v>
      </c>
      <c r="F75">
        <v>0</v>
      </c>
      <c r="G75">
        <v>2.682785E-2</v>
      </c>
      <c r="H75" t="s">
        <v>476</v>
      </c>
      <c r="I75" t="s">
        <v>52</v>
      </c>
      <c r="J75" t="s">
        <v>52</v>
      </c>
      <c r="K75" t="s">
        <v>476</v>
      </c>
      <c r="L75">
        <f>_xlfn.NUMBERVALUE(MID(Table2[[#This Row],[CI_95perc_FWER]],2,FIND(",",Table2[[#This Row],[CI_95perc_FWER]])-2))</f>
        <v>2.5219999999999999E-2</v>
      </c>
      <c r="M75">
        <f>_xlfn.NUMBERVALUE(MID(Table2[[#This Row],[CI_95perc_FWER]],FIND(",",Table2[[#This Row],[CI_95perc_FWER]])+1, LEN(Table2[[#This Row],[CI_95perc_FWER]])-FIND(",",Table2[[#This Row],[CI_95perc_FWER]])-1))</f>
        <v>2.843E-2</v>
      </c>
      <c r="N75" s="1">
        <v>217316</v>
      </c>
      <c r="O75" t="s">
        <v>477</v>
      </c>
      <c r="P75">
        <v>1.66722885833846</v>
      </c>
      <c r="Q75" t="s">
        <v>54</v>
      </c>
      <c r="R75" t="s">
        <v>55</v>
      </c>
      <c r="S75">
        <v>5000</v>
      </c>
      <c r="T75" t="str">
        <f>IF(OR(Table2[[#This Row],[SampleSize]]=5000,Table2[[#This Row],[SampleSize]]=10000),"&gt;=5k",Table2[[#This Row],[SampleSize]])</f>
        <v>&gt;=5k</v>
      </c>
      <c r="U75">
        <v>2.5000000000000001E-2</v>
      </c>
      <c r="V75" t="s">
        <v>56</v>
      </c>
      <c r="W75" t="s">
        <v>56</v>
      </c>
      <c r="X75" t="s">
        <v>57</v>
      </c>
      <c r="Y75" t="s">
        <v>58</v>
      </c>
      <c r="Z75">
        <v>3</v>
      </c>
      <c r="AA75">
        <v>1</v>
      </c>
      <c r="AB75" t="s">
        <v>59</v>
      </c>
      <c r="AC75" t="s">
        <v>56</v>
      </c>
      <c r="AD75" t="s">
        <v>56</v>
      </c>
      <c r="AE75" t="s">
        <v>60</v>
      </c>
      <c r="AF75" t="s">
        <v>61</v>
      </c>
      <c r="AG75" t="s">
        <v>62</v>
      </c>
      <c r="AH75" t="s">
        <v>63</v>
      </c>
      <c r="AI75" t="s">
        <v>64</v>
      </c>
      <c r="AJ75" t="s">
        <v>65</v>
      </c>
      <c r="AK75" t="s">
        <v>66</v>
      </c>
      <c r="AL75" t="s">
        <v>67</v>
      </c>
      <c r="AM75" t="b">
        <v>0</v>
      </c>
      <c r="AN75" t="b">
        <v>1</v>
      </c>
      <c r="AO75">
        <v>1</v>
      </c>
      <c r="AP75">
        <v>1</v>
      </c>
      <c r="AQ75" t="s">
        <v>77</v>
      </c>
      <c r="AR75" t="s">
        <v>78</v>
      </c>
      <c r="AS75">
        <v>0.75</v>
      </c>
      <c r="AT75" t="b">
        <v>1</v>
      </c>
      <c r="AU75" t="s">
        <v>36</v>
      </c>
      <c r="AV75">
        <v>20000</v>
      </c>
      <c r="AW75">
        <v>2000</v>
      </c>
      <c r="AX75">
        <v>343</v>
      </c>
      <c r="AY75" t="b">
        <v>1</v>
      </c>
      <c r="AZ75" t="b">
        <v>0</v>
      </c>
      <c r="BA75" t="b">
        <v>1</v>
      </c>
      <c r="BB75" t="b">
        <v>1</v>
      </c>
      <c r="BC75" t="s">
        <v>56</v>
      </c>
      <c r="BD75" t="s">
        <v>217</v>
      </c>
      <c r="BE75">
        <v>8</v>
      </c>
    </row>
    <row r="76" spans="1:76" x14ac:dyDescent="0.25">
      <c r="A76">
        <v>113</v>
      </c>
      <c r="B76" t="s">
        <v>491</v>
      </c>
      <c r="C76">
        <v>4346</v>
      </c>
      <c r="D76">
        <v>2.64426E-2</v>
      </c>
      <c r="E76">
        <v>0</v>
      </c>
      <c r="F76">
        <v>0</v>
      </c>
      <c r="G76">
        <v>2.64426E-2</v>
      </c>
      <c r="H76" t="s">
        <v>492</v>
      </c>
      <c r="I76" t="s">
        <v>52</v>
      </c>
      <c r="J76" t="s">
        <v>52</v>
      </c>
      <c r="K76" t="s">
        <v>492</v>
      </c>
      <c r="L76">
        <f>_xlfn.NUMBERVALUE(MID(Table2[[#This Row],[CI_95perc_FWER]],2,FIND(",",Table2[[#This Row],[CI_95perc_FWER]])-2))</f>
        <v>2.419E-2</v>
      </c>
      <c r="M76">
        <f>_xlfn.NUMBERVALUE(MID(Table2[[#This Row],[CI_95perc_FWER]],FIND(",",Table2[[#This Row],[CI_95perc_FWER]])+1, LEN(Table2[[#This Row],[CI_95perc_FWER]])-FIND(",",Table2[[#This Row],[CI_95perc_FWER]])-1))</f>
        <v>2.87E-2</v>
      </c>
      <c r="N76" s="1">
        <v>107141</v>
      </c>
      <c r="O76" t="s">
        <v>493</v>
      </c>
      <c r="P76">
        <v>0.18570655915472201</v>
      </c>
      <c r="Q76" t="s">
        <v>54</v>
      </c>
      <c r="R76" t="s">
        <v>55</v>
      </c>
      <c r="S76">
        <v>5000</v>
      </c>
      <c r="T76" t="str">
        <f>IF(OR(Table2[[#This Row],[SampleSize]]=5000,Table2[[#This Row],[SampleSize]]=10000),"&gt;=5k",Table2[[#This Row],[SampleSize]])</f>
        <v>&gt;=5k</v>
      </c>
      <c r="U76">
        <v>2.5000000000000001E-2</v>
      </c>
      <c r="V76" t="s">
        <v>56</v>
      </c>
      <c r="W76" t="s">
        <v>56</v>
      </c>
      <c r="X76" t="s">
        <v>57</v>
      </c>
      <c r="Y76" t="s">
        <v>58</v>
      </c>
      <c r="Z76">
        <v>3</v>
      </c>
      <c r="AA76">
        <v>1</v>
      </c>
      <c r="AB76" t="s">
        <v>59</v>
      </c>
      <c r="AC76" t="s">
        <v>56</v>
      </c>
      <c r="AD76" t="s">
        <v>56</v>
      </c>
      <c r="AE76" t="s">
        <v>60</v>
      </c>
      <c r="AF76" t="s">
        <v>61</v>
      </c>
      <c r="AG76" t="s">
        <v>62</v>
      </c>
      <c r="AH76" t="s">
        <v>63</v>
      </c>
      <c r="AI76" t="s">
        <v>64</v>
      </c>
      <c r="AJ76" t="s">
        <v>65</v>
      </c>
      <c r="AK76" t="s">
        <v>66</v>
      </c>
      <c r="AL76" t="s">
        <v>67</v>
      </c>
      <c r="AM76" t="b">
        <v>0</v>
      </c>
      <c r="AN76" t="b">
        <v>1</v>
      </c>
      <c r="AO76">
        <v>1</v>
      </c>
      <c r="AP76">
        <v>1</v>
      </c>
      <c r="AQ76" t="s">
        <v>77</v>
      </c>
      <c r="AR76" t="s">
        <v>78</v>
      </c>
      <c r="AS76">
        <v>0.25</v>
      </c>
      <c r="AT76" t="b">
        <v>1</v>
      </c>
      <c r="AU76" t="s">
        <v>36</v>
      </c>
      <c r="AV76">
        <v>10000</v>
      </c>
      <c r="AW76">
        <v>1000</v>
      </c>
      <c r="AX76">
        <v>4346</v>
      </c>
      <c r="AY76" t="b">
        <v>1</v>
      </c>
      <c r="AZ76" t="b">
        <v>0</v>
      </c>
      <c r="BA76" t="b">
        <v>1</v>
      </c>
      <c r="BB76" t="b">
        <v>1</v>
      </c>
      <c r="BC76">
        <v>3</v>
      </c>
      <c r="BD76" t="s">
        <v>447</v>
      </c>
      <c r="BE76">
        <v>4</v>
      </c>
    </row>
    <row r="77" spans="1:76" x14ac:dyDescent="0.25">
      <c r="A77">
        <v>57</v>
      </c>
      <c r="B77" t="s">
        <v>286</v>
      </c>
      <c r="C77">
        <v>64564</v>
      </c>
      <c r="D77">
        <v>2.5209949999999998E-2</v>
      </c>
      <c r="E77">
        <v>0</v>
      </c>
      <c r="F77">
        <v>0</v>
      </c>
      <c r="G77">
        <v>2.5209949999999998E-2</v>
      </c>
      <c r="H77" t="s">
        <v>287</v>
      </c>
      <c r="I77" t="s">
        <v>52</v>
      </c>
      <c r="J77" t="s">
        <v>52</v>
      </c>
      <c r="K77" t="s">
        <v>287</v>
      </c>
      <c r="L77">
        <f>_xlfn.NUMBERVALUE(MID(Table2[[#This Row],[CI_95perc_FWER]],2,FIND(",",Table2[[#This Row],[CI_95perc_FWER]])-2))</f>
        <v>2.4279999999999999E-2</v>
      </c>
      <c r="M77">
        <f>_xlfn.NUMBERVALUE(MID(Table2[[#This Row],[CI_95perc_FWER]],FIND(",",Table2[[#This Row],[CI_95perc_FWER]])+1, LEN(Table2[[#This Row],[CI_95perc_FWER]])-FIND(",",Table2[[#This Row],[CI_95perc_FWER]])-1))</f>
        <v>2.614E-2</v>
      </c>
      <c r="N77" s="1">
        <v>33467</v>
      </c>
      <c r="O77" t="s">
        <v>288</v>
      </c>
      <c r="P77">
        <v>2.1383016338613299</v>
      </c>
      <c r="Q77" t="s">
        <v>54</v>
      </c>
      <c r="R77" t="s">
        <v>55</v>
      </c>
      <c r="S77">
        <v>10000</v>
      </c>
      <c r="T77" t="str">
        <f>IF(OR(Table2[[#This Row],[SampleSize]]=5000,Table2[[#This Row],[SampleSize]]=10000),"&gt;=5k",Table2[[#This Row],[SampleSize]])</f>
        <v>&gt;=5k</v>
      </c>
      <c r="U77">
        <v>2.5000000000000001E-2</v>
      </c>
      <c r="V77" t="s">
        <v>56</v>
      </c>
      <c r="W77" t="s">
        <v>56</v>
      </c>
      <c r="X77" t="s">
        <v>57</v>
      </c>
      <c r="Y77" t="s">
        <v>58</v>
      </c>
      <c r="Z77">
        <v>3</v>
      </c>
      <c r="AA77">
        <v>1</v>
      </c>
      <c r="AB77" t="s">
        <v>59</v>
      </c>
      <c r="AC77" t="s">
        <v>56</v>
      </c>
      <c r="AD77" t="s">
        <v>56</v>
      </c>
      <c r="AE77" t="s">
        <v>60</v>
      </c>
      <c r="AF77" t="s">
        <v>61</v>
      </c>
      <c r="AG77" t="s">
        <v>62</v>
      </c>
      <c r="AH77" t="s">
        <v>63</v>
      </c>
      <c r="AI77" t="s">
        <v>64</v>
      </c>
      <c r="AJ77" t="s">
        <v>65</v>
      </c>
      <c r="AK77" t="s">
        <v>97</v>
      </c>
      <c r="AL77" t="s">
        <v>67</v>
      </c>
      <c r="AM77" t="b">
        <v>0</v>
      </c>
      <c r="AN77" t="b">
        <v>0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68</v>
      </c>
      <c r="AV77">
        <v>20000</v>
      </c>
      <c r="AW77">
        <v>2000</v>
      </c>
      <c r="AX77">
        <v>64564</v>
      </c>
      <c r="AY77" t="b">
        <v>1</v>
      </c>
      <c r="AZ77" t="b">
        <v>0</v>
      </c>
      <c r="BA77" t="b">
        <v>1</v>
      </c>
      <c r="BB77" t="b">
        <v>0</v>
      </c>
      <c r="BC77">
        <v>0</v>
      </c>
      <c r="BD77" t="s">
        <v>217</v>
      </c>
      <c r="BE77">
        <v>1</v>
      </c>
    </row>
    <row r="78" spans="1:76" x14ac:dyDescent="0.25">
      <c r="A78">
        <v>58</v>
      </c>
      <c r="B78" t="s">
        <v>289</v>
      </c>
      <c r="C78">
        <v>343</v>
      </c>
      <c r="D78">
        <v>2.5257149999999999E-2</v>
      </c>
      <c r="E78">
        <v>0</v>
      </c>
      <c r="F78">
        <v>0</v>
      </c>
      <c r="G78">
        <v>2.5257149999999999E-2</v>
      </c>
      <c r="H78" t="s">
        <v>290</v>
      </c>
      <c r="I78" t="s">
        <v>52</v>
      </c>
      <c r="J78" t="s">
        <v>52</v>
      </c>
      <c r="K78" t="s">
        <v>290</v>
      </c>
      <c r="L78">
        <f>_xlfn.NUMBERVALUE(MID(Table2[[#This Row],[CI_95perc_FWER]],2,FIND(",",Table2[[#This Row],[CI_95perc_FWER]])-2))</f>
        <v>2.436E-2</v>
      </c>
      <c r="M78">
        <f>_xlfn.NUMBERVALUE(MID(Table2[[#This Row],[CI_95perc_FWER]],FIND(",",Table2[[#This Row],[CI_95perc_FWER]])+1, LEN(Table2[[#This Row],[CI_95perc_FWER]])-FIND(",",Table2[[#This Row],[CI_95perc_FWER]])-1))</f>
        <v>2.615E-2</v>
      </c>
      <c r="N78" s="1">
        <v>24474</v>
      </c>
      <c r="O78" t="s">
        <v>190</v>
      </c>
      <c r="P78">
        <v>1.7797074350383499</v>
      </c>
      <c r="Q78" t="s">
        <v>54</v>
      </c>
      <c r="R78" t="s">
        <v>55</v>
      </c>
      <c r="S78">
        <v>10000</v>
      </c>
      <c r="T78" t="str">
        <f>IF(OR(Table2[[#This Row],[SampleSize]]=5000,Table2[[#This Row],[SampleSize]]=10000),"&gt;=5k",Table2[[#This Row],[SampleSize]])</f>
        <v>&gt;=5k</v>
      </c>
      <c r="U78">
        <v>2.5000000000000001E-2</v>
      </c>
      <c r="V78" t="s">
        <v>56</v>
      </c>
      <c r="W78" t="s">
        <v>56</v>
      </c>
      <c r="X78" t="s">
        <v>57</v>
      </c>
      <c r="Y78" t="s">
        <v>58</v>
      </c>
      <c r="Z78">
        <v>3</v>
      </c>
      <c r="AA78">
        <v>1</v>
      </c>
      <c r="AB78" t="s">
        <v>59</v>
      </c>
      <c r="AC78" t="s">
        <v>56</v>
      </c>
      <c r="AD78" t="s">
        <v>56</v>
      </c>
      <c r="AE78" t="s">
        <v>60</v>
      </c>
      <c r="AF78" t="s">
        <v>61</v>
      </c>
      <c r="AG78" t="s">
        <v>62</v>
      </c>
      <c r="AH78" t="s">
        <v>63</v>
      </c>
      <c r="AI78" t="s">
        <v>64</v>
      </c>
      <c r="AJ78" t="s">
        <v>65</v>
      </c>
      <c r="AK78" t="s">
        <v>97</v>
      </c>
      <c r="AL78" t="s">
        <v>67</v>
      </c>
      <c r="AM78" t="b">
        <v>0</v>
      </c>
      <c r="AN78" t="b">
        <v>1</v>
      </c>
      <c r="AO78">
        <v>1</v>
      </c>
      <c r="AP78">
        <v>1</v>
      </c>
      <c r="AQ78" t="s">
        <v>77</v>
      </c>
      <c r="AR78" t="s">
        <v>78</v>
      </c>
      <c r="AS78">
        <v>0.75</v>
      </c>
      <c r="AT78" t="b">
        <v>1</v>
      </c>
      <c r="AU78" t="s">
        <v>36</v>
      </c>
      <c r="AV78">
        <v>20000</v>
      </c>
      <c r="AW78">
        <v>2000</v>
      </c>
      <c r="AX78">
        <v>343</v>
      </c>
      <c r="AY78" t="b">
        <v>1</v>
      </c>
      <c r="AZ78" t="b">
        <v>0</v>
      </c>
      <c r="BA78" t="b">
        <v>1</v>
      </c>
      <c r="BB78" t="b">
        <v>0</v>
      </c>
      <c r="BC78" t="s">
        <v>448</v>
      </c>
      <c r="BD78" t="s">
        <v>217</v>
      </c>
      <c r="BE78">
        <v>7</v>
      </c>
    </row>
    <row r="79" spans="1:76" x14ac:dyDescent="0.25">
      <c r="A79">
        <v>59</v>
      </c>
      <c r="B79" t="s">
        <v>291</v>
      </c>
      <c r="C79">
        <v>4346</v>
      </c>
      <c r="D79">
        <v>2.4221224999999999E-2</v>
      </c>
      <c r="E79">
        <v>0</v>
      </c>
      <c r="F79">
        <v>0</v>
      </c>
      <c r="G79">
        <v>2.4221224999999999E-2</v>
      </c>
      <c r="H79" t="s">
        <v>292</v>
      </c>
      <c r="I79" t="s">
        <v>52</v>
      </c>
      <c r="J79" t="s">
        <v>52</v>
      </c>
      <c r="K79" t="s">
        <v>292</v>
      </c>
      <c r="L79">
        <f>_xlfn.NUMBERVALUE(MID(Table2[[#This Row],[CI_95perc_FWER]],2,FIND(",",Table2[[#This Row],[CI_95perc_FWER]])-2))</f>
        <v>2.332E-2</v>
      </c>
      <c r="M79">
        <f>_xlfn.NUMBERVALUE(MID(Table2[[#This Row],[CI_95perc_FWER]],FIND(",",Table2[[#This Row],[CI_95perc_FWER]])+1, LEN(Table2[[#This Row],[CI_95perc_FWER]])-FIND(",",Table2[[#This Row],[CI_95perc_FWER]])-1))</f>
        <v>2.512E-2</v>
      </c>
      <c r="N79" s="1">
        <v>23453</v>
      </c>
      <c r="O79" t="s">
        <v>293</v>
      </c>
      <c r="P79">
        <v>0.75496609972582895</v>
      </c>
      <c r="Q79" t="s">
        <v>54</v>
      </c>
      <c r="R79" t="s">
        <v>55</v>
      </c>
      <c r="S79">
        <v>10000</v>
      </c>
      <c r="T79" t="str">
        <f>IF(OR(Table2[[#This Row],[SampleSize]]=5000,Table2[[#This Row],[SampleSize]]=10000),"&gt;=5k",Table2[[#This Row],[SampleSize]])</f>
        <v>&gt;=5k</v>
      </c>
      <c r="U79">
        <v>2.5000000000000001E-2</v>
      </c>
      <c r="V79" t="s">
        <v>56</v>
      </c>
      <c r="W79" t="s">
        <v>56</v>
      </c>
      <c r="X79" t="s">
        <v>57</v>
      </c>
      <c r="Y79" t="s">
        <v>58</v>
      </c>
      <c r="Z79">
        <v>3</v>
      </c>
      <c r="AA79">
        <v>1</v>
      </c>
      <c r="AB79" t="s">
        <v>59</v>
      </c>
      <c r="AC79" t="s">
        <v>56</v>
      </c>
      <c r="AD79" t="s">
        <v>56</v>
      </c>
      <c r="AE79" t="s">
        <v>60</v>
      </c>
      <c r="AF79" t="s">
        <v>61</v>
      </c>
      <c r="AG79" t="s">
        <v>62</v>
      </c>
      <c r="AH79" t="s">
        <v>63</v>
      </c>
      <c r="AI79" t="s">
        <v>64</v>
      </c>
      <c r="AJ79" t="s">
        <v>65</v>
      </c>
      <c r="AK79" t="s">
        <v>97</v>
      </c>
      <c r="AL79" t="s">
        <v>67</v>
      </c>
      <c r="AM79" t="b">
        <v>0</v>
      </c>
      <c r="AN79" t="b">
        <v>1</v>
      </c>
      <c r="AO79">
        <v>1</v>
      </c>
      <c r="AP79">
        <v>1</v>
      </c>
      <c r="AQ79" t="s">
        <v>77</v>
      </c>
      <c r="AR79" t="s">
        <v>78</v>
      </c>
      <c r="AS79">
        <v>0.25</v>
      </c>
      <c r="AT79" t="b">
        <v>1</v>
      </c>
      <c r="AU79" t="s">
        <v>36</v>
      </c>
      <c r="AV79">
        <v>20000</v>
      </c>
      <c r="AW79">
        <v>2000</v>
      </c>
      <c r="AX79">
        <v>4346</v>
      </c>
      <c r="AY79" t="b">
        <v>1</v>
      </c>
      <c r="AZ79" t="b">
        <v>0</v>
      </c>
      <c r="BA79" t="b">
        <v>1</v>
      </c>
      <c r="BB79" t="b">
        <v>0</v>
      </c>
      <c r="BC79">
        <v>3</v>
      </c>
      <c r="BD79" t="s">
        <v>217</v>
      </c>
      <c r="BE79">
        <v>3</v>
      </c>
    </row>
    <row r="80" spans="1:76" x14ac:dyDescent="0.25">
      <c r="A80">
        <v>60</v>
      </c>
      <c r="B80" t="s">
        <v>294</v>
      </c>
      <c r="C80">
        <v>2300</v>
      </c>
      <c r="D80">
        <v>2.526865E-2</v>
      </c>
      <c r="E80">
        <v>0</v>
      </c>
      <c r="F80">
        <v>0</v>
      </c>
      <c r="G80">
        <v>2.526865E-2</v>
      </c>
      <c r="H80" t="s">
        <v>295</v>
      </c>
      <c r="I80" t="s">
        <v>52</v>
      </c>
      <c r="J80" t="s">
        <v>52</v>
      </c>
      <c r="K80" t="s">
        <v>295</v>
      </c>
      <c r="L80">
        <f>_xlfn.NUMBERVALUE(MID(Table2[[#This Row],[CI_95perc_FWER]],2,FIND(",",Table2[[#This Row],[CI_95perc_FWER]])-2))</f>
        <v>2.4379999999999999E-2</v>
      </c>
      <c r="M80">
        <f>_xlfn.NUMBERVALUE(MID(Table2[[#This Row],[CI_95perc_FWER]],FIND(",",Table2[[#This Row],[CI_95perc_FWER]])+1, LEN(Table2[[#This Row],[CI_95perc_FWER]])-FIND(",",Table2[[#This Row],[CI_95perc_FWER]])-1))</f>
        <v>2.6159999999999999E-2</v>
      </c>
      <c r="N80" s="1">
        <v>23463</v>
      </c>
      <c r="O80" t="s">
        <v>296</v>
      </c>
      <c r="P80">
        <v>2.1095258655150699</v>
      </c>
      <c r="Q80" t="s">
        <v>54</v>
      </c>
      <c r="R80" t="s">
        <v>55</v>
      </c>
      <c r="S80">
        <v>10000</v>
      </c>
      <c r="T80" t="str">
        <f>IF(OR(Table2[[#This Row],[SampleSize]]=5000,Table2[[#This Row],[SampleSize]]=10000),"&gt;=5k",Table2[[#This Row],[SampleSize]])</f>
        <v>&gt;=5k</v>
      </c>
      <c r="U80">
        <v>2.5000000000000001E-2</v>
      </c>
      <c r="V80" t="s">
        <v>56</v>
      </c>
      <c r="W80" t="s">
        <v>56</v>
      </c>
      <c r="X80" t="s">
        <v>57</v>
      </c>
      <c r="Y80" t="s">
        <v>58</v>
      </c>
      <c r="Z80">
        <v>3</v>
      </c>
      <c r="AA80">
        <v>1</v>
      </c>
      <c r="AB80" t="s">
        <v>59</v>
      </c>
      <c r="AC80" t="s">
        <v>56</v>
      </c>
      <c r="AD80" t="s">
        <v>56</v>
      </c>
      <c r="AE80" t="s">
        <v>60</v>
      </c>
      <c r="AF80" t="s">
        <v>61</v>
      </c>
      <c r="AG80" t="s">
        <v>62</v>
      </c>
      <c r="AH80" t="s">
        <v>63</v>
      </c>
      <c r="AI80" t="s">
        <v>64</v>
      </c>
      <c r="AJ80" t="s">
        <v>65</v>
      </c>
      <c r="AK80" t="s">
        <v>97</v>
      </c>
      <c r="AL80" t="s">
        <v>67</v>
      </c>
      <c r="AM80" t="b">
        <v>0</v>
      </c>
      <c r="AN80" t="b">
        <v>1</v>
      </c>
      <c r="AO80">
        <v>1</v>
      </c>
      <c r="AP80">
        <v>1</v>
      </c>
      <c r="AQ80" t="s">
        <v>77</v>
      </c>
      <c r="AR80" t="s">
        <v>73</v>
      </c>
      <c r="AS80">
        <v>2</v>
      </c>
      <c r="AT80" t="b">
        <v>1</v>
      </c>
      <c r="AU80" t="s">
        <v>36</v>
      </c>
      <c r="AV80">
        <v>20000</v>
      </c>
      <c r="AW80">
        <v>2000</v>
      </c>
      <c r="AX80">
        <v>2300</v>
      </c>
      <c r="AY80" t="b">
        <v>1</v>
      </c>
      <c r="AZ80" t="b">
        <v>0</v>
      </c>
      <c r="BA80" t="b">
        <v>1</v>
      </c>
      <c r="BB80" t="b">
        <v>0</v>
      </c>
      <c r="BC80">
        <v>0</v>
      </c>
      <c r="BD80" t="s">
        <v>217</v>
      </c>
      <c r="BE80">
        <v>11</v>
      </c>
    </row>
    <row r="81" spans="1:57" x14ac:dyDescent="0.25">
      <c r="A81">
        <v>61</v>
      </c>
      <c r="B81" t="s">
        <v>297</v>
      </c>
      <c r="C81">
        <v>2402</v>
      </c>
      <c r="D81">
        <v>2.52502E-2</v>
      </c>
      <c r="E81">
        <v>0</v>
      </c>
      <c r="F81">
        <v>0</v>
      </c>
      <c r="G81">
        <v>2.52502E-2</v>
      </c>
      <c r="H81" t="s">
        <v>298</v>
      </c>
      <c r="I81" t="s">
        <v>52</v>
      </c>
      <c r="J81" t="s">
        <v>52</v>
      </c>
      <c r="K81" t="s">
        <v>298</v>
      </c>
      <c r="L81">
        <f>_xlfn.NUMBERVALUE(MID(Table2[[#This Row],[CI_95perc_FWER]],2,FIND(",",Table2[[#This Row],[CI_95perc_FWER]])-2))</f>
        <v>2.435E-2</v>
      </c>
      <c r="M81">
        <f>_xlfn.NUMBERVALUE(MID(Table2[[#This Row],[CI_95perc_FWER]],FIND(",",Table2[[#This Row],[CI_95perc_FWER]])+1, LEN(Table2[[#This Row],[CI_95perc_FWER]])-FIND(",",Table2[[#This Row],[CI_95perc_FWER]])-1))</f>
        <v>2.615E-2</v>
      </c>
      <c r="N81" s="1">
        <v>24457</v>
      </c>
      <c r="O81" t="s">
        <v>299</v>
      </c>
      <c r="P81">
        <v>1.29350862695111</v>
      </c>
      <c r="Q81" t="s">
        <v>54</v>
      </c>
      <c r="R81" t="s">
        <v>55</v>
      </c>
      <c r="S81">
        <v>10000</v>
      </c>
      <c r="T81" t="str">
        <f>IF(OR(Table2[[#This Row],[SampleSize]]=5000,Table2[[#This Row],[SampleSize]]=10000),"&gt;=5k",Table2[[#This Row],[SampleSize]])</f>
        <v>&gt;=5k</v>
      </c>
      <c r="U81">
        <v>2.5000000000000001E-2</v>
      </c>
      <c r="V81" t="s">
        <v>56</v>
      </c>
      <c r="W81" t="s">
        <v>56</v>
      </c>
      <c r="X81" t="s">
        <v>57</v>
      </c>
      <c r="Y81" t="s">
        <v>58</v>
      </c>
      <c r="Z81">
        <v>3</v>
      </c>
      <c r="AA81">
        <v>1</v>
      </c>
      <c r="AB81" t="s">
        <v>59</v>
      </c>
      <c r="AC81" t="s">
        <v>56</v>
      </c>
      <c r="AD81" t="s">
        <v>56</v>
      </c>
      <c r="AE81" t="s">
        <v>60</v>
      </c>
      <c r="AF81" t="s">
        <v>61</v>
      </c>
      <c r="AG81" t="s">
        <v>62</v>
      </c>
      <c r="AH81" t="s">
        <v>63</v>
      </c>
      <c r="AI81" t="s">
        <v>64</v>
      </c>
      <c r="AJ81" t="s">
        <v>65</v>
      </c>
      <c r="AK81" t="s">
        <v>97</v>
      </c>
      <c r="AL81" t="s">
        <v>67</v>
      </c>
      <c r="AM81" t="b">
        <v>0</v>
      </c>
      <c r="AN81" t="b">
        <v>1</v>
      </c>
      <c r="AO81">
        <v>1</v>
      </c>
      <c r="AP81">
        <v>1</v>
      </c>
      <c r="AQ81" t="s">
        <v>77</v>
      </c>
      <c r="AR81" t="s">
        <v>78</v>
      </c>
      <c r="AS81">
        <v>0.5</v>
      </c>
      <c r="AT81" t="b">
        <v>0</v>
      </c>
      <c r="AU81" t="s">
        <v>68</v>
      </c>
      <c r="AV81">
        <v>20000</v>
      </c>
      <c r="AW81">
        <v>2000</v>
      </c>
      <c r="AX81">
        <v>2402</v>
      </c>
      <c r="AY81" t="b">
        <v>1</v>
      </c>
      <c r="AZ81" t="b">
        <v>0</v>
      </c>
      <c r="BA81" t="b">
        <v>1</v>
      </c>
      <c r="BB81" t="b">
        <v>0</v>
      </c>
      <c r="BC81">
        <v>5</v>
      </c>
      <c r="BD81" t="s">
        <v>217</v>
      </c>
      <c r="BE81">
        <v>5</v>
      </c>
    </row>
    <row r="82" spans="1:57" x14ac:dyDescent="0.25">
      <c r="A82">
        <v>62</v>
      </c>
      <c r="B82" t="s">
        <v>300</v>
      </c>
      <c r="C82">
        <v>64564</v>
      </c>
      <c r="D82">
        <v>2.5111325E-2</v>
      </c>
      <c r="E82">
        <v>0</v>
      </c>
      <c r="F82">
        <v>0</v>
      </c>
      <c r="G82">
        <v>2.5111325E-2</v>
      </c>
      <c r="H82" t="s">
        <v>301</v>
      </c>
      <c r="I82" t="s">
        <v>52</v>
      </c>
      <c r="J82" t="s">
        <v>52</v>
      </c>
      <c r="K82" t="s">
        <v>301</v>
      </c>
      <c r="L82">
        <f>_xlfn.NUMBERVALUE(MID(Table2[[#This Row],[CI_95perc_FWER]],2,FIND(",",Table2[[#This Row],[CI_95perc_FWER]])-2))</f>
        <v>2.418E-2</v>
      </c>
      <c r="M82">
        <f>_xlfn.NUMBERVALUE(MID(Table2[[#This Row],[CI_95perc_FWER]],FIND(",",Table2[[#This Row],[CI_95perc_FWER]])+1, LEN(Table2[[#This Row],[CI_95perc_FWER]])-FIND(",",Table2[[#This Row],[CI_95perc_FWER]])-1))</f>
        <v>2.6040000000000001E-2</v>
      </c>
      <c r="N82" s="1">
        <v>33466</v>
      </c>
      <c r="O82" t="s">
        <v>302</v>
      </c>
      <c r="P82">
        <v>2.1058584594726599</v>
      </c>
      <c r="Q82" t="s">
        <v>54</v>
      </c>
      <c r="R82" t="s">
        <v>55</v>
      </c>
      <c r="S82">
        <v>10000</v>
      </c>
      <c r="T82" t="str">
        <f>IF(OR(Table2[[#This Row],[SampleSize]]=5000,Table2[[#This Row],[SampleSize]]=10000),"&gt;=5k",Table2[[#This Row],[SampleSize]])</f>
        <v>&gt;=5k</v>
      </c>
      <c r="U82">
        <v>2.5000000000000001E-2</v>
      </c>
      <c r="V82" t="s">
        <v>56</v>
      </c>
      <c r="W82" t="s">
        <v>56</v>
      </c>
      <c r="X82" t="s">
        <v>57</v>
      </c>
      <c r="Y82" t="s">
        <v>58</v>
      </c>
      <c r="Z82">
        <v>3</v>
      </c>
      <c r="AA82">
        <v>1</v>
      </c>
      <c r="AB82" t="s">
        <v>59</v>
      </c>
      <c r="AC82" t="s">
        <v>56</v>
      </c>
      <c r="AD82" t="s">
        <v>56</v>
      </c>
      <c r="AE82" t="s">
        <v>60</v>
      </c>
      <c r="AF82" t="s">
        <v>61</v>
      </c>
      <c r="AG82" t="s">
        <v>62</v>
      </c>
      <c r="AH82" t="s">
        <v>63</v>
      </c>
      <c r="AI82" t="s">
        <v>64</v>
      </c>
      <c r="AJ82" t="s">
        <v>65</v>
      </c>
      <c r="AK82" t="s">
        <v>97</v>
      </c>
      <c r="AL82" t="s">
        <v>67</v>
      </c>
      <c r="AM82" t="b">
        <v>0</v>
      </c>
      <c r="AN82" t="b">
        <v>0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68</v>
      </c>
      <c r="AV82">
        <v>20000</v>
      </c>
      <c r="AW82">
        <v>2000</v>
      </c>
      <c r="AX82">
        <v>64564</v>
      </c>
      <c r="AY82" t="b">
        <v>1</v>
      </c>
      <c r="AZ82" t="b">
        <v>0</v>
      </c>
      <c r="BA82" t="b">
        <v>1</v>
      </c>
      <c r="BB82" t="b">
        <v>1</v>
      </c>
      <c r="BC82">
        <v>0</v>
      </c>
      <c r="BD82" t="s">
        <v>217</v>
      </c>
      <c r="BE82">
        <v>1</v>
      </c>
    </row>
    <row r="83" spans="1:57" x14ac:dyDescent="0.25">
      <c r="A83">
        <v>63</v>
      </c>
      <c r="B83" t="s">
        <v>303</v>
      </c>
      <c r="C83">
        <v>343</v>
      </c>
      <c r="D83">
        <v>2.5157100000000002E-2</v>
      </c>
      <c r="E83">
        <v>0</v>
      </c>
      <c r="F83">
        <v>0</v>
      </c>
      <c r="G83">
        <v>2.5157100000000002E-2</v>
      </c>
      <c r="H83" t="s">
        <v>304</v>
      </c>
      <c r="I83" t="s">
        <v>52</v>
      </c>
      <c r="J83" t="s">
        <v>52</v>
      </c>
      <c r="K83" t="s">
        <v>304</v>
      </c>
      <c r="L83">
        <f>_xlfn.NUMBERVALUE(MID(Table2[[#This Row],[CI_95perc_FWER]],2,FIND(",",Table2[[#This Row],[CI_95perc_FWER]])-2))</f>
        <v>2.427E-2</v>
      </c>
      <c r="M83">
        <f>_xlfn.NUMBERVALUE(MID(Table2[[#This Row],[CI_95perc_FWER]],FIND(",",Table2[[#This Row],[CI_95perc_FWER]])+1, LEN(Table2[[#This Row],[CI_95perc_FWER]])-FIND(",",Table2[[#This Row],[CI_95perc_FWER]])-1))</f>
        <v>2.605E-2</v>
      </c>
      <c r="N83" s="1">
        <v>24472</v>
      </c>
      <c r="O83" t="s">
        <v>213</v>
      </c>
      <c r="P83">
        <v>1.77883916887972</v>
      </c>
      <c r="Q83" t="s">
        <v>54</v>
      </c>
      <c r="R83" t="s">
        <v>55</v>
      </c>
      <c r="S83">
        <v>10000</v>
      </c>
      <c r="T83" t="str">
        <f>IF(OR(Table2[[#This Row],[SampleSize]]=5000,Table2[[#This Row],[SampleSize]]=10000),"&gt;=5k",Table2[[#This Row],[SampleSize]])</f>
        <v>&gt;=5k</v>
      </c>
      <c r="U83">
        <v>2.5000000000000001E-2</v>
      </c>
      <c r="V83" t="s">
        <v>56</v>
      </c>
      <c r="W83" t="s">
        <v>56</v>
      </c>
      <c r="X83" t="s">
        <v>57</v>
      </c>
      <c r="Y83" t="s">
        <v>58</v>
      </c>
      <c r="Z83">
        <v>3</v>
      </c>
      <c r="AA83">
        <v>1</v>
      </c>
      <c r="AB83" t="s">
        <v>59</v>
      </c>
      <c r="AC83" t="s">
        <v>56</v>
      </c>
      <c r="AD83" t="s">
        <v>56</v>
      </c>
      <c r="AE83" t="s">
        <v>60</v>
      </c>
      <c r="AF83" t="s">
        <v>61</v>
      </c>
      <c r="AG83" t="s">
        <v>62</v>
      </c>
      <c r="AH83" t="s">
        <v>63</v>
      </c>
      <c r="AI83" t="s">
        <v>64</v>
      </c>
      <c r="AJ83" t="s">
        <v>65</v>
      </c>
      <c r="AK83" t="s">
        <v>97</v>
      </c>
      <c r="AL83" t="s">
        <v>67</v>
      </c>
      <c r="AM83" t="b">
        <v>0</v>
      </c>
      <c r="AN83" t="b">
        <v>1</v>
      </c>
      <c r="AO83">
        <v>1</v>
      </c>
      <c r="AP83">
        <v>1</v>
      </c>
      <c r="AQ83" t="s">
        <v>77</v>
      </c>
      <c r="AR83" t="s">
        <v>78</v>
      </c>
      <c r="AS83">
        <v>0.75</v>
      </c>
      <c r="AT83" t="b">
        <v>1</v>
      </c>
      <c r="AU83" t="s">
        <v>36</v>
      </c>
      <c r="AV83">
        <v>20000</v>
      </c>
      <c r="AW83">
        <v>2000</v>
      </c>
      <c r="AX83">
        <v>343</v>
      </c>
      <c r="AY83" t="b">
        <v>1</v>
      </c>
      <c r="AZ83" t="b">
        <v>0</v>
      </c>
      <c r="BA83" t="b">
        <v>1</v>
      </c>
      <c r="BB83" t="b">
        <v>1</v>
      </c>
      <c r="BC83">
        <v>0</v>
      </c>
      <c r="BD83" t="s">
        <v>217</v>
      </c>
      <c r="BE83">
        <v>7</v>
      </c>
    </row>
    <row r="84" spans="1:57" x14ac:dyDescent="0.25">
      <c r="A84">
        <v>64</v>
      </c>
      <c r="B84" t="s">
        <v>305</v>
      </c>
      <c r="C84">
        <v>4346</v>
      </c>
      <c r="D84">
        <v>2.4137425000000001E-2</v>
      </c>
      <c r="E84">
        <v>0</v>
      </c>
      <c r="F84">
        <v>0</v>
      </c>
      <c r="G84">
        <v>2.4137425000000001E-2</v>
      </c>
      <c r="H84" t="s">
        <v>306</v>
      </c>
      <c r="I84" t="s">
        <v>52</v>
      </c>
      <c r="J84" t="s">
        <v>52</v>
      </c>
      <c r="K84" t="s">
        <v>306</v>
      </c>
      <c r="L84">
        <f>_xlfn.NUMBERVALUE(MID(Table2[[#This Row],[CI_95perc_FWER]],2,FIND(",",Table2[[#This Row],[CI_95perc_FWER]])-2))</f>
        <v>2.324E-2</v>
      </c>
      <c r="M84">
        <f>_xlfn.NUMBERVALUE(MID(Table2[[#This Row],[CI_95perc_FWER]],FIND(",",Table2[[#This Row],[CI_95perc_FWER]])+1, LEN(Table2[[#This Row],[CI_95perc_FWER]])-FIND(",",Table2[[#This Row],[CI_95perc_FWER]])-1))</f>
        <v>2.503E-2</v>
      </c>
      <c r="N84" s="1">
        <v>23449</v>
      </c>
      <c r="O84" t="s">
        <v>307</v>
      </c>
      <c r="P84">
        <v>0.74600336750348395</v>
      </c>
      <c r="Q84" t="s">
        <v>54</v>
      </c>
      <c r="R84" t="s">
        <v>55</v>
      </c>
      <c r="S84">
        <v>10000</v>
      </c>
      <c r="T84" t="str">
        <f>IF(OR(Table2[[#This Row],[SampleSize]]=5000,Table2[[#This Row],[SampleSize]]=10000),"&gt;=5k",Table2[[#This Row],[SampleSize]])</f>
        <v>&gt;=5k</v>
      </c>
      <c r="U84">
        <v>2.5000000000000001E-2</v>
      </c>
      <c r="V84" t="s">
        <v>56</v>
      </c>
      <c r="W84" t="s">
        <v>56</v>
      </c>
      <c r="X84" t="s">
        <v>57</v>
      </c>
      <c r="Y84" t="s">
        <v>58</v>
      </c>
      <c r="Z84">
        <v>3</v>
      </c>
      <c r="AA84">
        <v>1</v>
      </c>
      <c r="AB84" t="s">
        <v>59</v>
      </c>
      <c r="AC84" t="s">
        <v>56</v>
      </c>
      <c r="AD84" t="s">
        <v>56</v>
      </c>
      <c r="AE84" t="s">
        <v>60</v>
      </c>
      <c r="AF84" t="s">
        <v>61</v>
      </c>
      <c r="AG84" t="s">
        <v>62</v>
      </c>
      <c r="AH84" t="s">
        <v>63</v>
      </c>
      <c r="AI84" t="s">
        <v>64</v>
      </c>
      <c r="AJ84" t="s">
        <v>65</v>
      </c>
      <c r="AK84" t="s">
        <v>97</v>
      </c>
      <c r="AL84" t="s">
        <v>67</v>
      </c>
      <c r="AM84" t="b">
        <v>0</v>
      </c>
      <c r="AN84" t="b">
        <v>1</v>
      </c>
      <c r="AO84">
        <v>1</v>
      </c>
      <c r="AP84">
        <v>1</v>
      </c>
      <c r="AQ84" t="s">
        <v>77</v>
      </c>
      <c r="AR84" t="s">
        <v>78</v>
      </c>
      <c r="AS84">
        <v>0.25</v>
      </c>
      <c r="AT84" t="b">
        <v>1</v>
      </c>
      <c r="AU84" t="s">
        <v>36</v>
      </c>
      <c r="AV84">
        <v>20000</v>
      </c>
      <c r="AW84">
        <v>2000</v>
      </c>
      <c r="AX84">
        <v>4346</v>
      </c>
      <c r="AY84" t="b">
        <v>1</v>
      </c>
      <c r="AZ84" t="b">
        <v>0</v>
      </c>
      <c r="BA84" t="b">
        <v>1</v>
      </c>
      <c r="BB84" t="b">
        <v>1</v>
      </c>
      <c r="BC84">
        <v>0</v>
      </c>
      <c r="BD84" t="s">
        <v>217</v>
      </c>
      <c r="BE84">
        <v>3</v>
      </c>
    </row>
    <row r="85" spans="1:57" x14ac:dyDescent="0.25">
      <c r="A85">
        <v>65</v>
      </c>
      <c r="B85" t="s">
        <v>308</v>
      </c>
      <c r="C85">
        <v>2300</v>
      </c>
      <c r="D85">
        <v>2.5167849999999999E-2</v>
      </c>
      <c r="E85">
        <v>0</v>
      </c>
      <c r="F85">
        <v>0</v>
      </c>
      <c r="G85">
        <v>2.5167849999999999E-2</v>
      </c>
      <c r="H85" t="s">
        <v>309</v>
      </c>
      <c r="I85" t="s">
        <v>52</v>
      </c>
      <c r="J85" t="s">
        <v>52</v>
      </c>
      <c r="K85" t="s">
        <v>309</v>
      </c>
      <c r="L85">
        <f>_xlfn.NUMBERVALUE(MID(Table2[[#This Row],[CI_95perc_FWER]],2,FIND(",",Table2[[#This Row],[CI_95perc_FWER]])-2))</f>
        <v>2.4279999999999999E-2</v>
      </c>
      <c r="M85">
        <f>_xlfn.NUMBERVALUE(MID(Table2[[#This Row],[CI_95perc_FWER]],FIND(",",Table2[[#This Row],[CI_95perc_FWER]])+1, LEN(Table2[[#This Row],[CI_95perc_FWER]])-FIND(",",Table2[[#This Row],[CI_95perc_FWER]])-1))</f>
        <v>2.606E-2</v>
      </c>
      <c r="N85" s="1">
        <v>23460</v>
      </c>
      <c r="O85" t="s">
        <v>310</v>
      </c>
      <c r="P85">
        <v>2.07878851811091</v>
      </c>
      <c r="Q85" t="s">
        <v>54</v>
      </c>
      <c r="R85" t="s">
        <v>55</v>
      </c>
      <c r="S85">
        <v>10000</v>
      </c>
      <c r="T85" t="str">
        <f>IF(OR(Table2[[#This Row],[SampleSize]]=5000,Table2[[#This Row],[SampleSize]]=10000),"&gt;=5k",Table2[[#This Row],[SampleSize]])</f>
        <v>&gt;=5k</v>
      </c>
      <c r="U85">
        <v>2.5000000000000001E-2</v>
      </c>
      <c r="V85" t="s">
        <v>56</v>
      </c>
      <c r="W85" t="s">
        <v>56</v>
      </c>
      <c r="X85" t="s">
        <v>57</v>
      </c>
      <c r="Y85" t="s">
        <v>58</v>
      </c>
      <c r="Z85">
        <v>3</v>
      </c>
      <c r="AA85">
        <v>1</v>
      </c>
      <c r="AB85" t="s">
        <v>59</v>
      </c>
      <c r="AC85" t="s">
        <v>56</v>
      </c>
      <c r="AD85" t="s">
        <v>56</v>
      </c>
      <c r="AE85" t="s">
        <v>60</v>
      </c>
      <c r="AF85" t="s">
        <v>61</v>
      </c>
      <c r="AG85" t="s">
        <v>62</v>
      </c>
      <c r="AH85" t="s">
        <v>63</v>
      </c>
      <c r="AI85" t="s">
        <v>64</v>
      </c>
      <c r="AJ85" t="s">
        <v>65</v>
      </c>
      <c r="AK85" t="s">
        <v>97</v>
      </c>
      <c r="AL85" t="s">
        <v>67</v>
      </c>
      <c r="AM85" t="b">
        <v>0</v>
      </c>
      <c r="AN85" t="b">
        <v>1</v>
      </c>
      <c r="AO85">
        <v>1</v>
      </c>
      <c r="AP85">
        <v>1</v>
      </c>
      <c r="AQ85" t="s">
        <v>77</v>
      </c>
      <c r="AR85" t="s">
        <v>73</v>
      </c>
      <c r="AS85">
        <v>2</v>
      </c>
      <c r="AT85" t="b">
        <v>1</v>
      </c>
      <c r="AU85" t="s">
        <v>36</v>
      </c>
      <c r="AV85">
        <v>20000</v>
      </c>
      <c r="AW85">
        <v>2000</v>
      </c>
      <c r="AX85">
        <v>2300</v>
      </c>
      <c r="AY85" t="b">
        <v>1</v>
      </c>
      <c r="AZ85" t="b">
        <v>0</v>
      </c>
      <c r="BA85" t="b">
        <v>1</v>
      </c>
      <c r="BB85" t="b">
        <v>1</v>
      </c>
      <c r="BC85">
        <v>0</v>
      </c>
      <c r="BD85" t="s">
        <v>217</v>
      </c>
      <c r="BE85">
        <v>11</v>
      </c>
    </row>
    <row r="86" spans="1:57" x14ac:dyDescent="0.25">
      <c r="A86">
        <v>66</v>
      </c>
      <c r="B86" t="s">
        <v>311</v>
      </c>
      <c r="C86">
        <v>2402</v>
      </c>
      <c r="D86">
        <v>2.5151699999999999E-2</v>
      </c>
      <c r="E86">
        <v>0</v>
      </c>
      <c r="F86">
        <v>0</v>
      </c>
      <c r="G86">
        <v>2.5151699999999999E-2</v>
      </c>
      <c r="H86" t="s">
        <v>312</v>
      </c>
      <c r="I86" t="s">
        <v>52</v>
      </c>
      <c r="J86" t="s">
        <v>52</v>
      </c>
      <c r="K86" t="s">
        <v>312</v>
      </c>
      <c r="L86">
        <f>_xlfn.NUMBERVALUE(MID(Table2[[#This Row],[CI_95perc_FWER]],2,FIND(",",Table2[[#This Row],[CI_95perc_FWER]])-2))</f>
        <v>2.426E-2</v>
      </c>
      <c r="M86">
        <f>_xlfn.NUMBERVALUE(MID(Table2[[#This Row],[CI_95perc_FWER]],FIND(",",Table2[[#This Row],[CI_95perc_FWER]])+1, LEN(Table2[[#This Row],[CI_95perc_FWER]])-FIND(",",Table2[[#This Row],[CI_95perc_FWER]])-1))</f>
        <v>2.605E-2</v>
      </c>
      <c r="N86" s="1">
        <v>24453</v>
      </c>
      <c r="O86" t="s">
        <v>313</v>
      </c>
      <c r="P86">
        <v>1.3339072483115699</v>
      </c>
      <c r="Q86" t="s">
        <v>54</v>
      </c>
      <c r="R86" t="s">
        <v>55</v>
      </c>
      <c r="S86">
        <v>10000</v>
      </c>
      <c r="T86" t="str">
        <f>IF(OR(Table2[[#This Row],[SampleSize]]=5000,Table2[[#This Row],[SampleSize]]=10000),"&gt;=5k",Table2[[#This Row],[SampleSize]])</f>
        <v>&gt;=5k</v>
      </c>
      <c r="U86">
        <v>2.5000000000000001E-2</v>
      </c>
      <c r="V86" t="s">
        <v>56</v>
      </c>
      <c r="W86" t="s">
        <v>56</v>
      </c>
      <c r="X86" t="s">
        <v>57</v>
      </c>
      <c r="Y86" t="s">
        <v>58</v>
      </c>
      <c r="Z86">
        <v>3</v>
      </c>
      <c r="AA86">
        <v>1</v>
      </c>
      <c r="AB86" t="s">
        <v>59</v>
      </c>
      <c r="AC86" t="s">
        <v>56</v>
      </c>
      <c r="AD86" t="s">
        <v>56</v>
      </c>
      <c r="AE86" t="s">
        <v>60</v>
      </c>
      <c r="AF86" t="s">
        <v>61</v>
      </c>
      <c r="AG86" t="s">
        <v>62</v>
      </c>
      <c r="AH86" t="s">
        <v>63</v>
      </c>
      <c r="AI86" t="s">
        <v>64</v>
      </c>
      <c r="AJ86" t="s">
        <v>65</v>
      </c>
      <c r="AK86" t="s">
        <v>97</v>
      </c>
      <c r="AL86" t="s">
        <v>67</v>
      </c>
      <c r="AM86" t="b">
        <v>0</v>
      </c>
      <c r="AN86" t="b">
        <v>1</v>
      </c>
      <c r="AO86">
        <v>1</v>
      </c>
      <c r="AP86">
        <v>1</v>
      </c>
      <c r="AQ86" t="s">
        <v>77</v>
      </c>
      <c r="AR86" t="s">
        <v>78</v>
      </c>
      <c r="AS86">
        <v>0.5</v>
      </c>
      <c r="AT86" t="b">
        <v>0</v>
      </c>
      <c r="AU86" t="s">
        <v>68</v>
      </c>
      <c r="AV86">
        <v>20000</v>
      </c>
      <c r="AW86">
        <v>2000</v>
      </c>
      <c r="AX86">
        <v>2402</v>
      </c>
      <c r="AY86" t="b">
        <v>1</v>
      </c>
      <c r="AZ86" t="b">
        <v>0</v>
      </c>
      <c r="BA86" t="b">
        <v>1</v>
      </c>
      <c r="BB86" t="b">
        <v>1</v>
      </c>
      <c r="BC86">
        <v>0</v>
      </c>
      <c r="BD86" t="s">
        <v>217</v>
      </c>
      <c r="BE86">
        <v>5</v>
      </c>
    </row>
    <row r="87" spans="1:57" x14ac:dyDescent="0.25">
      <c r="A87">
        <v>87</v>
      </c>
      <c r="B87" t="s">
        <v>375</v>
      </c>
      <c r="C87">
        <v>2402</v>
      </c>
      <c r="D87">
        <v>2.6378200000000001E-2</v>
      </c>
      <c r="E87">
        <v>0</v>
      </c>
      <c r="F87">
        <v>0</v>
      </c>
      <c r="G87">
        <v>2.6378200000000001E-2</v>
      </c>
      <c r="H87" t="s">
        <v>376</v>
      </c>
      <c r="I87" t="s">
        <v>52</v>
      </c>
      <c r="J87" t="s">
        <v>52</v>
      </c>
      <c r="K87" t="s">
        <v>376</v>
      </c>
      <c r="L87">
        <f>_xlfn.NUMBERVALUE(MID(Table2[[#This Row],[CI_95perc_FWER]],2,FIND(",",Table2[[#This Row],[CI_95perc_FWER]])-2))</f>
        <v>2.478E-2</v>
      </c>
      <c r="M87">
        <f>_xlfn.NUMBERVALUE(MID(Table2[[#This Row],[CI_95perc_FWER]],FIND(",",Table2[[#This Row],[CI_95perc_FWER]])+1, LEN(Table2[[#This Row],[CI_95perc_FWER]])-FIND(",",Table2[[#This Row],[CI_95perc_FWER]])-1))</f>
        <v>2.7969999999999998E-2</v>
      </c>
      <c r="N87" s="1">
        <v>217300</v>
      </c>
      <c r="O87" t="s">
        <v>377</v>
      </c>
      <c r="P87">
        <v>1.2428011927339799</v>
      </c>
      <c r="Q87" t="s">
        <v>54</v>
      </c>
      <c r="R87" t="s">
        <v>55</v>
      </c>
      <c r="S87">
        <v>10000</v>
      </c>
      <c r="T87" t="str">
        <f>IF(OR(Table2[[#This Row],[SampleSize]]=5000,Table2[[#This Row],[SampleSize]]=10000),"&gt;=5k",Table2[[#This Row],[SampleSize]])</f>
        <v>&gt;=5k</v>
      </c>
      <c r="U87">
        <v>2.5000000000000001E-2</v>
      </c>
      <c r="V87" t="s">
        <v>56</v>
      </c>
      <c r="W87" t="s">
        <v>56</v>
      </c>
      <c r="X87" t="s">
        <v>57</v>
      </c>
      <c r="Y87" t="s">
        <v>58</v>
      </c>
      <c r="Z87">
        <v>3</v>
      </c>
      <c r="AA87">
        <v>1</v>
      </c>
      <c r="AB87" t="s">
        <v>59</v>
      </c>
      <c r="AC87" t="s">
        <v>56</v>
      </c>
      <c r="AD87" t="s">
        <v>56</v>
      </c>
      <c r="AE87" t="s">
        <v>60</v>
      </c>
      <c r="AF87" t="s">
        <v>61</v>
      </c>
      <c r="AG87" t="s">
        <v>62</v>
      </c>
      <c r="AH87" t="s">
        <v>63</v>
      </c>
      <c r="AI87" t="s">
        <v>64</v>
      </c>
      <c r="AJ87" t="s">
        <v>65</v>
      </c>
      <c r="AK87" t="s">
        <v>66</v>
      </c>
      <c r="AL87" t="s">
        <v>67</v>
      </c>
      <c r="AM87" t="b">
        <v>0</v>
      </c>
      <c r="AN87" t="b">
        <v>1</v>
      </c>
      <c r="AO87">
        <v>1</v>
      </c>
      <c r="AP87">
        <v>1</v>
      </c>
      <c r="AQ87" t="s">
        <v>77</v>
      </c>
      <c r="AR87" t="s">
        <v>78</v>
      </c>
      <c r="AS87">
        <v>0.5</v>
      </c>
      <c r="AT87" t="b">
        <v>0</v>
      </c>
      <c r="AU87" t="s">
        <v>68</v>
      </c>
      <c r="AV87">
        <v>20000</v>
      </c>
      <c r="AW87">
        <v>2000</v>
      </c>
      <c r="AX87">
        <v>2402</v>
      </c>
      <c r="AY87" t="b">
        <v>1</v>
      </c>
      <c r="AZ87" t="b">
        <v>0</v>
      </c>
      <c r="BA87" t="b">
        <v>1</v>
      </c>
      <c r="BB87" t="b">
        <v>0</v>
      </c>
      <c r="BC87">
        <v>0</v>
      </c>
      <c r="BD87" t="s">
        <v>378</v>
      </c>
      <c r="BE87">
        <v>6</v>
      </c>
    </row>
    <row r="88" spans="1:57" x14ac:dyDescent="0.25">
      <c r="A88">
        <v>90</v>
      </c>
      <c r="B88" t="s">
        <v>385</v>
      </c>
      <c r="C88">
        <v>2300</v>
      </c>
      <c r="D88">
        <v>2.6235925E-2</v>
      </c>
      <c r="E88">
        <v>0</v>
      </c>
      <c r="F88">
        <v>0</v>
      </c>
      <c r="G88">
        <v>2.6235925E-2</v>
      </c>
      <c r="H88" t="s">
        <v>386</v>
      </c>
      <c r="I88" t="s">
        <v>52</v>
      </c>
      <c r="J88" t="s">
        <v>52</v>
      </c>
      <c r="K88" t="s">
        <v>386</v>
      </c>
      <c r="L88">
        <f>_xlfn.NUMBERVALUE(MID(Table2[[#This Row],[CI_95perc_FWER]],2,FIND(",",Table2[[#This Row],[CI_95perc_FWER]])-2))</f>
        <v>2.4649999999999998E-2</v>
      </c>
      <c r="M88">
        <f>_xlfn.NUMBERVALUE(MID(Table2[[#This Row],[CI_95perc_FWER]],FIND(",",Table2[[#This Row],[CI_95perc_FWER]])+1, LEN(Table2[[#This Row],[CI_95perc_FWER]])-FIND(",",Table2[[#This Row],[CI_95perc_FWER]])-1))</f>
        <v>2.7820000000000001E-2</v>
      </c>
      <c r="N88" s="1">
        <v>214300</v>
      </c>
      <c r="O88" t="s">
        <v>387</v>
      </c>
      <c r="P88">
        <v>2.0060361480050601</v>
      </c>
      <c r="Q88" t="s">
        <v>54</v>
      </c>
      <c r="R88" t="s">
        <v>55</v>
      </c>
      <c r="S88">
        <v>10000</v>
      </c>
      <c r="T88" t="str">
        <f>IF(OR(Table2[[#This Row],[SampleSize]]=5000,Table2[[#This Row],[SampleSize]]=10000),"&gt;=5k",Table2[[#This Row],[SampleSize]])</f>
        <v>&gt;=5k</v>
      </c>
      <c r="U88">
        <v>2.5000000000000001E-2</v>
      </c>
      <c r="V88" t="s">
        <v>56</v>
      </c>
      <c r="W88" t="s">
        <v>56</v>
      </c>
      <c r="X88" t="s">
        <v>57</v>
      </c>
      <c r="Y88" t="s">
        <v>58</v>
      </c>
      <c r="Z88">
        <v>3</v>
      </c>
      <c r="AA88">
        <v>1</v>
      </c>
      <c r="AB88" t="s">
        <v>59</v>
      </c>
      <c r="AC88" t="s">
        <v>56</v>
      </c>
      <c r="AD88" t="s">
        <v>56</v>
      </c>
      <c r="AE88" t="s">
        <v>60</v>
      </c>
      <c r="AF88" t="s">
        <v>61</v>
      </c>
      <c r="AG88" t="s">
        <v>62</v>
      </c>
      <c r="AH88" t="s">
        <v>63</v>
      </c>
      <c r="AI88" t="s">
        <v>64</v>
      </c>
      <c r="AJ88" t="s">
        <v>65</v>
      </c>
      <c r="AK88" t="s">
        <v>66</v>
      </c>
      <c r="AL88" t="s">
        <v>67</v>
      </c>
      <c r="AM88" t="b">
        <v>0</v>
      </c>
      <c r="AN88" t="b">
        <v>1</v>
      </c>
      <c r="AO88">
        <v>1</v>
      </c>
      <c r="AP88">
        <v>1</v>
      </c>
      <c r="AQ88" t="s">
        <v>77</v>
      </c>
      <c r="AR88" t="s">
        <v>73</v>
      </c>
      <c r="AS88">
        <v>2</v>
      </c>
      <c r="AT88" t="b">
        <v>1</v>
      </c>
      <c r="AU88" t="s">
        <v>36</v>
      </c>
      <c r="AV88">
        <v>20000</v>
      </c>
      <c r="AW88">
        <v>2000</v>
      </c>
      <c r="AX88">
        <v>2300</v>
      </c>
      <c r="AY88" t="b">
        <v>1</v>
      </c>
      <c r="AZ88" t="b">
        <v>0</v>
      </c>
      <c r="BA88" t="b">
        <v>1</v>
      </c>
      <c r="BB88" t="b">
        <v>0</v>
      </c>
      <c r="BC88">
        <v>4</v>
      </c>
      <c r="BD88" t="s">
        <v>378</v>
      </c>
      <c r="BE88">
        <v>12</v>
      </c>
    </row>
    <row r="89" spans="1:57" x14ac:dyDescent="0.25">
      <c r="A89">
        <v>93</v>
      </c>
      <c r="B89" t="s">
        <v>394</v>
      </c>
      <c r="C89">
        <v>2402</v>
      </c>
      <c r="D89">
        <v>2.62931E-2</v>
      </c>
      <c r="E89">
        <v>0</v>
      </c>
      <c r="F89">
        <v>0</v>
      </c>
      <c r="G89">
        <v>2.62931E-2</v>
      </c>
      <c r="H89" t="s">
        <v>395</v>
      </c>
      <c r="I89" t="s">
        <v>52</v>
      </c>
      <c r="J89" t="s">
        <v>52</v>
      </c>
      <c r="K89" t="s">
        <v>395</v>
      </c>
      <c r="L89">
        <f>_xlfn.NUMBERVALUE(MID(Table2[[#This Row],[CI_95perc_FWER]],2,FIND(",",Table2[[#This Row],[CI_95perc_FWER]])-2))</f>
        <v>2.47E-2</v>
      </c>
      <c r="M89">
        <f>_xlfn.NUMBERVALUE(MID(Table2[[#This Row],[CI_95perc_FWER]],FIND(",",Table2[[#This Row],[CI_95perc_FWER]])+1, LEN(Table2[[#This Row],[CI_95perc_FWER]])-FIND(",",Table2[[#This Row],[CI_95perc_FWER]])-1))</f>
        <v>2.7890000000000002E-2</v>
      </c>
      <c r="N89" s="1">
        <v>217300</v>
      </c>
      <c r="O89" t="s">
        <v>377</v>
      </c>
      <c r="P89">
        <v>1.2293249885903501</v>
      </c>
      <c r="Q89" t="s">
        <v>54</v>
      </c>
      <c r="R89" t="s">
        <v>55</v>
      </c>
      <c r="S89">
        <v>10000</v>
      </c>
      <c r="T89" t="str">
        <f>IF(OR(Table2[[#This Row],[SampleSize]]=5000,Table2[[#This Row],[SampleSize]]=10000),"&gt;=5k",Table2[[#This Row],[SampleSize]])</f>
        <v>&gt;=5k</v>
      </c>
      <c r="U89">
        <v>2.5000000000000001E-2</v>
      </c>
      <c r="V89" t="s">
        <v>56</v>
      </c>
      <c r="W89" t="s">
        <v>56</v>
      </c>
      <c r="X89" t="s">
        <v>57</v>
      </c>
      <c r="Y89" t="s">
        <v>58</v>
      </c>
      <c r="Z89">
        <v>3</v>
      </c>
      <c r="AA89">
        <v>1</v>
      </c>
      <c r="AB89" t="s">
        <v>59</v>
      </c>
      <c r="AC89" t="s">
        <v>56</v>
      </c>
      <c r="AD89" t="s">
        <v>56</v>
      </c>
      <c r="AE89" t="s">
        <v>60</v>
      </c>
      <c r="AF89" t="s">
        <v>61</v>
      </c>
      <c r="AG89" t="s">
        <v>62</v>
      </c>
      <c r="AH89" t="s">
        <v>63</v>
      </c>
      <c r="AI89" t="s">
        <v>64</v>
      </c>
      <c r="AJ89" t="s">
        <v>65</v>
      </c>
      <c r="AK89" t="s">
        <v>66</v>
      </c>
      <c r="AL89" t="s">
        <v>67</v>
      </c>
      <c r="AM89" t="b">
        <v>0</v>
      </c>
      <c r="AN89" t="b">
        <v>1</v>
      </c>
      <c r="AO89">
        <v>1</v>
      </c>
      <c r="AP89">
        <v>1</v>
      </c>
      <c r="AQ89" t="s">
        <v>77</v>
      </c>
      <c r="AR89" t="s">
        <v>78</v>
      </c>
      <c r="AS89">
        <v>0.5</v>
      </c>
      <c r="AT89" t="b">
        <v>0</v>
      </c>
      <c r="AU89" t="s">
        <v>68</v>
      </c>
      <c r="AV89">
        <v>20000</v>
      </c>
      <c r="AW89">
        <v>2000</v>
      </c>
      <c r="AX89">
        <v>2402</v>
      </c>
      <c r="AY89" t="b">
        <v>1</v>
      </c>
      <c r="AZ89" t="b">
        <v>0</v>
      </c>
      <c r="BA89" t="b">
        <v>1</v>
      </c>
      <c r="BB89" t="b">
        <v>1</v>
      </c>
      <c r="BC89">
        <v>0</v>
      </c>
      <c r="BD89" t="s">
        <v>378</v>
      </c>
      <c r="BE89">
        <v>6</v>
      </c>
    </row>
    <row r="90" spans="1:57" x14ac:dyDescent="0.25">
      <c r="A90">
        <v>96</v>
      </c>
      <c r="B90" t="s">
        <v>402</v>
      </c>
      <c r="C90">
        <v>2300</v>
      </c>
      <c r="D90">
        <v>2.615085E-2</v>
      </c>
      <c r="E90">
        <v>0</v>
      </c>
      <c r="F90">
        <v>0</v>
      </c>
      <c r="G90">
        <v>2.615085E-2</v>
      </c>
      <c r="H90" t="s">
        <v>403</v>
      </c>
      <c r="I90" t="s">
        <v>52</v>
      </c>
      <c r="J90" t="s">
        <v>52</v>
      </c>
      <c r="K90" t="s">
        <v>403</v>
      </c>
      <c r="L90">
        <f>_xlfn.NUMBERVALUE(MID(Table2[[#This Row],[CI_95perc_FWER]],2,FIND(",",Table2[[#This Row],[CI_95perc_FWER]])-2))</f>
        <v>2.4570000000000002E-2</v>
      </c>
      <c r="M90">
        <f>_xlfn.NUMBERVALUE(MID(Table2[[#This Row],[CI_95perc_FWER]],FIND(",",Table2[[#This Row],[CI_95perc_FWER]])+1, LEN(Table2[[#This Row],[CI_95perc_FWER]])-FIND(",",Table2[[#This Row],[CI_95perc_FWER]])-1))</f>
        <v>2.7740000000000001E-2</v>
      </c>
      <c r="N90" s="1">
        <v>214300</v>
      </c>
      <c r="O90" t="s">
        <v>387</v>
      </c>
      <c r="P90">
        <v>2.02533252914747</v>
      </c>
      <c r="Q90" t="s">
        <v>54</v>
      </c>
      <c r="R90" t="s">
        <v>55</v>
      </c>
      <c r="S90">
        <v>10000</v>
      </c>
      <c r="T90" t="str">
        <f>IF(OR(Table2[[#This Row],[SampleSize]]=5000,Table2[[#This Row],[SampleSize]]=10000),"&gt;=5k",Table2[[#This Row],[SampleSize]])</f>
        <v>&gt;=5k</v>
      </c>
      <c r="U90">
        <v>2.5000000000000001E-2</v>
      </c>
      <c r="V90" t="s">
        <v>56</v>
      </c>
      <c r="W90" t="s">
        <v>56</v>
      </c>
      <c r="X90" t="s">
        <v>57</v>
      </c>
      <c r="Y90" t="s">
        <v>58</v>
      </c>
      <c r="Z90">
        <v>3</v>
      </c>
      <c r="AA90">
        <v>1</v>
      </c>
      <c r="AB90" t="s">
        <v>59</v>
      </c>
      <c r="AC90" t="s">
        <v>56</v>
      </c>
      <c r="AD90" t="s">
        <v>56</v>
      </c>
      <c r="AE90" t="s">
        <v>60</v>
      </c>
      <c r="AF90" t="s">
        <v>61</v>
      </c>
      <c r="AG90" t="s">
        <v>62</v>
      </c>
      <c r="AH90" t="s">
        <v>63</v>
      </c>
      <c r="AI90" t="s">
        <v>64</v>
      </c>
      <c r="AJ90" t="s">
        <v>65</v>
      </c>
      <c r="AK90" t="s">
        <v>66</v>
      </c>
      <c r="AL90" t="s">
        <v>67</v>
      </c>
      <c r="AM90" t="b">
        <v>0</v>
      </c>
      <c r="AN90" t="b">
        <v>1</v>
      </c>
      <c r="AO90">
        <v>1</v>
      </c>
      <c r="AP90">
        <v>1</v>
      </c>
      <c r="AQ90" t="s">
        <v>77</v>
      </c>
      <c r="AR90" t="s">
        <v>73</v>
      </c>
      <c r="AS90">
        <v>2</v>
      </c>
      <c r="AT90" t="b">
        <v>1</v>
      </c>
      <c r="AU90" t="s">
        <v>36</v>
      </c>
      <c r="AV90">
        <v>20000</v>
      </c>
      <c r="AW90">
        <v>2000</v>
      </c>
      <c r="AX90">
        <v>2300</v>
      </c>
      <c r="AY90" t="b">
        <v>1</v>
      </c>
      <c r="AZ90" t="b">
        <v>0</v>
      </c>
      <c r="BA90" t="b">
        <v>1</v>
      </c>
      <c r="BB90" t="b">
        <v>1</v>
      </c>
      <c r="BC90">
        <v>0</v>
      </c>
      <c r="BD90" t="s">
        <v>378</v>
      </c>
      <c r="BE90">
        <v>12</v>
      </c>
    </row>
  </sheetData>
  <sortState xmlns:xlrd2="http://schemas.microsoft.com/office/spreadsheetml/2017/richdata2" ref="BQ55:BX59">
    <sortCondition ref="BR55:BR59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Inp_CER_Bin_1ep3arms</vt:lpstr>
      <vt:lpstr>Out_CER_Bin_1ep3arms_06Nov25-07</vt:lpstr>
      <vt:lpstr>Analysis</vt:lpstr>
      <vt:lpstr>Inp_CER_Cont_1ep3arms</vt:lpstr>
      <vt:lpstr>Out_CER_Bin_12Nov25-N=1k</vt:lpstr>
      <vt:lpstr>OutCERBin1ep3armsLargeN_28Nov25</vt:lpstr>
      <vt:lpstr>Comp.With.N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 Deshmukh</cp:lastModifiedBy>
  <dcterms:created xsi:type="dcterms:W3CDTF">2025-11-10T07:07:47Z</dcterms:created>
  <dcterms:modified xsi:type="dcterms:W3CDTF">2025-12-11T15:40:37Z</dcterms:modified>
</cp:coreProperties>
</file>