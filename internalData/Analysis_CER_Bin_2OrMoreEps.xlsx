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cytelinc-my.sharepoint.com/personal/aniruddha_deshmukh_cytel_com/Documents/Projects/CIT/MAMS/AdaptiveGMCP/internalData/"/>
    </mc:Choice>
  </mc:AlternateContent>
  <xr:revisionPtr revIDLastSave="774" documentId="13_ncr:1_{F751B4BB-9A41-404C-B5BE-D1148BD9A5BE}" xr6:coauthVersionLast="47" xr6:coauthVersionMax="47" xr10:uidLastSave="{305D5EAA-E7D9-4ACD-AEA3-F51C86F85B6A}"/>
  <bookViews>
    <workbookView xWindow="-120" yWindow="-120" windowWidth="29040" windowHeight="15720" activeTab="2" xr2:uid="{9F07E93A-62C4-4E15-A26F-6421489E3199}"/>
  </bookViews>
  <sheets>
    <sheet name="Inp_CER_Bin_2eps3arms" sheetId="1" r:id="rId1"/>
    <sheet name="OutCERBin2eps3arms" sheetId="2" r:id="rId2"/>
    <sheet name="Analysis" sheetId="3" r:id="rId3"/>
    <sheet name="Power" sheetId="4" r:id="rId4"/>
    <sheet name="FWER" sheetId="5" r:id="rId5"/>
    <sheet name="Out_TestsVsMartin_ag" sheetId="6" r:id="rId6"/>
  </sheets>
  <definedNames>
    <definedName name="_xlnm._FilterDatabase" localSheetId="2" hidden="1">Analysis!$O$36:$P$39</definedName>
    <definedName name="_xlnm._FilterDatabase" localSheetId="0" hidden="1">Inp_CER_Bin_2eps3arms!$A$1:$AO$176</definedName>
    <definedName name="_xlnm._FilterDatabase" localSheetId="1" hidden="1">OutCERBin2eps3arms!$A$2:$BB$69</definedName>
  </definedNames>
  <calcPr calcId="191029"/>
  <pivotCaches>
    <pivotCache cacheId="1"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C14" i="3" l="1"/>
  <c r="CC13" i="3"/>
  <c r="CC12" i="3"/>
  <c r="CC11" i="3"/>
  <c r="CC10" i="3"/>
  <c r="CC9" i="3"/>
  <c r="CC8" i="3"/>
  <c r="CC7" i="3"/>
  <c r="CC6" i="3"/>
  <c r="CC5" i="3"/>
  <c r="CC4" i="3"/>
  <c r="CC3" i="3"/>
  <c r="CD3" i="6"/>
  <c r="CD4" i="6"/>
  <c r="CD5" i="6"/>
  <c r="CD6" i="6"/>
  <c r="CD7" i="6"/>
  <c r="CD8" i="6"/>
  <c r="CD9" i="6"/>
  <c r="CD10" i="6"/>
  <c r="CD11" i="6"/>
  <c r="CD12" i="6"/>
  <c r="CD13" i="6"/>
  <c r="CD14" i="6"/>
  <c r="CD15" i="6"/>
  <c r="CD16" i="6"/>
  <c r="CD17" i="6"/>
  <c r="CD18" i="6"/>
  <c r="CD19" i="6"/>
  <c r="CD20" i="6"/>
  <c r="CD21" i="6"/>
  <c r="CD22" i="6"/>
  <c r="CD23" i="6"/>
  <c r="CD24" i="6"/>
  <c r="CD25" i="6"/>
  <c r="CD26" i="6"/>
  <c r="CD27" i="6"/>
  <c r="CD28" i="6"/>
  <c r="CD29" i="6"/>
  <c r="CD30" i="6"/>
  <c r="CB3" i="6"/>
  <c r="CB4" i="6"/>
  <c r="CB5" i="6"/>
  <c r="CB6" i="6"/>
  <c r="CB7" i="6"/>
  <c r="CB8" i="6"/>
  <c r="CB9" i="6"/>
  <c r="CB10" i="6"/>
  <c r="CB11" i="6"/>
  <c r="CB12" i="6"/>
  <c r="CB13" i="6"/>
  <c r="CB14" i="6"/>
  <c r="CB15" i="6"/>
  <c r="CB16" i="6"/>
  <c r="CB17" i="6"/>
  <c r="CB18" i="6"/>
  <c r="CB19" i="6"/>
  <c r="CB20" i="6"/>
  <c r="CB21" i="6"/>
  <c r="CB22" i="6"/>
  <c r="CB23" i="6"/>
  <c r="CB24" i="6"/>
  <c r="CB25" i="6"/>
  <c r="CB26" i="6"/>
  <c r="CB27" i="6"/>
  <c r="CB28" i="6"/>
  <c r="CB29" i="6"/>
  <c r="CB30" i="6"/>
  <c r="BZ3" i="6"/>
  <c r="BZ4" i="6"/>
  <c r="BZ5" i="6"/>
  <c r="BZ6" i="6"/>
  <c r="BZ7" i="6"/>
  <c r="BZ8" i="6"/>
  <c r="BZ9" i="6"/>
  <c r="BZ10" i="6"/>
  <c r="BZ11" i="6"/>
  <c r="BZ12" i="6"/>
  <c r="BZ13" i="6"/>
  <c r="BZ14" i="6"/>
  <c r="BZ15" i="6"/>
  <c r="BZ16" i="6"/>
  <c r="BZ17" i="6"/>
  <c r="BZ18" i="6"/>
  <c r="BZ19" i="6"/>
  <c r="BZ20" i="6"/>
  <c r="BZ21" i="6"/>
  <c r="BZ22" i="6"/>
  <c r="BZ23" i="6"/>
  <c r="BZ24" i="6"/>
  <c r="BZ25" i="6"/>
  <c r="BZ26" i="6"/>
  <c r="BZ27" i="6"/>
  <c r="BZ28" i="6"/>
  <c r="BZ29" i="6"/>
  <c r="BZ30" i="6"/>
  <c r="BM30" i="6"/>
  <c r="BL30" i="6"/>
  <c r="BM29" i="6"/>
  <c r="BL29" i="6"/>
  <c r="BM28" i="6"/>
  <c r="BL28" i="6"/>
  <c r="BM27" i="6"/>
  <c r="BL27" i="6"/>
  <c r="BM26" i="6"/>
  <c r="BL26" i="6"/>
  <c r="BM25" i="6"/>
  <c r="BL25" i="6"/>
  <c r="BM24" i="6"/>
  <c r="BL24" i="6"/>
  <c r="BM23" i="6"/>
  <c r="BL23" i="6"/>
  <c r="BM22" i="6"/>
  <c r="BL22" i="6"/>
  <c r="BM21" i="6"/>
  <c r="BL21" i="6"/>
  <c r="BM20" i="6"/>
  <c r="BL20" i="6"/>
  <c r="BM19" i="6"/>
  <c r="BL19" i="6"/>
  <c r="BM18" i="6"/>
  <c r="BL18" i="6"/>
  <c r="BM17" i="6"/>
  <c r="BL17" i="6"/>
  <c r="BM16" i="6"/>
  <c r="BL16" i="6"/>
  <c r="BI30" i="6"/>
  <c r="BH30" i="6"/>
  <c r="BI29" i="6"/>
  <c r="BH29" i="6"/>
  <c r="BI28" i="6"/>
  <c r="BH28" i="6"/>
  <c r="BI27" i="6"/>
  <c r="BH27" i="6"/>
  <c r="BI26" i="6"/>
  <c r="BH26" i="6"/>
  <c r="BI25" i="6"/>
  <c r="BH25" i="6"/>
  <c r="BI24" i="6"/>
  <c r="BH24" i="6"/>
  <c r="BI23" i="6"/>
  <c r="BH23" i="6"/>
  <c r="BI22" i="6"/>
  <c r="BH22" i="6"/>
  <c r="BI21" i="6"/>
  <c r="BH21" i="6"/>
  <c r="BI20" i="6"/>
  <c r="BH20" i="6"/>
  <c r="BI19" i="6"/>
  <c r="BH19" i="6"/>
  <c r="BI18" i="6"/>
  <c r="BH18" i="6"/>
  <c r="BI17" i="6"/>
  <c r="BH17" i="6"/>
  <c r="BI16" i="6"/>
  <c r="BH16" i="6"/>
  <c r="BM15" i="6"/>
  <c r="BL15" i="6"/>
  <c r="BH15" i="6"/>
  <c r="BI15" i="6"/>
  <c r="BE3" i="6"/>
  <c r="BE4" i="6"/>
  <c r="BE5" i="6"/>
  <c r="BE6" i="6"/>
  <c r="BE7" i="6"/>
  <c r="BE8" i="6"/>
  <c r="BE9" i="6"/>
  <c r="BE10" i="6"/>
  <c r="BE11" i="6"/>
  <c r="BE12" i="6"/>
  <c r="BE13" i="6"/>
  <c r="BE14" i="6"/>
  <c r="BD3" i="6"/>
  <c r="BD4" i="6"/>
  <c r="BD5" i="6"/>
  <c r="BD6" i="6"/>
  <c r="BD7" i="6"/>
  <c r="BD8" i="6"/>
  <c r="BD9" i="6"/>
  <c r="BD10" i="6"/>
  <c r="BD11" i="6"/>
  <c r="BD12" i="6"/>
  <c r="BD13" i="6"/>
  <c r="BD14" i="6"/>
  <c r="BA3" i="2"/>
  <c r="BA4" i="2"/>
  <c r="BA5" i="2"/>
  <c r="BA6" i="2"/>
  <c r="BA7" i="2"/>
  <c r="BA8" i="2"/>
  <c r="BA9" i="2"/>
  <c r="BA10" i="2"/>
  <c r="BA11" i="2"/>
  <c r="BA12" i="2"/>
  <c r="BA13" i="2"/>
  <c r="BA14" i="2"/>
  <c r="BA15" i="2"/>
  <c r="BA16" i="2"/>
  <c r="BA17" i="2"/>
  <c r="BA18" i="2"/>
  <c r="BA19" i="2"/>
  <c r="BA20" i="2"/>
  <c r="BA21" i="2"/>
  <c r="BA22" i="2"/>
  <c r="BA23" i="2"/>
  <c r="BA24" i="2"/>
  <c r="BA25" i="2"/>
  <c r="BA26" i="2"/>
  <c r="BA27" i="2"/>
  <c r="BA28" i="2"/>
  <c r="BA29" i="2"/>
  <c r="BA30" i="2"/>
  <c r="BA31" i="2"/>
  <c r="BA32" i="2"/>
  <c r="BA33" i="2"/>
  <c r="BA34" i="2"/>
  <c r="BA35" i="2"/>
  <c r="BA36" i="2"/>
  <c r="BA37" i="2"/>
  <c r="BA38" i="2"/>
  <c r="BA39" i="2"/>
  <c r="BA40" i="2"/>
  <c r="BA41" i="2"/>
  <c r="BA42" i="2"/>
  <c r="BA43" i="2"/>
  <c r="BA44" i="2"/>
  <c r="BA45" i="2"/>
  <c r="BA46" i="2"/>
  <c r="BA47" i="2"/>
  <c r="BA48" i="2"/>
  <c r="BA49" i="2"/>
  <c r="BA50" i="2"/>
  <c r="BA51" i="2"/>
  <c r="BA52" i="2"/>
  <c r="BA53" i="2"/>
  <c r="BA54" i="2"/>
  <c r="BA55" i="2"/>
  <c r="BA56" i="2"/>
  <c r="BA57" i="2"/>
  <c r="BA58" i="2"/>
  <c r="BA59" i="2"/>
  <c r="BA60" i="2"/>
  <c r="BA61" i="2"/>
  <c r="BA62" i="2"/>
  <c r="BA63" i="2"/>
  <c r="BA64" i="2"/>
  <c r="BA65" i="2"/>
  <c r="BA66" i="2"/>
  <c r="BA67" i="2"/>
  <c r="BA68" i="2"/>
  <c r="BA69" i="2"/>
  <c r="BA70" i="2"/>
  <c r="BA71" i="2"/>
  <c r="BA72" i="2"/>
  <c r="BA73" i="2"/>
  <c r="BA74" i="2"/>
  <c r="BA75" i="2"/>
  <c r="BA76" i="2"/>
  <c r="BA77" i="2"/>
  <c r="BA78" i="2"/>
  <c r="BA79" i="2"/>
  <c r="BA80" i="2"/>
  <c r="BA81" i="2"/>
  <c r="BA82" i="2"/>
  <c r="BA83" i="2"/>
  <c r="BA84" i="2"/>
  <c r="BA85" i="2"/>
  <c r="BA86" i="2"/>
  <c r="BA87" i="2"/>
  <c r="BA88" i="2"/>
  <c r="BA89" i="2"/>
  <c r="BA90" i="2"/>
  <c r="BA91" i="2"/>
  <c r="BA92" i="2"/>
  <c r="BA93" i="2"/>
  <c r="BA94" i="2"/>
  <c r="BA95" i="2"/>
  <c r="BA96" i="2"/>
  <c r="BA97" i="2"/>
  <c r="BA98" i="2"/>
  <c r="BA99" i="2"/>
  <c r="BA100" i="2"/>
  <c r="BA101" i="2"/>
  <c r="BA102" i="2"/>
  <c r="BA103" i="2"/>
  <c r="BA104" i="2"/>
  <c r="BA105" i="2"/>
  <c r="BA106" i="2"/>
  <c r="BA107" i="2"/>
  <c r="BA108" i="2"/>
  <c r="BA109" i="2"/>
  <c r="BA110" i="2"/>
  <c r="BA111" i="2"/>
  <c r="BA112" i="2"/>
  <c r="BA113" i="2"/>
  <c r="BA114" i="2"/>
  <c r="BA115" i="2"/>
  <c r="BA116" i="2"/>
  <c r="BA117" i="2"/>
  <c r="BA118" i="2"/>
  <c r="BA119" i="2"/>
  <c r="BA120" i="2"/>
  <c r="BA121" i="2"/>
  <c r="BA122" i="2"/>
  <c r="BA123" i="2"/>
  <c r="BA124" i="2"/>
  <c r="BA125" i="2"/>
  <c r="BA126" i="2"/>
  <c r="BA127" i="2"/>
  <c r="BA128" i="2"/>
  <c r="BA129" i="2"/>
  <c r="BA130" i="2"/>
  <c r="BA131" i="2"/>
  <c r="BA132" i="2"/>
  <c r="BA133" i="2"/>
  <c r="BA134" i="2"/>
  <c r="BA135" i="2"/>
  <c r="BA136" i="2"/>
  <c r="BA137" i="2"/>
  <c r="BA138" i="2"/>
  <c r="BA139" i="2"/>
  <c r="BA140" i="2"/>
  <c r="BA141" i="2"/>
  <c r="BA142" i="2"/>
  <c r="BA143" i="2"/>
  <c r="BA144" i="2"/>
  <c r="BA145" i="2"/>
  <c r="BA146" i="2"/>
  <c r="BA147" i="2"/>
  <c r="BA148" i="2"/>
  <c r="BA149" i="2"/>
  <c r="BA150" i="2"/>
  <c r="BA151" i="2"/>
  <c r="BA152" i="2"/>
  <c r="BA153" i="2"/>
  <c r="BA154" i="2"/>
  <c r="BA155" i="2"/>
  <c r="BA156" i="2"/>
  <c r="BA157" i="2"/>
  <c r="BA158" i="2"/>
  <c r="BA159" i="2"/>
  <c r="BA160" i="2"/>
  <c r="BA161" i="2"/>
  <c r="BA162" i="2"/>
  <c r="BA163" i="2"/>
  <c r="BA164" i="2"/>
  <c r="BA165" i="2"/>
  <c r="BA166" i="2"/>
  <c r="BA167" i="2"/>
  <c r="BA168" i="2"/>
  <c r="BA169" i="2"/>
  <c r="BA170" i="2"/>
  <c r="BA171" i="2"/>
  <c r="BA172" i="2"/>
  <c r="BA173" i="2"/>
  <c r="BA174" i="2"/>
  <c r="BA175" i="2"/>
  <c r="BA176" i="2"/>
  <c r="BA177" i="2"/>
  <c r="BE166" i="2"/>
  <c r="BE167" i="2"/>
  <c r="BE168" i="2"/>
  <c r="BE169" i="2"/>
  <c r="BE170" i="2"/>
  <c r="BE171" i="2"/>
  <c r="BE172" i="2"/>
  <c r="BE173" i="2"/>
  <c r="BE174" i="2"/>
  <c r="BE175" i="2"/>
  <c r="BE176" i="2"/>
  <c r="BE177" i="2"/>
  <c r="BF166" i="2"/>
  <c r="BF167" i="2"/>
  <c r="BF168" i="2"/>
  <c r="BF169" i="2"/>
  <c r="BF170" i="2"/>
  <c r="BF171" i="2"/>
  <c r="BF172" i="2"/>
  <c r="BF173" i="2"/>
  <c r="BF174" i="2"/>
  <c r="BF175" i="2"/>
  <c r="BF176" i="2"/>
  <c r="BF177" i="2"/>
  <c r="BG166" i="2"/>
  <c r="BG167" i="2"/>
  <c r="BG168" i="2"/>
  <c r="BG169" i="2"/>
  <c r="BG170" i="2"/>
  <c r="BG171" i="2"/>
  <c r="BG172" i="2"/>
  <c r="BG173" i="2"/>
  <c r="BG174" i="2"/>
  <c r="BG175" i="2"/>
  <c r="BG176" i="2"/>
  <c r="BG177" i="2"/>
  <c r="BH166" i="2"/>
  <c r="BH167" i="2"/>
  <c r="BH168" i="2"/>
  <c r="BH169" i="2"/>
  <c r="BH170" i="2"/>
  <c r="BH171" i="2"/>
  <c r="BH172" i="2"/>
  <c r="BH173" i="2"/>
  <c r="BH174" i="2"/>
  <c r="BH175" i="2"/>
  <c r="BH176" i="2"/>
  <c r="BH177" i="2"/>
  <c r="BI166" i="2"/>
  <c r="BI167" i="2"/>
  <c r="BI168" i="2"/>
  <c r="BI169" i="2"/>
  <c r="BI170" i="2"/>
  <c r="BI171" i="2"/>
  <c r="BI172" i="2"/>
  <c r="BI173" i="2"/>
  <c r="BI174" i="2"/>
  <c r="BI175" i="2"/>
  <c r="BI176" i="2"/>
  <c r="BI177" i="2"/>
  <c r="BJ166" i="2"/>
  <c r="BJ167" i="2"/>
  <c r="BJ168" i="2"/>
  <c r="BJ169" i="2"/>
  <c r="BJ170" i="2"/>
  <c r="BJ171" i="2"/>
  <c r="BJ172" i="2"/>
  <c r="BJ173" i="2"/>
  <c r="BJ174" i="2"/>
  <c r="BJ175" i="2"/>
  <c r="BJ176" i="2"/>
  <c r="BJ177" i="2"/>
  <c r="BK166" i="2"/>
  <c r="BK167" i="2"/>
  <c r="BK168" i="2"/>
  <c r="BK169" i="2"/>
  <c r="BK170" i="2"/>
  <c r="BK171" i="2"/>
  <c r="BK172" i="2"/>
  <c r="BK173" i="2"/>
  <c r="BK174" i="2"/>
  <c r="BK175" i="2"/>
  <c r="BK176" i="2"/>
  <c r="BK177" i="2"/>
  <c r="BL166" i="2"/>
  <c r="BL167" i="2"/>
  <c r="BL168" i="2"/>
  <c r="BL169" i="2"/>
  <c r="BL170" i="2"/>
  <c r="BL171" i="2"/>
  <c r="BL172" i="2"/>
  <c r="BL173" i="2"/>
  <c r="BL174" i="2"/>
  <c r="BL175" i="2"/>
  <c r="BL176" i="2"/>
  <c r="BL177" i="2"/>
  <c r="BM166" i="2"/>
  <c r="BM167" i="2"/>
  <c r="BM168" i="2"/>
  <c r="BM169" i="2"/>
  <c r="BM170" i="2"/>
  <c r="BM171" i="2"/>
  <c r="BM172" i="2"/>
  <c r="BM173" i="2"/>
  <c r="BM174" i="2"/>
  <c r="BM175" i="2"/>
  <c r="BM176" i="2"/>
  <c r="BM177" i="2"/>
  <c r="BN166" i="2"/>
  <c r="BN167" i="2"/>
  <c r="BN168" i="2"/>
  <c r="BN169" i="2"/>
  <c r="BN170" i="2"/>
  <c r="BN171" i="2"/>
  <c r="BN172" i="2"/>
  <c r="BN173" i="2"/>
  <c r="BN174" i="2"/>
  <c r="BN175" i="2"/>
  <c r="BN176" i="2"/>
  <c r="BN177" i="2"/>
  <c r="BO166" i="2"/>
  <c r="BO167" i="2"/>
  <c r="BO168" i="2"/>
  <c r="BO169" i="2"/>
  <c r="BO170" i="2"/>
  <c r="BO171" i="2"/>
  <c r="BO172" i="2"/>
  <c r="BO173" i="2"/>
  <c r="BO174" i="2"/>
  <c r="BO175" i="2"/>
  <c r="BO176" i="2"/>
  <c r="BO177" i="2"/>
  <c r="BP166" i="2"/>
  <c r="BP167" i="2"/>
  <c r="BP168" i="2"/>
  <c r="BP169" i="2"/>
  <c r="BP170" i="2"/>
  <c r="BP171" i="2"/>
  <c r="BP172" i="2"/>
  <c r="BP173" i="2"/>
  <c r="BP174" i="2"/>
  <c r="BP175" i="2"/>
  <c r="BP176" i="2"/>
  <c r="BP177" i="2"/>
  <c r="BQ166" i="2"/>
  <c r="BQ167" i="2"/>
  <c r="BQ168" i="2"/>
  <c r="BQ169" i="2"/>
  <c r="BQ170" i="2"/>
  <c r="BQ171" i="2"/>
  <c r="BQ172" i="2"/>
  <c r="BQ173" i="2"/>
  <c r="BQ174" i="2"/>
  <c r="BQ175" i="2"/>
  <c r="BQ176" i="2"/>
  <c r="BQ177" i="2"/>
  <c r="BR166" i="2"/>
  <c r="BR167" i="2"/>
  <c r="BE150" i="2"/>
  <c r="BE151" i="2"/>
  <c r="BE152" i="2"/>
  <c r="BE153" i="2"/>
  <c r="BE154" i="2"/>
  <c r="BE155" i="2"/>
  <c r="BE156" i="2"/>
  <c r="BE157" i="2"/>
  <c r="BE158" i="2"/>
  <c r="BE159" i="2"/>
  <c r="BE160" i="2"/>
  <c r="BE161" i="2"/>
  <c r="BE162" i="2"/>
  <c r="BE163" i="2"/>
  <c r="BE164" i="2"/>
  <c r="BE165" i="2"/>
  <c r="BF150" i="2"/>
  <c r="BF151" i="2"/>
  <c r="BF152" i="2"/>
  <c r="BF153" i="2"/>
  <c r="BF154" i="2"/>
  <c r="BF155" i="2"/>
  <c r="BF156" i="2"/>
  <c r="BF157" i="2"/>
  <c r="BF158" i="2"/>
  <c r="BF159" i="2"/>
  <c r="BF160" i="2"/>
  <c r="BF161" i="2"/>
  <c r="BF162" i="2"/>
  <c r="BF163" i="2"/>
  <c r="BF164" i="2"/>
  <c r="BF165" i="2"/>
  <c r="BG150" i="2"/>
  <c r="BG151" i="2"/>
  <c r="BG152" i="2"/>
  <c r="BG153" i="2"/>
  <c r="BG154" i="2"/>
  <c r="BG155" i="2"/>
  <c r="BG156" i="2"/>
  <c r="BG157" i="2"/>
  <c r="BG158" i="2"/>
  <c r="BG159" i="2"/>
  <c r="BG160" i="2"/>
  <c r="BG161" i="2"/>
  <c r="BG162" i="2"/>
  <c r="BG163" i="2"/>
  <c r="BG164" i="2"/>
  <c r="BG165" i="2"/>
  <c r="BH150" i="2"/>
  <c r="BH151" i="2"/>
  <c r="BH152" i="2"/>
  <c r="BH153" i="2"/>
  <c r="BH154" i="2"/>
  <c r="BH155" i="2"/>
  <c r="BH156" i="2"/>
  <c r="BH157" i="2"/>
  <c r="BH158" i="2"/>
  <c r="BH159" i="2"/>
  <c r="BH160" i="2"/>
  <c r="BH161" i="2"/>
  <c r="BH162" i="2"/>
  <c r="BH163" i="2"/>
  <c r="BH164" i="2"/>
  <c r="BH165" i="2"/>
  <c r="BI150" i="2"/>
  <c r="BI151" i="2"/>
  <c r="BI152" i="2"/>
  <c r="BI153" i="2"/>
  <c r="BI154" i="2"/>
  <c r="BI155" i="2"/>
  <c r="BI156" i="2"/>
  <c r="BI157" i="2"/>
  <c r="BI158" i="2"/>
  <c r="BI159" i="2"/>
  <c r="BI160" i="2"/>
  <c r="BI161" i="2"/>
  <c r="BI162" i="2"/>
  <c r="BI163" i="2"/>
  <c r="BI164" i="2"/>
  <c r="BI165" i="2"/>
  <c r="BJ150" i="2"/>
  <c r="BJ151" i="2"/>
  <c r="BJ152" i="2"/>
  <c r="BJ153" i="2"/>
  <c r="BJ154" i="2"/>
  <c r="BJ155" i="2"/>
  <c r="BJ156" i="2"/>
  <c r="BJ157" i="2"/>
  <c r="BJ158" i="2"/>
  <c r="BJ159" i="2"/>
  <c r="BJ160" i="2"/>
  <c r="BJ161" i="2"/>
  <c r="BJ162" i="2"/>
  <c r="BJ163" i="2"/>
  <c r="BJ164" i="2"/>
  <c r="BJ165" i="2"/>
  <c r="BK150" i="2"/>
  <c r="BK151" i="2"/>
  <c r="BK152" i="2"/>
  <c r="BK153" i="2"/>
  <c r="BK154" i="2"/>
  <c r="BK155" i="2"/>
  <c r="BK156" i="2"/>
  <c r="BK157" i="2"/>
  <c r="BK158" i="2"/>
  <c r="BK159" i="2"/>
  <c r="BK160" i="2"/>
  <c r="BK161" i="2"/>
  <c r="BK162" i="2"/>
  <c r="BK163" i="2"/>
  <c r="BK164" i="2"/>
  <c r="BK165" i="2"/>
  <c r="BL150" i="2"/>
  <c r="BL151" i="2"/>
  <c r="BL152" i="2"/>
  <c r="BL153" i="2"/>
  <c r="BL154" i="2"/>
  <c r="BL155" i="2"/>
  <c r="BL156" i="2"/>
  <c r="BL157" i="2"/>
  <c r="BL158" i="2"/>
  <c r="BL159" i="2"/>
  <c r="BL160" i="2"/>
  <c r="BL161" i="2"/>
  <c r="BL162" i="2"/>
  <c r="BL163" i="2"/>
  <c r="BL164" i="2"/>
  <c r="BL165" i="2"/>
  <c r="BM150" i="2"/>
  <c r="BM151" i="2"/>
  <c r="BM152" i="2"/>
  <c r="BM153" i="2"/>
  <c r="BM154" i="2"/>
  <c r="BM155" i="2"/>
  <c r="BM156" i="2"/>
  <c r="BM157" i="2"/>
  <c r="BM158" i="2"/>
  <c r="BM159" i="2"/>
  <c r="BM160" i="2"/>
  <c r="BM161" i="2"/>
  <c r="BM162" i="2"/>
  <c r="BM163" i="2"/>
  <c r="BM164" i="2"/>
  <c r="BM165" i="2"/>
  <c r="BN150" i="2"/>
  <c r="BN151" i="2"/>
  <c r="BN152" i="2"/>
  <c r="BN153" i="2"/>
  <c r="BN154" i="2"/>
  <c r="BN155" i="2"/>
  <c r="BN156" i="2"/>
  <c r="BN157" i="2"/>
  <c r="BN158" i="2"/>
  <c r="BN159" i="2"/>
  <c r="BN160" i="2"/>
  <c r="BN161" i="2"/>
  <c r="BN162" i="2"/>
  <c r="BN163" i="2"/>
  <c r="BN164" i="2"/>
  <c r="BN165" i="2"/>
  <c r="BO150" i="2"/>
  <c r="BO151" i="2"/>
  <c r="BO152" i="2"/>
  <c r="BO153" i="2"/>
  <c r="BO154" i="2"/>
  <c r="BO155" i="2"/>
  <c r="BO156" i="2"/>
  <c r="BO157" i="2"/>
  <c r="BS157" i="2" s="1"/>
  <c r="BO158" i="2"/>
  <c r="BS158" i="2" s="1"/>
  <c r="BO159" i="2"/>
  <c r="BO160" i="2"/>
  <c r="BO161" i="2"/>
  <c r="BO162" i="2"/>
  <c r="BO163" i="2"/>
  <c r="BO164" i="2"/>
  <c r="BO165" i="2"/>
  <c r="BP150" i="2"/>
  <c r="BP151" i="2"/>
  <c r="BP152" i="2"/>
  <c r="BP153" i="2"/>
  <c r="BP154" i="2"/>
  <c r="BP155" i="2"/>
  <c r="BP156" i="2"/>
  <c r="BP157" i="2"/>
  <c r="BP158" i="2"/>
  <c r="BP159" i="2"/>
  <c r="BP160" i="2"/>
  <c r="BP161" i="2"/>
  <c r="BP162" i="2"/>
  <c r="BP163" i="2"/>
  <c r="BP164" i="2"/>
  <c r="BP165" i="2"/>
  <c r="BE142" i="2"/>
  <c r="BE143" i="2"/>
  <c r="BE144" i="2"/>
  <c r="BE145" i="2"/>
  <c r="BE146" i="2"/>
  <c r="BE147" i="2"/>
  <c r="BE148" i="2"/>
  <c r="BE149" i="2"/>
  <c r="BF142" i="2"/>
  <c r="BF143" i="2"/>
  <c r="BF144" i="2"/>
  <c r="BF145" i="2"/>
  <c r="BF146" i="2"/>
  <c r="BF147" i="2"/>
  <c r="BF148" i="2"/>
  <c r="BF149" i="2"/>
  <c r="BG142" i="2"/>
  <c r="BG143" i="2"/>
  <c r="BG144" i="2"/>
  <c r="BG145" i="2"/>
  <c r="BG146" i="2"/>
  <c r="BG147" i="2"/>
  <c r="BG148" i="2"/>
  <c r="BG149" i="2"/>
  <c r="BH142" i="2"/>
  <c r="BH143" i="2"/>
  <c r="BH144" i="2"/>
  <c r="BH145" i="2"/>
  <c r="BH146" i="2"/>
  <c r="BH147" i="2"/>
  <c r="BH148" i="2"/>
  <c r="BH149" i="2"/>
  <c r="BI142" i="2"/>
  <c r="BI143" i="2"/>
  <c r="BI144" i="2"/>
  <c r="BI145" i="2"/>
  <c r="BI146" i="2"/>
  <c r="BI147" i="2"/>
  <c r="BI148" i="2"/>
  <c r="BI149" i="2"/>
  <c r="BJ142" i="2"/>
  <c r="BJ143" i="2"/>
  <c r="BJ144" i="2"/>
  <c r="BJ145" i="2"/>
  <c r="BJ146" i="2"/>
  <c r="BJ147" i="2"/>
  <c r="BJ148" i="2"/>
  <c r="BJ149" i="2"/>
  <c r="BK142" i="2"/>
  <c r="BK143" i="2"/>
  <c r="BK144" i="2"/>
  <c r="BK145" i="2"/>
  <c r="BK146" i="2"/>
  <c r="BK147" i="2"/>
  <c r="BK148" i="2"/>
  <c r="BK149" i="2"/>
  <c r="BL142" i="2"/>
  <c r="BL143" i="2"/>
  <c r="BL144" i="2"/>
  <c r="BL145" i="2"/>
  <c r="BL146" i="2"/>
  <c r="BL147" i="2"/>
  <c r="BL148" i="2"/>
  <c r="BL149" i="2"/>
  <c r="BM142" i="2"/>
  <c r="BM143" i="2"/>
  <c r="BM144" i="2"/>
  <c r="BM145" i="2"/>
  <c r="BM146" i="2"/>
  <c r="BM147" i="2"/>
  <c r="BM148" i="2"/>
  <c r="BM149" i="2"/>
  <c r="BN142" i="2"/>
  <c r="BN143" i="2"/>
  <c r="BN144" i="2"/>
  <c r="BN145" i="2"/>
  <c r="BN146" i="2"/>
  <c r="BN147" i="2"/>
  <c r="BN148" i="2"/>
  <c r="BN149" i="2"/>
  <c r="BO142" i="2"/>
  <c r="BO143" i="2"/>
  <c r="BO144" i="2"/>
  <c r="BO145" i="2"/>
  <c r="BO146" i="2"/>
  <c r="BO147" i="2"/>
  <c r="BO148" i="2"/>
  <c r="BO149" i="2"/>
  <c r="BP142" i="2"/>
  <c r="BP143" i="2"/>
  <c r="BP144" i="2"/>
  <c r="BP145" i="2"/>
  <c r="BP146" i="2"/>
  <c r="BP147" i="2"/>
  <c r="BP148" i="2"/>
  <c r="BP149" i="2"/>
  <c r="BG3" i="2"/>
  <c r="BG4" i="2"/>
  <c r="BG5" i="2"/>
  <c r="BG6" i="2"/>
  <c r="BG7" i="2"/>
  <c r="BG8" i="2"/>
  <c r="BG9" i="2"/>
  <c r="BG10" i="2"/>
  <c r="BG11" i="2"/>
  <c r="BG12" i="2"/>
  <c r="BG13" i="2"/>
  <c r="BG14" i="2"/>
  <c r="BG15" i="2"/>
  <c r="BG16" i="2"/>
  <c r="BG17" i="2"/>
  <c r="BG18" i="2"/>
  <c r="BG19" i="2"/>
  <c r="BG20" i="2"/>
  <c r="BG21" i="2"/>
  <c r="BG22" i="2"/>
  <c r="BG23" i="2"/>
  <c r="BG24" i="2"/>
  <c r="BG25" i="2"/>
  <c r="BG26" i="2"/>
  <c r="BG27" i="2"/>
  <c r="BG28" i="2"/>
  <c r="BG29" i="2"/>
  <c r="BG30" i="2"/>
  <c r="BG31" i="2"/>
  <c r="BG32" i="2"/>
  <c r="BG33" i="2"/>
  <c r="BG34" i="2"/>
  <c r="BG35" i="2"/>
  <c r="BG36" i="2"/>
  <c r="BG37" i="2"/>
  <c r="BG38" i="2"/>
  <c r="BG39" i="2"/>
  <c r="BG40" i="2"/>
  <c r="BG41" i="2"/>
  <c r="BG42" i="2"/>
  <c r="BG43" i="2"/>
  <c r="BG44" i="2"/>
  <c r="BG45" i="2"/>
  <c r="BG46" i="2"/>
  <c r="BG47" i="2"/>
  <c r="BG48" i="2"/>
  <c r="BG49" i="2"/>
  <c r="BG50" i="2"/>
  <c r="BG51" i="2"/>
  <c r="BG52" i="2"/>
  <c r="BG53" i="2"/>
  <c r="BG54" i="2"/>
  <c r="BG55" i="2"/>
  <c r="BG56" i="2"/>
  <c r="BG57" i="2"/>
  <c r="BG58" i="2"/>
  <c r="BG59" i="2"/>
  <c r="BG60" i="2"/>
  <c r="BG61" i="2"/>
  <c r="BG62" i="2"/>
  <c r="BG63" i="2"/>
  <c r="BG64" i="2"/>
  <c r="BG65" i="2"/>
  <c r="BG66" i="2"/>
  <c r="BG67" i="2"/>
  <c r="BG68" i="2"/>
  <c r="BG69" i="2"/>
  <c r="BG70" i="2"/>
  <c r="BG71" i="2"/>
  <c r="BG72" i="2"/>
  <c r="BG73" i="2"/>
  <c r="BG74" i="2"/>
  <c r="BG75" i="2"/>
  <c r="BG76" i="2"/>
  <c r="BG77" i="2"/>
  <c r="BG78" i="2"/>
  <c r="BG79" i="2"/>
  <c r="BG80" i="2"/>
  <c r="BG81" i="2"/>
  <c r="BG82" i="2"/>
  <c r="BG83" i="2"/>
  <c r="BG84" i="2"/>
  <c r="BG85" i="2"/>
  <c r="BG86" i="2"/>
  <c r="BG87" i="2"/>
  <c r="BG88" i="2"/>
  <c r="BG89" i="2"/>
  <c r="BG90" i="2"/>
  <c r="BG91" i="2"/>
  <c r="BG92" i="2"/>
  <c r="BG93" i="2"/>
  <c r="BG94" i="2"/>
  <c r="BG95" i="2"/>
  <c r="BG96" i="2"/>
  <c r="BG97" i="2"/>
  <c r="BG98" i="2"/>
  <c r="BG99" i="2"/>
  <c r="BG100" i="2"/>
  <c r="BG101" i="2"/>
  <c r="BG102" i="2"/>
  <c r="BG103" i="2"/>
  <c r="BG104" i="2"/>
  <c r="BG105" i="2"/>
  <c r="BG106" i="2"/>
  <c r="BG107" i="2"/>
  <c r="BG108" i="2"/>
  <c r="BG109" i="2"/>
  <c r="BG110" i="2"/>
  <c r="BG111" i="2"/>
  <c r="BG112" i="2"/>
  <c r="BG113" i="2"/>
  <c r="BG114" i="2"/>
  <c r="BG115" i="2"/>
  <c r="BG116" i="2"/>
  <c r="BG117" i="2"/>
  <c r="BG118" i="2"/>
  <c r="BG119" i="2"/>
  <c r="BG120" i="2"/>
  <c r="BG121" i="2"/>
  <c r="BG122" i="2"/>
  <c r="BG123" i="2"/>
  <c r="BG124" i="2"/>
  <c r="BG125" i="2"/>
  <c r="BG126" i="2"/>
  <c r="BG127" i="2"/>
  <c r="BG128" i="2"/>
  <c r="BG129" i="2"/>
  <c r="BG130" i="2"/>
  <c r="BG131" i="2"/>
  <c r="BG132" i="2"/>
  <c r="BG133" i="2"/>
  <c r="BG134" i="2"/>
  <c r="BG135" i="2"/>
  <c r="BG136" i="2"/>
  <c r="BG137" i="2"/>
  <c r="BG138" i="2"/>
  <c r="BG139" i="2"/>
  <c r="BG140" i="2"/>
  <c r="BG141" i="2"/>
  <c r="BF3" i="2"/>
  <c r="BF4" i="2"/>
  <c r="BF5" i="2"/>
  <c r="BF6" i="2"/>
  <c r="BF7" i="2"/>
  <c r="BF8" i="2"/>
  <c r="BF9" i="2"/>
  <c r="BF10" i="2"/>
  <c r="BF11" i="2"/>
  <c r="BF12" i="2"/>
  <c r="BF13" i="2"/>
  <c r="BF14" i="2"/>
  <c r="BF15" i="2"/>
  <c r="BF16" i="2"/>
  <c r="BF17" i="2"/>
  <c r="BF18" i="2"/>
  <c r="BF19" i="2"/>
  <c r="BF20" i="2"/>
  <c r="BF21" i="2"/>
  <c r="BF22" i="2"/>
  <c r="BF23" i="2"/>
  <c r="BF24" i="2"/>
  <c r="BF25" i="2"/>
  <c r="BF26" i="2"/>
  <c r="BF27" i="2"/>
  <c r="BF28" i="2"/>
  <c r="BF29" i="2"/>
  <c r="BF30" i="2"/>
  <c r="BF31" i="2"/>
  <c r="BF32" i="2"/>
  <c r="BF33" i="2"/>
  <c r="BF34" i="2"/>
  <c r="BF35" i="2"/>
  <c r="BF36" i="2"/>
  <c r="BF37" i="2"/>
  <c r="BF38" i="2"/>
  <c r="BF39" i="2"/>
  <c r="BF40" i="2"/>
  <c r="BF41" i="2"/>
  <c r="BF42" i="2"/>
  <c r="BF43" i="2"/>
  <c r="BF44" i="2"/>
  <c r="BF45" i="2"/>
  <c r="BF46" i="2"/>
  <c r="BF47" i="2"/>
  <c r="BF48" i="2"/>
  <c r="BF49" i="2"/>
  <c r="BF50" i="2"/>
  <c r="BF51" i="2"/>
  <c r="BF52" i="2"/>
  <c r="BF53" i="2"/>
  <c r="BF54" i="2"/>
  <c r="BF55" i="2"/>
  <c r="BF56" i="2"/>
  <c r="BF57" i="2"/>
  <c r="BF58" i="2"/>
  <c r="BF59" i="2"/>
  <c r="BF60" i="2"/>
  <c r="BF61" i="2"/>
  <c r="BF62" i="2"/>
  <c r="BF63" i="2"/>
  <c r="BF64" i="2"/>
  <c r="BF65" i="2"/>
  <c r="BF66" i="2"/>
  <c r="BF67" i="2"/>
  <c r="BF68" i="2"/>
  <c r="BF69" i="2"/>
  <c r="BF70" i="2"/>
  <c r="BF71" i="2"/>
  <c r="BF72" i="2"/>
  <c r="BF73" i="2"/>
  <c r="BF74" i="2"/>
  <c r="BF75" i="2"/>
  <c r="BF76" i="2"/>
  <c r="BF77" i="2"/>
  <c r="BF78" i="2"/>
  <c r="BF79" i="2"/>
  <c r="BF80" i="2"/>
  <c r="BF81" i="2"/>
  <c r="BF82" i="2"/>
  <c r="BF83" i="2"/>
  <c r="BF84" i="2"/>
  <c r="BF85" i="2"/>
  <c r="BF86" i="2"/>
  <c r="BF87" i="2"/>
  <c r="BF88" i="2"/>
  <c r="BF89" i="2"/>
  <c r="BF90" i="2"/>
  <c r="BF91" i="2"/>
  <c r="BF92" i="2"/>
  <c r="BF93" i="2"/>
  <c r="BF94" i="2"/>
  <c r="BF95" i="2"/>
  <c r="BF96" i="2"/>
  <c r="BF97" i="2"/>
  <c r="BF98" i="2"/>
  <c r="BF99" i="2"/>
  <c r="BF100" i="2"/>
  <c r="BF101" i="2"/>
  <c r="BF102" i="2"/>
  <c r="BF103" i="2"/>
  <c r="BF104" i="2"/>
  <c r="BF105" i="2"/>
  <c r="BF106" i="2"/>
  <c r="BF107" i="2"/>
  <c r="BF108" i="2"/>
  <c r="BF109" i="2"/>
  <c r="BF110" i="2"/>
  <c r="BF111" i="2"/>
  <c r="BF112" i="2"/>
  <c r="BF113" i="2"/>
  <c r="BF114" i="2"/>
  <c r="BF115" i="2"/>
  <c r="BF116" i="2"/>
  <c r="BF117" i="2"/>
  <c r="BF118" i="2"/>
  <c r="BF119" i="2"/>
  <c r="BF120" i="2"/>
  <c r="BF121" i="2"/>
  <c r="BF122" i="2"/>
  <c r="BF123" i="2"/>
  <c r="BF124" i="2"/>
  <c r="BF125" i="2"/>
  <c r="BF126" i="2"/>
  <c r="BF127" i="2"/>
  <c r="BF128" i="2"/>
  <c r="BF129" i="2"/>
  <c r="BF130" i="2"/>
  <c r="BF131" i="2"/>
  <c r="BF132" i="2"/>
  <c r="BF133" i="2"/>
  <c r="BF134" i="2"/>
  <c r="BF135" i="2"/>
  <c r="BF136" i="2"/>
  <c r="BF137" i="2"/>
  <c r="BF138" i="2"/>
  <c r="BF139" i="2"/>
  <c r="BF140" i="2"/>
  <c r="BF141" i="2"/>
  <c r="BE3" i="2"/>
  <c r="BE4" i="2"/>
  <c r="BE5" i="2"/>
  <c r="BE6" i="2"/>
  <c r="BE7" i="2"/>
  <c r="BE8" i="2"/>
  <c r="BE9" i="2"/>
  <c r="BE10" i="2"/>
  <c r="BE11" i="2"/>
  <c r="BE12" i="2"/>
  <c r="BE13" i="2"/>
  <c r="BE14" i="2"/>
  <c r="BE15" i="2"/>
  <c r="BE16" i="2"/>
  <c r="BE17" i="2"/>
  <c r="BE18" i="2"/>
  <c r="BE19" i="2"/>
  <c r="BE20" i="2"/>
  <c r="BE21" i="2"/>
  <c r="BE22" i="2"/>
  <c r="BE23" i="2"/>
  <c r="BE24" i="2"/>
  <c r="BE25" i="2"/>
  <c r="BE26" i="2"/>
  <c r="BE27" i="2"/>
  <c r="BE28" i="2"/>
  <c r="BE29" i="2"/>
  <c r="BE30" i="2"/>
  <c r="BE31" i="2"/>
  <c r="BE32" i="2"/>
  <c r="BE33" i="2"/>
  <c r="BE34" i="2"/>
  <c r="BE35" i="2"/>
  <c r="BE36" i="2"/>
  <c r="BE37" i="2"/>
  <c r="BE38" i="2"/>
  <c r="BE39" i="2"/>
  <c r="BE40" i="2"/>
  <c r="BE41" i="2"/>
  <c r="BE42" i="2"/>
  <c r="BE43" i="2"/>
  <c r="BE44" i="2"/>
  <c r="BE45" i="2"/>
  <c r="BE46" i="2"/>
  <c r="BE47" i="2"/>
  <c r="BE48" i="2"/>
  <c r="BE49" i="2"/>
  <c r="BE50" i="2"/>
  <c r="BE51" i="2"/>
  <c r="BE52" i="2"/>
  <c r="BE53" i="2"/>
  <c r="BE54" i="2"/>
  <c r="BE55" i="2"/>
  <c r="BE56" i="2"/>
  <c r="BE57" i="2"/>
  <c r="BE58" i="2"/>
  <c r="BE59" i="2"/>
  <c r="BE60" i="2"/>
  <c r="BE61" i="2"/>
  <c r="BE62" i="2"/>
  <c r="BE63" i="2"/>
  <c r="BE64" i="2"/>
  <c r="BE65" i="2"/>
  <c r="BE66" i="2"/>
  <c r="BE67" i="2"/>
  <c r="BE68" i="2"/>
  <c r="BE69" i="2"/>
  <c r="BE70" i="2"/>
  <c r="BE71" i="2"/>
  <c r="BE72" i="2"/>
  <c r="BE73" i="2"/>
  <c r="BE74" i="2"/>
  <c r="BE75" i="2"/>
  <c r="BE76" i="2"/>
  <c r="BE77" i="2"/>
  <c r="BE78" i="2"/>
  <c r="BE79" i="2"/>
  <c r="BE80" i="2"/>
  <c r="BE81" i="2"/>
  <c r="BE82" i="2"/>
  <c r="BE83" i="2"/>
  <c r="BE84" i="2"/>
  <c r="BE85" i="2"/>
  <c r="BE86" i="2"/>
  <c r="BE87" i="2"/>
  <c r="BE88" i="2"/>
  <c r="BE89" i="2"/>
  <c r="BE90" i="2"/>
  <c r="BE91" i="2"/>
  <c r="BE92" i="2"/>
  <c r="BE93" i="2"/>
  <c r="BE94" i="2"/>
  <c r="BE95" i="2"/>
  <c r="BE96" i="2"/>
  <c r="BE97" i="2"/>
  <c r="BE98" i="2"/>
  <c r="BE99" i="2"/>
  <c r="BE100" i="2"/>
  <c r="BE101" i="2"/>
  <c r="BE102" i="2"/>
  <c r="BE103" i="2"/>
  <c r="BE104" i="2"/>
  <c r="BE105" i="2"/>
  <c r="BE106" i="2"/>
  <c r="BE107" i="2"/>
  <c r="BE108" i="2"/>
  <c r="BE109" i="2"/>
  <c r="BE110" i="2"/>
  <c r="BE111" i="2"/>
  <c r="BE112" i="2"/>
  <c r="BE113" i="2"/>
  <c r="BE114" i="2"/>
  <c r="BE115" i="2"/>
  <c r="BE116" i="2"/>
  <c r="BE117" i="2"/>
  <c r="BE118" i="2"/>
  <c r="BE119" i="2"/>
  <c r="BE120" i="2"/>
  <c r="BE121" i="2"/>
  <c r="BE122" i="2"/>
  <c r="BE123" i="2"/>
  <c r="BE124" i="2"/>
  <c r="BE125" i="2"/>
  <c r="BE126" i="2"/>
  <c r="BE127" i="2"/>
  <c r="BE128" i="2"/>
  <c r="BE129" i="2"/>
  <c r="BE130" i="2"/>
  <c r="BE131" i="2"/>
  <c r="BE132" i="2"/>
  <c r="BE133" i="2"/>
  <c r="BE134" i="2"/>
  <c r="BE135" i="2"/>
  <c r="BE136" i="2"/>
  <c r="BE137" i="2"/>
  <c r="BE138" i="2"/>
  <c r="BE139" i="2"/>
  <c r="BE140" i="2"/>
  <c r="BE141" i="2"/>
  <c r="BP4" i="2"/>
  <c r="BP5" i="2"/>
  <c r="BP6" i="2"/>
  <c r="BP7" i="2"/>
  <c r="BP8" i="2"/>
  <c r="BP9" i="2"/>
  <c r="BP10" i="2"/>
  <c r="BP11" i="2"/>
  <c r="BP12" i="2"/>
  <c r="BP13" i="2"/>
  <c r="BP14" i="2"/>
  <c r="BP15" i="2"/>
  <c r="BP16" i="2"/>
  <c r="BP17" i="2"/>
  <c r="BP18" i="2"/>
  <c r="BP19" i="2"/>
  <c r="BP20" i="2"/>
  <c r="BP21" i="2"/>
  <c r="BP22" i="2"/>
  <c r="BP23" i="2"/>
  <c r="BP24" i="2"/>
  <c r="BP25" i="2"/>
  <c r="BP26" i="2"/>
  <c r="BP27" i="2"/>
  <c r="BP28" i="2"/>
  <c r="BP29" i="2"/>
  <c r="BP30" i="2"/>
  <c r="BP31" i="2"/>
  <c r="BP32" i="2"/>
  <c r="BP33" i="2"/>
  <c r="BP34" i="2"/>
  <c r="BP35" i="2"/>
  <c r="BP36" i="2"/>
  <c r="BP37" i="2"/>
  <c r="BP38" i="2"/>
  <c r="BP39" i="2"/>
  <c r="BP40" i="2"/>
  <c r="BP41" i="2"/>
  <c r="BP42" i="2"/>
  <c r="BP43" i="2"/>
  <c r="BP44" i="2"/>
  <c r="BP45" i="2"/>
  <c r="BP46" i="2"/>
  <c r="BP47" i="2"/>
  <c r="BP48" i="2"/>
  <c r="BP49" i="2"/>
  <c r="BP50" i="2"/>
  <c r="BP51" i="2"/>
  <c r="BP52" i="2"/>
  <c r="BP53" i="2"/>
  <c r="BP54" i="2"/>
  <c r="BP55" i="2"/>
  <c r="BP56" i="2"/>
  <c r="BP57" i="2"/>
  <c r="BP58" i="2"/>
  <c r="BP59" i="2"/>
  <c r="BP60" i="2"/>
  <c r="BP61" i="2"/>
  <c r="BP62" i="2"/>
  <c r="BP63" i="2"/>
  <c r="BP64" i="2"/>
  <c r="BP65" i="2"/>
  <c r="BP66" i="2"/>
  <c r="BP67" i="2"/>
  <c r="BP68" i="2"/>
  <c r="BP69" i="2"/>
  <c r="BP70" i="2"/>
  <c r="BP71" i="2"/>
  <c r="BP72" i="2"/>
  <c r="BP73" i="2"/>
  <c r="BP74" i="2"/>
  <c r="BP75" i="2"/>
  <c r="BP76" i="2"/>
  <c r="BP77" i="2"/>
  <c r="BP78" i="2"/>
  <c r="BP79" i="2"/>
  <c r="BP80" i="2"/>
  <c r="BP81" i="2"/>
  <c r="BP82" i="2"/>
  <c r="BP83" i="2"/>
  <c r="BP84" i="2"/>
  <c r="BP85" i="2"/>
  <c r="BP86" i="2"/>
  <c r="BP87" i="2"/>
  <c r="BP88" i="2"/>
  <c r="BP89" i="2"/>
  <c r="BP90" i="2"/>
  <c r="BP91" i="2"/>
  <c r="BP92" i="2"/>
  <c r="BP93" i="2"/>
  <c r="BP94" i="2"/>
  <c r="BP95" i="2"/>
  <c r="BP96" i="2"/>
  <c r="BP97" i="2"/>
  <c r="BP98" i="2"/>
  <c r="BP99" i="2"/>
  <c r="BP100" i="2"/>
  <c r="BP101" i="2"/>
  <c r="BP102" i="2"/>
  <c r="BP103" i="2"/>
  <c r="BP104" i="2"/>
  <c r="BP105" i="2"/>
  <c r="BP106" i="2"/>
  <c r="BP107" i="2"/>
  <c r="BP108" i="2"/>
  <c r="BP109" i="2"/>
  <c r="BP110" i="2"/>
  <c r="BP111" i="2"/>
  <c r="BP112" i="2"/>
  <c r="BP113" i="2"/>
  <c r="BP114" i="2"/>
  <c r="BP115" i="2"/>
  <c r="BP116" i="2"/>
  <c r="BP117" i="2"/>
  <c r="BP118" i="2"/>
  <c r="BP119" i="2"/>
  <c r="BP120" i="2"/>
  <c r="BP121" i="2"/>
  <c r="BP122" i="2"/>
  <c r="BP123" i="2"/>
  <c r="BP124" i="2"/>
  <c r="BP125" i="2"/>
  <c r="BP126" i="2"/>
  <c r="BP127" i="2"/>
  <c r="BP128" i="2"/>
  <c r="BP129" i="2"/>
  <c r="BP130" i="2"/>
  <c r="BP131" i="2"/>
  <c r="BP132" i="2"/>
  <c r="BP133" i="2"/>
  <c r="BP134" i="2"/>
  <c r="BP135" i="2"/>
  <c r="BP136" i="2"/>
  <c r="BP137" i="2"/>
  <c r="BP138" i="2"/>
  <c r="BP139" i="2"/>
  <c r="BP140" i="2"/>
  <c r="BP141" i="2"/>
  <c r="BP3" i="2"/>
  <c r="BO4" i="2"/>
  <c r="BO5" i="2"/>
  <c r="BO6" i="2"/>
  <c r="BO7" i="2"/>
  <c r="BO8" i="2"/>
  <c r="BO9" i="2"/>
  <c r="BO10" i="2"/>
  <c r="BO11" i="2"/>
  <c r="BO12" i="2"/>
  <c r="BO13" i="2"/>
  <c r="BO14" i="2"/>
  <c r="BO15" i="2"/>
  <c r="BO16" i="2"/>
  <c r="BO17" i="2"/>
  <c r="BO18" i="2"/>
  <c r="BO19" i="2"/>
  <c r="BO20" i="2"/>
  <c r="BO21" i="2"/>
  <c r="BO22" i="2"/>
  <c r="BO23" i="2"/>
  <c r="BO24" i="2"/>
  <c r="BO25" i="2"/>
  <c r="BO26" i="2"/>
  <c r="BO27" i="2"/>
  <c r="BO28" i="2"/>
  <c r="BS28" i="2" s="1"/>
  <c r="BO29" i="2"/>
  <c r="BS29" i="2" s="1"/>
  <c r="BO30" i="2"/>
  <c r="BS30" i="2" s="1"/>
  <c r="BO31" i="2"/>
  <c r="BS31" i="2" s="1"/>
  <c r="BO32" i="2"/>
  <c r="BO33" i="2"/>
  <c r="BO34" i="2"/>
  <c r="BO35" i="2"/>
  <c r="BO36" i="2"/>
  <c r="BO37" i="2"/>
  <c r="BO38" i="2"/>
  <c r="BO39" i="2"/>
  <c r="BO40" i="2"/>
  <c r="BO41" i="2"/>
  <c r="BO42" i="2"/>
  <c r="BO43" i="2"/>
  <c r="BO44" i="2"/>
  <c r="BO45" i="2"/>
  <c r="BO46" i="2"/>
  <c r="BO47" i="2"/>
  <c r="BO48" i="2"/>
  <c r="BO49" i="2"/>
  <c r="BO50" i="2"/>
  <c r="BO51" i="2"/>
  <c r="BO52" i="2"/>
  <c r="BO53" i="2"/>
  <c r="BO54" i="2"/>
  <c r="BO55" i="2"/>
  <c r="BO56" i="2"/>
  <c r="BO57" i="2"/>
  <c r="BO58" i="2"/>
  <c r="BO59" i="2"/>
  <c r="BO60" i="2"/>
  <c r="BO61" i="2"/>
  <c r="BO62" i="2"/>
  <c r="BO63" i="2"/>
  <c r="BO64" i="2"/>
  <c r="BO65" i="2"/>
  <c r="BO66" i="2"/>
  <c r="BO67" i="2"/>
  <c r="BO68" i="2"/>
  <c r="BO69" i="2"/>
  <c r="BO70" i="2"/>
  <c r="BO71" i="2"/>
  <c r="BO72" i="2"/>
  <c r="BO73" i="2"/>
  <c r="BO74" i="2"/>
  <c r="BO75" i="2"/>
  <c r="BO76" i="2"/>
  <c r="BO77" i="2"/>
  <c r="BO78" i="2"/>
  <c r="BO79" i="2"/>
  <c r="BO80" i="2"/>
  <c r="BO81" i="2"/>
  <c r="BO82" i="2"/>
  <c r="BO83" i="2"/>
  <c r="BO84" i="2"/>
  <c r="BO85" i="2"/>
  <c r="BO86" i="2"/>
  <c r="BO87" i="2"/>
  <c r="BO88" i="2"/>
  <c r="BO89" i="2"/>
  <c r="BO90" i="2"/>
  <c r="BO91" i="2"/>
  <c r="BO92" i="2"/>
  <c r="BO93" i="2"/>
  <c r="BO94" i="2"/>
  <c r="BO95" i="2"/>
  <c r="BO96" i="2"/>
  <c r="BO97" i="2"/>
  <c r="BO98" i="2"/>
  <c r="BO99" i="2"/>
  <c r="BO100" i="2"/>
  <c r="BO101" i="2"/>
  <c r="BO102" i="2"/>
  <c r="BO103" i="2"/>
  <c r="BO104" i="2"/>
  <c r="BO105" i="2"/>
  <c r="BO106" i="2"/>
  <c r="BO107" i="2"/>
  <c r="BO108" i="2"/>
  <c r="BO109" i="2"/>
  <c r="BO110" i="2"/>
  <c r="BO111" i="2"/>
  <c r="BO112" i="2"/>
  <c r="BO113" i="2"/>
  <c r="BO114" i="2"/>
  <c r="BO115" i="2"/>
  <c r="BO116" i="2"/>
  <c r="BO117" i="2"/>
  <c r="BO118" i="2"/>
  <c r="BO119" i="2"/>
  <c r="BO120" i="2"/>
  <c r="BO121" i="2"/>
  <c r="BO122" i="2"/>
  <c r="BO123" i="2"/>
  <c r="BO124" i="2"/>
  <c r="BO125" i="2"/>
  <c r="BO126" i="2"/>
  <c r="BO127" i="2"/>
  <c r="BO128" i="2"/>
  <c r="BO129" i="2"/>
  <c r="BO130" i="2"/>
  <c r="BO131" i="2"/>
  <c r="BO132" i="2"/>
  <c r="BO133" i="2"/>
  <c r="BO134" i="2"/>
  <c r="BO135" i="2"/>
  <c r="BO136" i="2"/>
  <c r="BO137" i="2"/>
  <c r="BO138" i="2"/>
  <c r="BO139" i="2"/>
  <c r="BO140" i="2"/>
  <c r="BO141" i="2"/>
  <c r="BO3" i="2"/>
  <c r="BN4" i="2"/>
  <c r="BN5" i="2"/>
  <c r="BN6" i="2"/>
  <c r="BN7" i="2"/>
  <c r="BN8" i="2"/>
  <c r="BN9" i="2"/>
  <c r="BN10" i="2"/>
  <c r="BN11" i="2"/>
  <c r="BN12" i="2"/>
  <c r="BN13" i="2"/>
  <c r="BN14" i="2"/>
  <c r="BN15" i="2"/>
  <c r="BN16" i="2"/>
  <c r="BN17" i="2"/>
  <c r="BN18" i="2"/>
  <c r="BN19" i="2"/>
  <c r="BN20" i="2"/>
  <c r="BN21" i="2"/>
  <c r="BN22" i="2"/>
  <c r="BN23" i="2"/>
  <c r="BN24" i="2"/>
  <c r="BN25" i="2"/>
  <c r="BN26" i="2"/>
  <c r="BN27" i="2"/>
  <c r="BN28" i="2"/>
  <c r="BN29" i="2"/>
  <c r="BN30" i="2"/>
  <c r="BN31" i="2"/>
  <c r="BN32" i="2"/>
  <c r="BN33" i="2"/>
  <c r="BN34" i="2"/>
  <c r="BN35" i="2"/>
  <c r="BN36" i="2"/>
  <c r="BN37" i="2"/>
  <c r="BN38" i="2"/>
  <c r="BN39" i="2"/>
  <c r="BN40" i="2"/>
  <c r="BN41" i="2"/>
  <c r="BN42" i="2"/>
  <c r="BN43" i="2"/>
  <c r="BN44" i="2"/>
  <c r="BN45" i="2"/>
  <c r="BN46" i="2"/>
  <c r="BN47" i="2"/>
  <c r="BN48" i="2"/>
  <c r="BN49" i="2"/>
  <c r="BN50" i="2"/>
  <c r="BN51" i="2"/>
  <c r="BN52" i="2"/>
  <c r="BN53" i="2"/>
  <c r="BN54" i="2"/>
  <c r="BN55" i="2"/>
  <c r="BN56" i="2"/>
  <c r="BN57" i="2"/>
  <c r="BN58" i="2"/>
  <c r="BN59" i="2"/>
  <c r="BN60" i="2"/>
  <c r="BN61" i="2"/>
  <c r="BN62" i="2"/>
  <c r="BN63" i="2"/>
  <c r="BN64" i="2"/>
  <c r="BN65" i="2"/>
  <c r="BN66" i="2"/>
  <c r="BN67" i="2"/>
  <c r="BN68" i="2"/>
  <c r="BN69" i="2"/>
  <c r="BN70" i="2"/>
  <c r="BN71" i="2"/>
  <c r="BN72" i="2"/>
  <c r="BN73" i="2"/>
  <c r="BN74" i="2"/>
  <c r="BN75" i="2"/>
  <c r="BN76" i="2"/>
  <c r="BN77" i="2"/>
  <c r="BN78" i="2"/>
  <c r="BN79" i="2"/>
  <c r="BN80" i="2"/>
  <c r="BN81" i="2"/>
  <c r="BN82" i="2"/>
  <c r="BN83" i="2"/>
  <c r="BN84" i="2"/>
  <c r="BN85" i="2"/>
  <c r="BN86" i="2"/>
  <c r="BN87" i="2"/>
  <c r="BN88" i="2"/>
  <c r="BN89" i="2"/>
  <c r="BN90" i="2"/>
  <c r="BN91" i="2"/>
  <c r="BN92" i="2"/>
  <c r="BN93" i="2"/>
  <c r="BN94" i="2"/>
  <c r="BN95" i="2"/>
  <c r="BN96" i="2"/>
  <c r="BN97" i="2"/>
  <c r="BN98" i="2"/>
  <c r="BN99" i="2"/>
  <c r="BN100" i="2"/>
  <c r="BN101" i="2"/>
  <c r="BN102" i="2"/>
  <c r="BN103" i="2"/>
  <c r="BN104" i="2"/>
  <c r="BN105" i="2"/>
  <c r="BN106" i="2"/>
  <c r="BN107" i="2"/>
  <c r="BN108" i="2"/>
  <c r="BN109" i="2"/>
  <c r="BN110" i="2"/>
  <c r="BN111" i="2"/>
  <c r="BN112" i="2"/>
  <c r="BN113" i="2"/>
  <c r="BN114" i="2"/>
  <c r="BN115" i="2"/>
  <c r="BN116" i="2"/>
  <c r="BN117" i="2"/>
  <c r="BN118" i="2"/>
  <c r="BN119" i="2"/>
  <c r="BN120" i="2"/>
  <c r="BN121" i="2"/>
  <c r="BN122" i="2"/>
  <c r="BN123" i="2"/>
  <c r="BN124" i="2"/>
  <c r="BN125" i="2"/>
  <c r="BN126" i="2"/>
  <c r="BN127" i="2"/>
  <c r="BN128" i="2"/>
  <c r="BN129" i="2"/>
  <c r="BN130" i="2"/>
  <c r="BN131" i="2"/>
  <c r="BN132" i="2"/>
  <c r="BN133" i="2"/>
  <c r="BN134" i="2"/>
  <c r="BN135" i="2"/>
  <c r="BN136" i="2"/>
  <c r="BN137" i="2"/>
  <c r="BN138" i="2"/>
  <c r="BN139" i="2"/>
  <c r="BN140" i="2"/>
  <c r="BN141" i="2"/>
  <c r="BN3" i="2"/>
  <c r="BM4" i="2"/>
  <c r="BM5" i="2"/>
  <c r="BM6" i="2"/>
  <c r="BM7" i="2"/>
  <c r="BM8" i="2"/>
  <c r="BM9" i="2"/>
  <c r="BM10" i="2"/>
  <c r="BM11" i="2"/>
  <c r="BM12" i="2"/>
  <c r="BM13" i="2"/>
  <c r="BM14" i="2"/>
  <c r="BM15" i="2"/>
  <c r="BM16" i="2"/>
  <c r="BM17" i="2"/>
  <c r="BM18" i="2"/>
  <c r="BM19" i="2"/>
  <c r="BM20" i="2"/>
  <c r="BM21" i="2"/>
  <c r="BM22" i="2"/>
  <c r="BM23" i="2"/>
  <c r="BM24" i="2"/>
  <c r="BM25" i="2"/>
  <c r="BM26" i="2"/>
  <c r="BM27" i="2"/>
  <c r="BM28" i="2"/>
  <c r="BM29" i="2"/>
  <c r="BM30" i="2"/>
  <c r="BM31" i="2"/>
  <c r="BM32" i="2"/>
  <c r="BM33" i="2"/>
  <c r="BM34" i="2"/>
  <c r="BM35" i="2"/>
  <c r="BM36" i="2"/>
  <c r="BM37" i="2"/>
  <c r="BM38" i="2"/>
  <c r="BM39" i="2"/>
  <c r="BM40" i="2"/>
  <c r="BM41" i="2"/>
  <c r="BM42" i="2"/>
  <c r="BM43" i="2"/>
  <c r="BM44" i="2"/>
  <c r="BM45" i="2"/>
  <c r="BM46" i="2"/>
  <c r="BM47" i="2"/>
  <c r="BM48" i="2"/>
  <c r="BM49" i="2"/>
  <c r="BM50" i="2"/>
  <c r="BM51" i="2"/>
  <c r="BM52" i="2"/>
  <c r="BM53" i="2"/>
  <c r="BM54" i="2"/>
  <c r="BM55" i="2"/>
  <c r="BM56" i="2"/>
  <c r="BM57" i="2"/>
  <c r="BM58" i="2"/>
  <c r="BM59" i="2"/>
  <c r="BM60" i="2"/>
  <c r="BM61" i="2"/>
  <c r="BM62" i="2"/>
  <c r="BM63" i="2"/>
  <c r="BM64" i="2"/>
  <c r="BM65" i="2"/>
  <c r="BM66" i="2"/>
  <c r="BM67" i="2"/>
  <c r="BM68" i="2"/>
  <c r="BM69" i="2"/>
  <c r="BM70" i="2"/>
  <c r="BM71" i="2"/>
  <c r="BM72" i="2"/>
  <c r="BM73" i="2"/>
  <c r="BM74" i="2"/>
  <c r="BM75" i="2"/>
  <c r="BM76" i="2"/>
  <c r="BM77" i="2"/>
  <c r="BM78" i="2"/>
  <c r="BM79" i="2"/>
  <c r="BM80" i="2"/>
  <c r="BM81" i="2"/>
  <c r="BM82" i="2"/>
  <c r="BM83" i="2"/>
  <c r="BM84" i="2"/>
  <c r="BM85" i="2"/>
  <c r="BM86" i="2"/>
  <c r="BM87" i="2"/>
  <c r="BM88" i="2"/>
  <c r="BM89" i="2"/>
  <c r="BM90" i="2"/>
  <c r="BM91" i="2"/>
  <c r="BM92" i="2"/>
  <c r="BM93" i="2"/>
  <c r="BM94" i="2"/>
  <c r="BM95" i="2"/>
  <c r="BM96" i="2"/>
  <c r="BM97" i="2"/>
  <c r="BM98" i="2"/>
  <c r="BM99" i="2"/>
  <c r="BM100" i="2"/>
  <c r="BM101" i="2"/>
  <c r="BM102" i="2"/>
  <c r="BM103" i="2"/>
  <c r="BM104" i="2"/>
  <c r="BM105" i="2"/>
  <c r="BM106" i="2"/>
  <c r="BM107" i="2"/>
  <c r="BM108" i="2"/>
  <c r="BM109" i="2"/>
  <c r="BM110" i="2"/>
  <c r="BM111" i="2"/>
  <c r="BM112" i="2"/>
  <c r="BM113" i="2"/>
  <c r="BM114" i="2"/>
  <c r="BM115" i="2"/>
  <c r="BM116" i="2"/>
  <c r="BM117" i="2"/>
  <c r="BM118" i="2"/>
  <c r="BM119" i="2"/>
  <c r="BM120" i="2"/>
  <c r="BM121" i="2"/>
  <c r="BM122" i="2"/>
  <c r="BM123" i="2"/>
  <c r="BM124" i="2"/>
  <c r="BM125" i="2"/>
  <c r="BM126" i="2"/>
  <c r="BM127" i="2"/>
  <c r="BM128" i="2"/>
  <c r="BM129" i="2"/>
  <c r="BM130" i="2"/>
  <c r="BM131" i="2"/>
  <c r="BM132" i="2"/>
  <c r="BM133" i="2"/>
  <c r="BM134" i="2"/>
  <c r="BM135" i="2"/>
  <c r="BM136" i="2"/>
  <c r="BM137" i="2"/>
  <c r="BM138" i="2"/>
  <c r="BM139" i="2"/>
  <c r="BM140" i="2"/>
  <c r="BM141" i="2"/>
  <c r="BM3" i="2"/>
  <c r="BL4" i="2"/>
  <c r="BL5" i="2"/>
  <c r="BL6" i="2"/>
  <c r="BL7" i="2"/>
  <c r="BL8" i="2"/>
  <c r="BL9" i="2"/>
  <c r="BL10" i="2"/>
  <c r="BL11" i="2"/>
  <c r="BL12" i="2"/>
  <c r="BL13" i="2"/>
  <c r="BL14" i="2"/>
  <c r="BL15" i="2"/>
  <c r="BL16" i="2"/>
  <c r="BL17" i="2"/>
  <c r="BL18" i="2"/>
  <c r="BL19" i="2"/>
  <c r="BL20" i="2"/>
  <c r="BL21" i="2"/>
  <c r="BL22" i="2"/>
  <c r="BL23" i="2"/>
  <c r="BL24" i="2"/>
  <c r="BL25" i="2"/>
  <c r="BL26" i="2"/>
  <c r="BL27" i="2"/>
  <c r="BL28" i="2"/>
  <c r="BL29" i="2"/>
  <c r="BL30" i="2"/>
  <c r="BL31" i="2"/>
  <c r="BL32" i="2"/>
  <c r="BL33" i="2"/>
  <c r="BL34" i="2"/>
  <c r="BL35" i="2"/>
  <c r="BL36" i="2"/>
  <c r="BL37" i="2"/>
  <c r="BL38" i="2"/>
  <c r="BL39" i="2"/>
  <c r="BL40" i="2"/>
  <c r="BL41" i="2"/>
  <c r="BL42" i="2"/>
  <c r="BL43" i="2"/>
  <c r="BL44" i="2"/>
  <c r="BL45" i="2"/>
  <c r="BL46" i="2"/>
  <c r="BL47" i="2"/>
  <c r="BL48" i="2"/>
  <c r="BL49" i="2"/>
  <c r="BL50" i="2"/>
  <c r="BL51" i="2"/>
  <c r="BL52" i="2"/>
  <c r="BL53" i="2"/>
  <c r="BL54" i="2"/>
  <c r="BL55" i="2"/>
  <c r="BL56" i="2"/>
  <c r="BL57" i="2"/>
  <c r="BL58" i="2"/>
  <c r="BL59" i="2"/>
  <c r="BL60" i="2"/>
  <c r="BL61" i="2"/>
  <c r="BL62" i="2"/>
  <c r="BL63" i="2"/>
  <c r="BL64" i="2"/>
  <c r="BL65" i="2"/>
  <c r="BL66" i="2"/>
  <c r="BL67" i="2"/>
  <c r="BL68" i="2"/>
  <c r="BL69" i="2"/>
  <c r="BL70" i="2"/>
  <c r="BL71" i="2"/>
  <c r="BL72" i="2"/>
  <c r="BL73" i="2"/>
  <c r="BL74" i="2"/>
  <c r="BL75" i="2"/>
  <c r="BL76" i="2"/>
  <c r="BL77" i="2"/>
  <c r="BL78" i="2"/>
  <c r="BL79" i="2"/>
  <c r="BL80" i="2"/>
  <c r="BL81" i="2"/>
  <c r="BL82" i="2"/>
  <c r="BL83" i="2"/>
  <c r="BL84" i="2"/>
  <c r="BL85" i="2"/>
  <c r="BL86" i="2"/>
  <c r="BL87" i="2"/>
  <c r="BL88" i="2"/>
  <c r="BL89" i="2"/>
  <c r="BL90" i="2"/>
  <c r="BL91" i="2"/>
  <c r="BL92" i="2"/>
  <c r="BL93" i="2"/>
  <c r="BL94" i="2"/>
  <c r="BL95" i="2"/>
  <c r="BL96" i="2"/>
  <c r="BL97" i="2"/>
  <c r="BL98" i="2"/>
  <c r="BL99" i="2"/>
  <c r="BL100" i="2"/>
  <c r="BL101" i="2"/>
  <c r="BL102" i="2"/>
  <c r="BL103" i="2"/>
  <c r="BL104" i="2"/>
  <c r="BL105" i="2"/>
  <c r="BL106" i="2"/>
  <c r="BL107" i="2"/>
  <c r="BL108" i="2"/>
  <c r="BL109" i="2"/>
  <c r="BL110" i="2"/>
  <c r="BL111" i="2"/>
  <c r="BL112" i="2"/>
  <c r="BL113" i="2"/>
  <c r="BL114" i="2"/>
  <c r="BL115" i="2"/>
  <c r="BL116" i="2"/>
  <c r="BL117" i="2"/>
  <c r="BL118" i="2"/>
  <c r="BL119" i="2"/>
  <c r="BL120" i="2"/>
  <c r="BL121" i="2"/>
  <c r="BL122" i="2"/>
  <c r="BL123" i="2"/>
  <c r="BL124" i="2"/>
  <c r="BL125" i="2"/>
  <c r="BL126" i="2"/>
  <c r="BL127" i="2"/>
  <c r="BL128" i="2"/>
  <c r="BL129" i="2"/>
  <c r="BL130" i="2"/>
  <c r="BL131" i="2"/>
  <c r="BL132" i="2"/>
  <c r="BL133" i="2"/>
  <c r="BL134" i="2"/>
  <c r="BL135" i="2"/>
  <c r="BL136" i="2"/>
  <c r="BL137" i="2"/>
  <c r="BL138" i="2"/>
  <c r="BL139" i="2"/>
  <c r="BL140" i="2"/>
  <c r="BL141" i="2"/>
  <c r="BL3" i="2"/>
  <c r="BK4" i="2"/>
  <c r="BK5" i="2"/>
  <c r="BK6" i="2"/>
  <c r="BK7" i="2"/>
  <c r="BK8" i="2"/>
  <c r="BK9" i="2"/>
  <c r="BK10" i="2"/>
  <c r="BK11" i="2"/>
  <c r="BK12" i="2"/>
  <c r="BK13" i="2"/>
  <c r="BK14" i="2"/>
  <c r="BK15" i="2"/>
  <c r="BK16" i="2"/>
  <c r="BK17" i="2"/>
  <c r="BK18" i="2"/>
  <c r="BK19" i="2"/>
  <c r="BK20" i="2"/>
  <c r="BK21" i="2"/>
  <c r="BK22" i="2"/>
  <c r="BK23" i="2"/>
  <c r="BK24" i="2"/>
  <c r="BK25" i="2"/>
  <c r="BK26" i="2"/>
  <c r="BK27" i="2"/>
  <c r="BK28" i="2"/>
  <c r="BK29" i="2"/>
  <c r="BK30" i="2"/>
  <c r="BK31" i="2"/>
  <c r="BK32" i="2"/>
  <c r="BK33" i="2"/>
  <c r="BK34" i="2"/>
  <c r="BK35" i="2"/>
  <c r="BK36" i="2"/>
  <c r="BK37" i="2"/>
  <c r="BK38" i="2"/>
  <c r="BK39" i="2"/>
  <c r="BK40" i="2"/>
  <c r="BK41" i="2"/>
  <c r="BK42" i="2"/>
  <c r="BK43" i="2"/>
  <c r="BK44" i="2"/>
  <c r="BK45" i="2"/>
  <c r="BK46" i="2"/>
  <c r="BK47" i="2"/>
  <c r="BK48" i="2"/>
  <c r="BK49" i="2"/>
  <c r="BK50" i="2"/>
  <c r="BK51" i="2"/>
  <c r="BK52" i="2"/>
  <c r="BK53" i="2"/>
  <c r="BK54" i="2"/>
  <c r="BK55" i="2"/>
  <c r="BK56" i="2"/>
  <c r="BK57" i="2"/>
  <c r="BK58" i="2"/>
  <c r="BK59" i="2"/>
  <c r="BK60" i="2"/>
  <c r="BK61" i="2"/>
  <c r="BK62" i="2"/>
  <c r="BK63" i="2"/>
  <c r="BK64" i="2"/>
  <c r="BK65" i="2"/>
  <c r="BK66" i="2"/>
  <c r="BK67" i="2"/>
  <c r="BK68" i="2"/>
  <c r="BK69" i="2"/>
  <c r="BK70" i="2"/>
  <c r="BK71" i="2"/>
  <c r="BK72" i="2"/>
  <c r="BK73" i="2"/>
  <c r="BK74" i="2"/>
  <c r="BK75" i="2"/>
  <c r="BK76" i="2"/>
  <c r="BK77" i="2"/>
  <c r="BK78" i="2"/>
  <c r="BK79" i="2"/>
  <c r="BK80" i="2"/>
  <c r="BK81" i="2"/>
  <c r="BK82" i="2"/>
  <c r="BK83" i="2"/>
  <c r="BK84" i="2"/>
  <c r="BK85" i="2"/>
  <c r="BK86" i="2"/>
  <c r="BK87" i="2"/>
  <c r="BK88" i="2"/>
  <c r="BK89" i="2"/>
  <c r="BK90" i="2"/>
  <c r="BK91" i="2"/>
  <c r="BK92" i="2"/>
  <c r="BK93" i="2"/>
  <c r="BK94" i="2"/>
  <c r="BK95" i="2"/>
  <c r="BK96" i="2"/>
  <c r="BK97" i="2"/>
  <c r="BK98" i="2"/>
  <c r="BK99" i="2"/>
  <c r="BK100" i="2"/>
  <c r="BK101" i="2"/>
  <c r="BK102" i="2"/>
  <c r="BK103" i="2"/>
  <c r="BK104" i="2"/>
  <c r="BK105" i="2"/>
  <c r="BK106" i="2"/>
  <c r="BK107" i="2"/>
  <c r="BK108" i="2"/>
  <c r="BK109" i="2"/>
  <c r="BK110" i="2"/>
  <c r="BK111" i="2"/>
  <c r="BK112" i="2"/>
  <c r="BK113" i="2"/>
  <c r="BK114" i="2"/>
  <c r="BK115" i="2"/>
  <c r="BK116" i="2"/>
  <c r="BK117" i="2"/>
  <c r="BK118" i="2"/>
  <c r="BK119" i="2"/>
  <c r="BK120" i="2"/>
  <c r="BK121" i="2"/>
  <c r="BK122" i="2"/>
  <c r="BK123" i="2"/>
  <c r="BK124" i="2"/>
  <c r="BK125" i="2"/>
  <c r="BK126" i="2"/>
  <c r="BK127" i="2"/>
  <c r="BK128" i="2"/>
  <c r="BK129" i="2"/>
  <c r="BK130" i="2"/>
  <c r="BK131" i="2"/>
  <c r="BK132" i="2"/>
  <c r="BK133" i="2"/>
  <c r="BK134" i="2"/>
  <c r="BK135" i="2"/>
  <c r="BK136" i="2"/>
  <c r="BK137" i="2"/>
  <c r="BK138" i="2"/>
  <c r="BK139" i="2"/>
  <c r="BK140" i="2"/>
  <c r="BK141" i="2"/>
  <c r="BK3" i="2"/>
  <c r="BJ3" i="2"/>
  <c r="BJ4" i="2"/>
  <c r="BJ5" i="2"/>
  <c r="BJ6" i="2"/>
  <c r="BJ7" i="2"/>
  <c r="BJ8" i="2"/>
  <c r="BJ9" i="2"/>
  <c r="BJ10" i="2"/>
  <c r="BJ11" i="2"/>
  <c r="BJ12" i="2"/>
  <c r="BJ13" i="2"/>
  <c r="BJ14" i="2"/>
  <c r="BJ15" i="2"/>
  <c r="BJ16" i="2"/>
  <c r="BJ17" i="2"/>
  <c r="BJ18" i="2"/>
  <c r="BJ19" i="2"/>
  <c r="BJ20" i="2"/>
  <c r="BJ21" i="2"/>
  <c r="BJ22" i="2"/>
  <c r="BJ23" i="2"/>
  <c r="BJ24" i="2"/>
  <c r="BJ25" i="2"/>
  <c r="BJ26" i="2"/>
  <c r="BJ27" i="2"/>
  <c r="BJ28" i="2"/>
  <c r="BJ29" i="2"/>
  <c r="BJ30" i="2"/>
  <c r="BJ31" i="2"/>
  <c r="BJ32" i="2"/>
  <c r="BJ33" i="2"/>
  <c r="BJ34" i="2"/>
  <c r="BJ35" i="2"/>
  <c r="BJ36" i="2"/>
  <c r="BJ37" i="2"/>
  <c r="BJ38" i="2"/>
  <c r="BJ39" i="2"/>
  <c r="BJ40" i="2"/>
  <c r="BJ41" i="2"/>
  <c r="BJ42" i="2"/>
  <c r="BJ43" i="2"/>
  <c r="BJ44" i="2"/>
  <c r="BJ45" i="2"/>
  <c r="BJ46" i="2"/>
  <c r="BJ47" i="2"/>
  <c r="BJ48" i="2"/>
  <c r="BJ49" i="2"/>
  <c r="BJ50" i="2"/>
  <c r="BJ51" i="2"/>
  <c r="BJ52" i="2"/>
  <c r="BJ53" i="2"/>
  <c r="BJ54" i="2"/>
  <c r="BJ55" i="2"/>
  <c r="BJ56" i="2"/>
  <c r="BJ57" i="2"/>
  <c r="BJ58" i="2"/>
  <c r="BJ59" i="2"/>
  <c r="BJ60" i="2"/>
  <c r="BJ61" i="2"/>
  <c r="BJ62" i="2"/>
  <c r="BJ63" i="2"/>
  <c r="BJ64" i="2"/>
  <c r="BJ65" i="2"/>
  <c r="BJ66" i="2"/>
  <c r="BJ67" i="2"/>
  <c r="BJ68" i="2"/>
  <c r="BJ69" i="2"/>
  <c r="BJ70" i="2"/>
  <c r="BJ71" i="2"/>
  <c r="BJ72" i="2"/>
  <c r="BJ73" i="2"/>
  <c r="BJ74" i="2"/>
  <c r="BJ75" i="2"/>
  <c r="BJ76" i="2"/>
  <c r="BJ77" i="2"/>
  <c r="BJ78" i="2"/>
  <c r="BJ79" i="2"/>
  <c r="BJ80" i="2"/>
  <c r="BJ81" i="2"/>
  <c r="BJ82" i="2"/>
  <c r="BJ83" i="2"/>
  <c r="BJ84" i="2"/>
  <c r="BJ85" i="2"/>
  <c r="BJ86" i="2"/>
  <c r="BJ87" i="2"/>
  <c r="BJ88" i="2"/>
  <c r="BJ89" i="2"/>
  <c r="BJ90" i="2"/>
  <c r="BJ91" i="2"/>
  <c r="BJ92" i="2"/>
  <c r="BJ93" i="2"/>
  <c r="BJ94" i="2"/>
  <c r="BJ95" i="2"/>
  <c r="BJ96" i="2"/>
  <c r="BJ97" i="2"/>
  <c r="BJ98" i="2"/>
  <c r="BJ99" i="2"/>
  <c r="BJ100" i="2"/>
  <c r="BJ101" i="2"/>
  <c r="BJ102" i="2"/>
  <c r="BJ103" i="2"/>
  <c r="BJ104" i="2"/>
  <c r="BJ105" i="2"/>
  <c r="BJ106" i="2"/>
  <c r="BJ107" i="2"/>
  <c r="BJ108" i="2"/>
  <c r="BJ109" i="2"/>
  <c r="BJ110" i="2"/>
  <c r="BJ111" i="2"/>
  <c r="BJ112" i="2"/>
  <c r="BJ113" i="2"/>
  <c r="BJ114" i="2"/>
  <c r="BJ115" i="2"/>
  <c r="BJ116" i="2"/>
  <c r="BJ117" i="2"/>
  <c r="BJ118" i="2"/>
  <c r="BJ119" i="2"/>
  <c r="BJ120" i="2"/>
  <c r="BJ121" i="2"/>
  <c r="BJ122" i="2"/>
  <c r="BJ123" i="2"/>
  <c r="BJ124" i="2"/>
  <c r="BJ125" i="2"/>
  <c r="BJ126" i="2"/>
  <c r="BJ127" i="2"/>
  <c r="BJ128" i="2"/>
  <c r="BJ129" i="2"/>
  <c r="BJ130" i="2"/>
  <c r="BJ131" i="2"/>
  <c r="BJ132" i="2"/>
  <c r="BJ133" i="2"/>
  <c r="BJ134" i="2"/>
  <c r="BJ135" i="2"/>
  <c r="BJ136" i="2"/>
  <c r="BJ137" i="2"/>
  <c r="BJ138" i="2"/>
  <c r="BJ139" i="2"/>
  <c r="BJ140" i="2"/>
  <c r="BJ141" i="2"/>
  <c r="BI3" i="2"/>
  <c r="BI4" i="2"/>
  <c r="BI5" i="2"/>
  <c r="BI6" i="2"/>
  <c r="BI7" i="2"/>
  <c r="BI8" i="2"/>
  <c r="BI9" i="2"/>
  <c r="BI10" i="2"/>
  <c r="BI11" i="2"/>
  <c r="BI12" i="2"/>
  <c r="BI13" i="2"/>
  <c r="BI14" i="2"/>
  <c r="BI15" i="2"/>
  <c r="BI16" i="2"/>
  <c r="BI17" i="2"/>
  <c r="BI18" i="2"/>
  <c r="BI19" i="2"/>
  <c r="BI20" i="2"/>
  <c r="BI21" i="2"/>
  <c r="BI22" i="2"/>
  <c r="BI23" i="2"/>
  <c r="BI24" i="2"/>
  <c r="BI25" i="2"/>
  <c r="BI26" i="2"/>
  <c r="BI27" i="2"/>
  <c r="BI28" i="2"/>
  <c r="BI29" i="2"/>
  <c r="BI30" i="2"/>
  <c r="BI31" i="2"/>
  <c r="BI32" i="2"/>
  <c r="BI33" i="2"/>
  <c r="BI34" i="2"/>
  <c r="BI35" i="2"/>
  <c r="BI36" i="2"/>
  <c r="BI37" i="2"/>
  <c r="BI38" i="2"/>
  <c r="BI39" i="2"/>
  <c r="BI40" i="2"/>
  <c r="BI41" i="2"/>
  <c r="BI42" i="2"/>
  <c r="BI43" i="2"/>
  <c r="BI44" i="2"/>
  <c r="BI45" i="2"/>
  <c r="BI46" i="2"/>
  <c r="BI47" i="2"/>
  <c r="BI48" i="2"/>
  <c r="BI49" i="2"/>
  <c r="BI50" i="2"/>
  <c r="BI51" i="2"/>
  <c r="BI52" i="2"/>
  <c r="BI53" i="2"/>
  <c r="BI54" i="2"/>
  <c r="BI55" i="2"/>
  <c r="BI56" i="2"/>
  <c r="BI57" i="2"/>
  <c r="BI58" i="2"/>
  <c r="BI59" i="2"/>
  <c r="BI60" i="2"/>
  <c r="BI61" i="2"/>
  <c r="BI62" i="2"/>
  <c r="BI63" i="2"/>
  <c r="BI64" i="2"/>
  <c r="BI65" i="2"/>
  <c r="BI66" i="2"/>
  <c r="BI67" i="2"/>
  <c r="BI68" i="2"/>
  <c r="BI69" i="2"/>
  <c r="BI70" i="2"/>
  <c r="BI71" i="2"/>
  <c r="BI72" i="2"/>
  <c r="BI73" i="2"/>
  <c r="BI74" i="2"/>
  <c r="BI75" i="2"/>
  <c r="BI76" i="2"/>
  <c r="BI77" i="2"/>
  <c r="BI78" i="2"/>
  <c r="BI79" i="2"/>
  <c r="BI80" i="2"/>
  <c r="BI81" i="2"/>
  <c r="BI82" i="2"/>
  <c r="BI83" i="2"/>
  <c r="BI84" i="2"/>
  <c r="BI85" i="2"/>
  <c r="BI86" i="2"/>
  <c r="BI87" i="2"/>
  <c r="BI88" i="2"/>
  <c r="BI89" i="2"/>
  <c r="BI90" i="2"/>
  <c r="BI91" i="2"/>
  <c r="BI92" i="2"/>
  <c r="BI93" i="2"/>
  <c r="BI94" i="2"/>
  <c r="BI95" i="2"/>
  <c r="BI96" i="2"/>
  <c r="BI97" i="2"/>
  <c r="BI98" i="2"/>
  <c r="BI99" i="2"/>
  <c r="BI100" i="2"/>
  <c r="BI101" i="2"/>
  <c r="BI102" i="2"/>
  <c r="BI103" i="2"/>
  <c r="BI104" i="2"/>
  <c r="BI105" i="2"/>
  <c r="BI106" i="2"/>
  <c r="BI107" i="2"/>
  <c r="BI108" i="2"/>
  <c r="BI109" i="2"/>
  <c r="BI110" i="2"/>
  <c r="BI111" i="2"/>
  <c r="BI112" i="2"/>
  <c r="BI113" i="2"/>
  <c r="BI114" i="2"/>
  <c r="BI115" i="2"/>
  <c r="BI116" i="2"/>
  <c r="BI117" i="2"/>
  <c r="BI118" i="2"/>
  <c r="BI119" i="2"/>
  <c r="BI120" i="2"/>
  <c r="BI121" i="2"/>
  <c r="BI122" i="2"/>
  <c r="BI123" i="2"/>
  <c r="BI124" i="2"/>
  <c r="BI125" i="2"/>
  <c r="BI126" i="2"/>
  <c r="BI127" i="2"/>
  <c r="BI128" i="2"/>
  <c r="BI129" i="2"/>
  <c r="BI130" i="2"/>
  <c r="BI131" i="2"/>
  <c r="BI132" i="2"/>
  <c r="BI133" i="2"/>
  <c r="BI134" i="2"/>
  <c r="BI135" i="2"/>
  <c r="BI136" i="2"/>
  <c r="BI137" i="2"/>
  <c r="BI138" i="2"/>
  <c r="BI139" i="2"/>
  <c r="BI140" i="2"/>
  <c r="BI141" i="2"/>
  <c r="BH3" i="2"/>
  <c r="BH4" i="2"/>
  <c r="BH5" i="2"/>
  <c r="BH6" i="2"/>
  <c r="BH7" i="2"/>
  <c r="BH8" i="2"/>
  <c r="BH9" i="2"/>
  <c r="BH10" i="2"/>
  <c r="BH11" i="2"/>
  <c r="BH12" i="2"/>
  <c r="BH13" i="2"/>
  <c r="BH14" i="2"/>
  <c r="BH15" i="2"/>
  <c r="BH16" i="2"/>
  <c r="BH17" i="2"/>
  <c r="BH18" i="2"/>
  <c r="BH19" i="2"/>
  <c r="BH20" i="2"/>
  <c r="BH21" i="2"/>
  <c r="BH22" i="2"/>
  <c r="BH23" i="2"/>
  <c r="BH24" i="2"/>
  <c r="BH25" i="2"/>
  <c r="BH26" i="2"/>
  <c r="BH27" i="2"/>
  <c r="BH28" i="2"/>
  <c r="BH29" i="2"/>
  <c r="BH30" i="2"/>
  <c r="BH31" i="2"/>
  <c r="BH32" i="2"/>
  <c r="BH33" i="2"/>
  <c r="BH34" i="2"/>
  <c r="BH35" i="2"/>
  <c r="BH36" i="2"/>
  <c r="BH37" i="2"/>
  <c r="BH38" i="2"/>
  <c r="BH39" i="2"/>
  <c r="BH40" i="2"/>
  <c r="BH41" i="2"/>
  <c r="BH42" i="2"/>
  <c r="BH43" i="2"/>
  <c r="BH44" i="2"/>
  <c r="BH45" i="2"/>
  <c r="BH46" i="2"/>
  <c r="BH47" i="2"/>
  <c r="BH48" i="2"/>
  <c r="BH49" i="2"/>
  <c r="BH50" i="2"/>
  <c r="BH51" i="2"/>
  <c r="BH52" i="2"/>
  <c r="BH53" i="2"/>
  <c r="BH54" i="2"/>
  <c r="BH55" i="2"/>
  <c r="BH56" i="2"/>
  <c r="BH57" i="2"/>
  <c r="BH58" i="2"/>
  <c r="BH59" i="2"/>
  <c r="BH60" i="2"/>
  <c r="BH61" i="2"/>
  <c r="BH62" i="2"/>
  <c r="BH63" i="2"/>
  <c r="BH64" i="2"/>
  <c r="BH65" i="2"/>
  <c r="BH66" i="2"/>
  <c r="BH67" i="2"/>
  <c r="BH68" i="2"/>
  <c r="BH69" i="2"/>
  <c r="BH70" i="2"/>
  <c r="BH71" i="2"/>
  <c r="BH72" i="2"/>
  <c r="BH73" i="2"/>
  <c r="BH74" i="2"/>
  <c r="BH75" i="2"/>
  <c r="BH76" i="2"/>
  <c r="BH77" i="2"/>
  <c r="BH78" i="2"/>
  <c r="BH79" i="2"/>
  <c r="BH80" i="2"/>
  <c r="BH81" i="2"/>
  <c r="BH82" i="2"/>
  <c r="BH83" i="2"/>
  <c r="BH84" i="2"/>
  <c r="BH85" i="2"/>
  <c r="BH86" i="2"/>
  <c r="BH87" i="2"/>
  <c r="BH88" i="2"/>
  <c r="BH89" i="2"/>
  <c r="BH90" i="2"/>
  <c r="BH91" i="2"/>
  <c r="BH92" i="2"/>
  <c r="BH93" i="2"/>
  <c r="BH94" i="2"/>
  <c r="BH95" i="2"/>
  <c r="BH96" i="2"/>
  <c r="BH97" i="2"/>
  <c r="BH98" i="2"/>
  <c r="BH99" i="2"/>
  <c r="BH100" i="2"/>
  <c r="BH101" i="2"/>
  <c r="BH102" i="2"/>
  <c r="BH103" i="2"/>
  <c r="BH104" i="2"/>
  <c r="BH105" i="2"/>
  <c r="BH106" i="2"/>
  <c r="BH107" i="2"/>
  <c r="BH108" i="2"/>
  <c r="BH109" i="2"/>
  <c r="BH110" i="2"/>
  <c r="BH111" i="2"/>
  <c r="BH112" i="2"/>
  <c r="BH113" i="2"/>
  <c r="BH114" i="2"/>
  <c r="BH115" i="2"/>
  <c r="BH116" i="2"/>
  <c r="BH117" i="2"/>
  <c r="BH118" i="2"/>
  <c r="BH119" i="2"/>
  <c r="BH120" i="2"/>
  <c r="BH121" i="2"/>
  <c r="BH122" i="2"/>
  <c r="BH123" i="2"/>
  <c r="BH124" i="2"/>
  <c r="BH125" i="2"/>
  <c r="BH126" i="2"/>
  <c r="BH127" i="2"/>
  <c r="BH128" i="2"/>
  <c r="BH129" i="2"/>
  <c r="BH130" i="2"/>
  <c r="BH131" i="2"/>
  <c r="BH132" i="2"/>
  <c r="BH133" i="2"/>
  <c r="BH134" i="2"/>
  <c r="BH135" i="2"/>
  <c r="BH136" i="2"/>
  <c r="BH137" i="2"/>
  <c r="BH138" i="2"/>
  <c r="BH139" i="2"/>
  <c r="BH140" i="2"/>
  <c r="BH141" i="2"/>
  <c r="AQ9" i="3" a="1"/>
  <c r="AQ9" i="3" s="1"/>
  <c r="AP9" i="3" a="1"/>
  <c r="AP9" i="3" s="1"/>
  <c r="AN9" i="3" a="1"/>
  <c r="AN9" i="3" s="1"/>
  <c r="AM9" i="3" a="1"/>
  <c r="AM9" i="3" s="1"/>
  <c r="AK9" i="3" a="1"/>
  <c r="AK9" i="3" s="1"/>
  <c r="AJ9" i="3" a="1"/>
  <c r="AJ9" i="3" s="1"/>
  <c r="AH9" i="3" a="1"/>
  <c r="AH9" i="3" s="1"/>
  <c r="AG9" i="3" a="1"/>
  <c r="AG9" i="3" s="1"/>
  <c r="AQ8" i="3" a="1"/>
  <c r="AQ8" i="3" s="1"/>
  <c r="AP8" i="3" a="1"/>
  <c r="AP8" i="3" s="1"/>
  <c r="AN8" i="3" a="1"/>
  <c r="AN8" i="3" s="1"/>
  <c r="AM8" i="3" a="1"/>
  <c r="AM8" i="3" s="1"/>
  <c r="AK8" i="3" a="1"/>
  <c r="AK8" i="3" s="1"/>
  <c r="AJ8" i="3" a="1"/>
  <c r="AJ8" i="3" s="1"/>
  <c r="AH8" i="3" a="1"/>
  <c r="AH8" i="3" s="1"/>
  <c r="AG8" i="3" a="1"/>
  <c r="AG8" i="3" s="1"/>
  <c r="AQ7" i="3" a="1"/>
  <c r="AQ7" i="3" s="1"/>
  <c r="AP7" i="3" a="1"/>
  <c r="AP7" i="3" s="1"/>
  <c r="AN7" i="3" a="1"/>
  <c r="AN7" i="3" s="1"/>
  <c r="AM7" i="3" a="1"/>
  <c r="AM7" i="3" s="1"/>
  <c r="AK7" i="3" a="1"/>
  <c r="AK7" i="3" s="1"/>
  <c r="AJ7" i="3" a="1"/>
  <c r="AJ7" i="3" s="1"/>
  <c r="AH7" i="3" a="1"/>
  <c r="AH7" i="3" s="1"/>
  <c r="AG7" i="3" a="1"/>
  <c r="AG7" i="3" s="1"/>
  <c r="AQ6" i="3" a="1"/>
  <c r="AQ6" i="3" s="1"/>
  <c r="AP6" i="3" a="1"/>
  <c r="AP6" i="3" s="1"/>
  <c r="AN6" i="3" a="1"/>
  <c r="AN6" i="3" s="1"/>
  <c r="AM6" i="3" a="1"/>
  <c r="AM6" i="3" s="1"/>
  <c r="AK6" i="3" a="1"/>
  <c r="AK6" i="3" s="1"/>
  <c r="AJ6" i="3" a="1"/>
  <c r="AJ6" i="3" s="1"/>
  <c r="AH6" i="3" a="1"/>
  <c r="AH6" i="3" s="1"/>
  <c r="AG6" i="3" a="1"/>
  <c r="AG6" i="3" s="1"/>
  <c r="AQ5" i="3" a="1"/>
  <c r="AQ5" i="3" s="1"/>
  <c r="AP5" i="3" a="1"/>
  <c r="AP5" i="3" s="1"/>
  <c r="AN5" i="3" a="1"/>
  <c r="AN5" i="3" s="1"/>
  <c r="AM5" i="3" a="1"/>
  <c r="AM5" i="3" s="1"/>
  <c r="AK5" i="3" a="1"/>
  <c r="AK5" i="3" s="1"/>
  <c r="AJ5" i="3" a="1"/>
  <c r="AJ5" i="3" s="1"/>
  <c r="AH5" i="3" a="1"/>
  <c r="AH5" i="3" s="1"/>
  <c r="AG5" i="3" a="1"/>
  <c r="AG5" i="3" s="1"/>
  <c r="AD9" i="3" a="1"/>
  <c r="AD9" i="3" s="1"/>
  <c r="AC9" i="3" a="1"/>
  <c r="AC9" i="3" s="1"/>
  <c r="AD8" i="3" a="1"/>
  <c r="AD8" i="3" s="1"/>
  <c r="AC8" i="3" a="1"/>
  <c r="AC8" i="3" s="1"/>
  <c r="AD7" i="3" a="1"/>
  <c r="AD7" i="3" s="1"/>
  <c r="AC7" i="3" a="1"/>
  <c r="AC7" i="3" s="1"/>
  <c r="AD6" i="3" a="1"/>
  <c r="AD6" i="3" s="1"/>
  <c r="AC6" i="3" a="1"/>
  <c r="AC6" i="3" s="1"/>
  <c r="AD5" i="3" a="1"/>
  <c r="AD5" i="3" s="1"/>
  <c r="AC5" i="3" a="1"/>
  <c r="AC5" i="3" s="1"/>
  <c r="AA9" i="3" a="1"/>
  <c r="AA9" i="3" s="1"/>
  <c r="Z9" i="3" a="1"/>
  <c r="Z9" i="3" s="1"/>
  <c r="AA8" i="3" a="1"/>
  <c r="AA8" i="3" s="1"/>
  <c r="Z8" i="3" a="1"/>
  <c r="Z8" i="3" s="1"/>
  <c r="AA7" i="3" a="1"/>
  <c r="AA7" i="3" s="1"/>
  <c r="Z7" i="3" a="1"/>
  <c r="Z7" i="3" s="1"/>
  <c r="AA6" i="3" a="1"/>
  <c r="AA6" i="3" s="1"/>
  <c r="Z6" i="3" a="1"/>
  <c r="Z6" i="3" s="1"/>
  <c r="AA5" i="3" a="1"/>
  <c r="AA5" i="3" s="1"/>
  <c r="Z5" i="3" a="1"/>
  <c r="Z5" i="3" s="1"/>
  <c r="X9" i="3" a="1"/>
  <c r="X9" i="3" s="1"/>
  <c r="W9" i="3" a="1"/>
  <c r="W9" i="3" s="1"/>
  <c r="X8" i="3" a="1"/>
  <c r="X8" i="3" s="1"/>
  <c r="W8" i="3" a="1"/>
  <c r="W8" i="3" s="1"/>
  <c r="X7" i="3" a="1"/>
  <c r="X7" i="3" s="1"/>
  <c r="W7" i="3" a="1"/>
  <c r="W7" i="3" s="1"/>
  <c r="X6" i="3" a="1"/>
  <c r="X6" i="3" s="1"/>
  <c r="W6" i="3" a="1"/>
  <c r="W6" i="3" s="1"/>
  <c r="X5" i="3" a="1"/>
  <c r="X5" i="3" s="1"/>
  <c r="W5" i="3" a="1"/>
  <c r="W5" i="3" s="1"/>
  <c r="U9" i="3" a="1"/>
  <c r="U9" i="3" s="1"/>
  <c r="T9" i="3" a="1"/>
  <c r="T9" i="3" s="1"/>
  <c r="U8" i="3" a="1"/>
  <c r="U8" i="3" s="1"/>
  <c r="T8" i="3" a="1"/>
  <c r="T8" i="3" s="1"/>
  <c r="U7" i="3" a="1"/>
  <c r="U7" i="3" s="1"/>
  <c r="T7" i="3" a="1"/>
  <c r="T7" i="3" s="1"/>
  <c r="U6" i="3" a="1"/>
  <c r="U6" i="3" s="1"/>
  <c r="T6" i="3" a="1"/>
  <c r="T6" i="3" s="1"/>
  <c r="U5" i="3" a="1"/>
  <c r="U5" i="3" s="1"/>
  <c r="T5" i="3" a="1"/>
  <c r="T5" i="3" s="1"/>
  <c r="Q9" i="3" a="1"/>
  <c r="Q9" i="3" s="1"/>
  <c r="P9" i="3" a="1"/>
  <c r="P9" i="3" s="1"/>
  <c r="Q8" i="3" a="1"/>
  <c r="Q8" i="3" s="1"/>
  <c r="P8" i="3" a="1"/>
  <c r="P8" i="3" s="1"/>
  <c r="Q7" i="3" a="1"/>
  <c r="Q7" i="3" s="1"/>
  <c r="P7" i="3" a="1"/>
  <c r="P7" i="3" s="1"/>
  <c r="Q6" i="3" a="1"/>
  <c r="Q6" i="3" s="1"/>
  <c r="P6" i="3" a="1"/>
  <c r="P6" i="3" s="1"/>
  <c r="Q5" i="3" a="1"/>
  <c r="Q5" i="3" s="1"/>
  <c r="P5" i="3" a="1"/>
  <c r="P5" i="3" s="1"/>
  <c r="M4" i="3" a="1"/>
  <c r="L4" i="3" a="1"/>
  <c r="K4" i="3" a="1"/>
  <c r="H4" i="3" a="1"/>
  <c r="G4" i="3" a="1"/>
  <c r="BS159" i="2" l="1"/>
  <c r="BS160" i="2"/>
  <c r="BS161" i="2"/>
  <c r="BS162" i="2"/>
  <c r="BS163" i="2"/>
  <c r="BS164" i="2"/>
  <c r="BS165" i="2"/>
  <c r="BS151" i="2"/>
  <c r="BS152" i="2"/>
  <c r="BS154" i="2"/>
  <c r="BS155" i="2"/>
  <c r="BS156" i="2"/>
  <c r="BS150" i="2"/>
  <c r="BS153" i="2"/>
  <c r="BS27" i="2"/>
  <c r="BR157" i="2"/>
  <c r="BQ160" i="2"/>
  <c r="BQ161" i="2"/>
  <c r="BQ162" i="2"/>
  <c r="BQ163" i="2"/>
  <c r="BQ164" i="2"/>
  <c r="BQ165" i="2"/>
  <c r="BR158" i="2"/>
  <c r="BR159" i="2"/>
  <c r="BR160" i="2"/>
  <c r="BR161" i="2"/>
  <c r="BR162" i="2"/>
  <c r="BR163" i="2"/>
  <c r="BR164" i="2"/>
  <c r="BR165" i="2"/>
  <c r="BQ159" i="2"/>
  <c r="BR150" i="2"/>
  <c r="BR151" i="2"/>
  <c r="BR152" i="2"/>
  <c r="BR153" i="2"/>
  <c r="BR154" i="2"/>
  <c r="BR155" i="2"/>
  <c r="BR156" i="2"/>
  <c r="BR168" i="2"/>
  <c r="BR169" i="2"/>
  <c r="BR170" i="2"/>
  <c r="BR171" i="2"/>
  <c r="BR172" i="2"/>
  <c r="BR173" i="2"/>
  <c r="BR174" i="2"/>
  <c r="BR175" i="2"/>
  <c r="BR176" i="2"/>
  <c r="BR177" i="2"/>
  <c r="BS166" i="2"/>
  <c r="BQ150" i="2"/>
  <c r="BQ151" i="2"/>
  <c r="BQ152" i="2"/>
  <c r="BQ153" i="2"/>
  <c r="BQ154" i="2"/>
  <c r="BQ155" i="2"/>
  <c r="BQ156" i="2"/>
  <c r="BQ157" i="2"/>
  <c r="BQ158" i="2"/>
  <c r="BS167" i="2"/>
  <c r="BS168" i="2"/>
  <c r="BS169" i="2"/>
  <c r="BS170" i="2"/>
  <c r="BS171" i="2"/>
  <c r="BS172" i="2"/>
  <c r="BS173" i="2"/>
  <c r="BS174" i="2"/>
  <c r="BS175" i="2"/>
  <c r="BS176" i="2"/>
  <c r="BS177" i="2"/>
  <c r="BQ148" i="2"/>
  <c r="BQ149" i="2"/>
  <c r="BR142" i="2"/>
  <c r="BR143" i="2"/>
  <c r="BR144" i="2"/>
  <c r="BR145" i="2"/>
  <c r="BR146" i="2"/>
  <c r="BR147" i="2"/>
  <c r="BR148" i="2"/>
  <c r="BR149" i="2"/>
  <c r="BQ143" i="2"/>
  <c r="BQ144" i="2"/>
  <c r="BQ145" i="2"/>
  <c r="BQ146" i="2"/>
  <c r="BQ147" i="2"/>
  <c r="BS142" i="2"/>
  <c r="BS143" i="2"/>
  <c r="BS144" i="2"/>
  <c r="BS145" i="2"/>
  <c r="BS146" i="2"/>
  <c r="BS147" i="2"/>
  <c r="BS148" i="2"/>
  <c r="BS149" i="2"/>
  <c r="BQ142" i="2"/>
  <c r="H4" i="3"/>
  <c r="L4" i="3"/>
  <c r="BS92" i="2"/>
  <c r="BS93" i="2"/>
  <c r="BS94" i="2"/>
  <c r="BS95" i="2"/>
  <c r="BS96" i="2"/>
  <c r="BS97" i="2"/>
  <c r="BS98" i="2"/>
  <c r="BS99" i="2"/>
  <c r="BS100" i="2"/>
  <c r="BS101" i="2"/>
  <c r="BS102" i="2"/>
  <c r="BS117" i="2"/>
  <c r="BS118" i="2"/>
  <c r="BQ17" i="2"/>
  <c r="BQ18" i="2"/>
  <c r="BQ19" i="2"/>
  <c r="BQ20" i="2"/>
  <c r="BQ21" i="2"/>
  <c r="BS4" i="2"/>
  <c r="BS5" i="2"/>
  <c r="BS6" i="2"/>
  <c r="BS13" i="2"/>
  <c r="BS14" i="2"/>
  <c r="BS15" i="2"/>
  <c r="BS16" i="2"/>
  <c r="BS17" i="2"/>
  <c r="BS18" i="2"/>
  <c r="BS19" i="2"/>
  <c r="BS20" i="2"/>
  <c r="BS21" i="2"/>
  <c r="BS22" i="2"/>
  <c r="BS23" i="2"/>
  <c r="BS24" i="2"/>
  <c r="BS25" i="2"/>
  <c r="BS26" i="2"/>
  <c r="BS32" i="2"/>
  <c r="BS33" i="2"/>
  <c r="BS34" i="2"/>
  <c r="BS35" i="2"/>
  <c r="BS36" i="2"/>
  <c r="BS37" i="2"/>
  <c r="BS38" i="2"/>
  <c r="BS39" i="2"/>
  <c r="BS40" i="2"/>
  <c r="BS41" i="2"/>
  <c r="BQ8" i="2"/>
  <c r="BQ9" i="2"/>
  <c r="BQ10" i="2"/>
  <c r="BQ11" i="2"/>
  <c r="BQ12" i="2"/>
  <c r="BQ13" i="2"/>
  <c r="BQ5" i="2"/>
  <c r="BQ6" i="2"/>
  <c r="BQ7" i="2"/>
  <c r="BQ14" i="2"/>
  <c r="BQ15" i="2"/>
  <c r="BQ16" i="2"/>
  <c r="BQ22" i="2"/>
  <c r="BQ23" i="2"/>
  <c r="BQ24" i="2"/>
  <c r="BQ25" i="2"/>
  <c r="BQ26" i="2"/>
  <c r="BQ27" i="2"/>
  <c r="BQ28" i="2"/>
  <c r="BQ29" i="2"/>
  <c r="BQ30" i="2"/>
  <c r="BQ31" i="2"/>
  <c r="BQ32" i="2"/>
  <c r="BQ33" i="2"/>
  <c r="BQ34" i="2"/>
  <c r="BQ35" i="2"/>
  <c r="BQ36" i="2"/>
  <c r="BQ37" i="2"/>
  <c r="BQ38" i="2"/>
  <c r="BQ39" i="2"/>
  <c r="BQ40" i="2"/>
  <c r="BQ41" i="2"/>
  <c r="BQ42" i="2"/>
  <c r="BQ43" i="2"/>
  <c r="BQ44" i="2"/>
  <c r="BQ45" i="2"/>
  <c r="BQ46" i="2"/>
  <c r="BQ47" i="2"/>
  <c r="BR36" i="2"/>
  <c r="BR37" i="2"/>
  <c r="BR38" i="2"/>
  <c r="BS7" i="2"/>
  <c r="BS8" i="2"/>
  <c r="BS9" i="2"/>
  <c r="BS12" i="2"/>
  <c r="BS103" i="2"/>
  <c r="BS104" i="2"/>
  <c r="BS105" i="2"/>
  <c r="BS106" i="2"/>
  <c r="BS107" i="2"/>
  <c r="BS108" i="2"/>
  <c r="BS109" i="2"/>
  <c r="BS110" i="2"/>
  <c r="BS111" i="2"/>
  <c r="BS112" i="2"/>
  <c r="BS113" i="2"/>
  <c r="BS114" i="2"/>
  <c r="BS115" i="2"/>
  <c r="BS116" i="2"/>
  <c r="BQ48" i="2"/>
  <c r="BQ49" i="2"/>
  <c r="BQ50" i="2"/>
  <c r="BQ51" i="2"/>
  <c r="BQ52" i="2"/>
  <c r="BS10" i="2"/>
  <c r="BS11" i="2"/>
  <c r="BQ53" i="2"/>
  <c r="BQ54" i="2"/>
  <c r="BQ55" i="2"/>
  <c r="BQ56" i="2"/>
  <c r="BQ57" i="2"/>
  <c r="BQ124" i="2"/>
  <c r="BQ125" i="2"/>
  <c r="BQ126" i="2"/>
  <c r="BQ127" i="2"/>
  <c r="BQ128" i="2"/>
  <c r="BQ129" i="2"/>
  <c r="BQ130" i="2"/>
  <c r="BQ131" i="2"/>
  <c r="BQ132" i="2"/>
  <c r="BQ133" i="2"/>
  <c r="BQ134" i="2"/>
  <c r="BQ135" i="2"/>
  <c r="BQ136" i="2"/>
  <c r="BQ137" i="2"/>
  <c r="BQ138" i="2"/>
  <c r="BQ139" i="2"/>
  <c r="BQ140" i="2"/>
  <c r="BQ141" i="2"/>
  <c r="BQ3" i="2"/>
  <c r="BQ58" i="2"/>
  <c r="BQ59" i="2"/>
  <c r="BQ60" i="2"/>
  <c r="BQ61" i="2"/>
  <c r="BQ62" i="2"/>
  <c r="BQ63" i="2"/>
  <c r="BQ64" i="2"/>
  <c r="BQ65" i="2"/>
  <c r="BQ66" i="2"/>
  <c r="BQ67" i="2"/>
  <c r="BQ68" i="2"/>
  <c r="BQ69" i="2"/>
  <c r="BQ70" i="2"/>
  <c r="BQ71" i="2"/>
  <c r="BQ72" i="2"/>
  <c r="BR140" i="2"/>
  <c r="BR141" i="2"/>
  <c r="BR3" i="2"/>
  <c r="BS119" i="2"/>
  <c r="BS120" i="2"/>
  <c r="BR62" i="2"/>
  <c r="BR63" i="2"/>
  <c r="BR64" i="2"/>
  <c r="BR65" i="2"/>
  <c r="BR66" i="2"/>
  <c r="BR91" i="2"/>
  <c r="BR92" i="2"/>
  <c r="BR93" i="2"/>
  <c r="BR94" i="2"/>
  <c r="BR95" i="2"/>
  <c r="BR96" i="2"/>
  <c r="BR97" i="2"/>
  <c r="BR98" i="2"/>
  <c r="BR99" i="2"/>
  <c r="BR100" i="2"/>
  <c r="BR101" i="2"/>
  <c r="BR102" i="2"/>
  <c r="BR103" i="2"/>
  <c r="BR104" i="2"/>
  <c r="BR105" i="2"/>
  <c r="BR106" i="2"/>
  <c r="BR107" i="2"/>
  <c r="BR108" i="2"/>
  <c r="BR109" i="2"/>
  <c r="BR110" i="2"/>
  <c r="BR111" i="2"/>
  <c r="BR112" i="2"/>
  <c r="BR113" i="2"/>
  <c r="BR114" i="2"/>
  <c r="BR115" i="2"/>
  <c r="BR116" i="2"/>
  <c r="BR117" i="2"/>
  <c r="BR118" i="2"/>
  <c r="BR119" i="2"/>
  <c r="BR120" i="2"/>
  <c r="BR121" i="2"/>
  <c r="BR122" i="2"/>
  <c r="BR123" i="2"/>
  <c r="BR124" i="2"/>
  <c r="BR125" i="2"/>
  <c r="BR126" i="2"/>
  <c r="BR127" i="2"/>
  <c r="BR135" i="2"/>
  <c r="BR136" i="2"/>
  <c r="BR137" i="2"/>
  <c r="BR138" i="2"/>
  <c r="BR139" i="2"/>
  <c r="BR24" i="2"/>
  <c r="BR25" i="2"/>
  <c r="BR26" i="2"/>
  <c r="BR27" i="2"/>
  <c r="BR28" i="2"/>
  <c r="BR29" i="2"/>
  <c r="BR30" i="2"/>
  <c r="BR31" i="2"/>
  <c r="BR32" i="2"/>
  <c r="BR33" i="2"/>
  <c r="BR34" i="2"/>
  <c r="BR35" i="2"/>
  <c r="BR67" i="2"/>
  <c r="BR68" i="2"/>
  <c r="BR69" i="2"/>
  <c r="BR70" i="2"/>
  <c r="BR71" i="2"/>
  <c r="BR72" i="2"/>
  <c r="BR73" i="2"/>
  <c r="BR74" i="2"/>
  <c r="BR75" i="2"/>
  <c r="BR76" i="2"/>
  <c r="BR77" i="2"/>
  <c r="BR78" i="2"/>
  <c r="BR79" i="2"/>
  <c r="BR80" i="2"/>
  <c r="BR81" i="2"/>
  <c r="BR82" i="2"/>
  <c r="BR83" i="2"/>
  <c r="BR84" i="2"/>
  <c r="BR85" i="2"/>
  <c r="BR86" i="2"/>
  <c r="BR87" i="2"/>
  <c r="BR88" i="2"/>
  <c r="BR89" i="2"/>
  <c r="BR90" i="2"/>
  <c r="BS42" i="2"/>
  <c r="BS43" i="2"/>
  <c r="BS44" i="2"/>
  <c r="BS45" i="2"/>
  <c r="BS46" i="2"/>
  <c r="BS47" i="2"/>
  <c r="BS48" i="2"/>
  <c r="BS49" i="2"/>
  <c r="BS50" i="2"/>
  <c r="BS51" i="2"/>
  <c r="BS52" i="2"/>
  <c r="BS53" i="2"/>
  <c r="BS54" i="2"/>
  <c r="BS55" i="2"/>
  <c r="BS56" i="2"/>
  <c r="BS57" i="2"/>
  <c r="BS58" i="2"/>
  <c r="BS59" i="2"/>
  <c r="BS60" i="2"/>
  <c r="BS61" i="2"/>
  <c r="BS62" i="2"/>
  <c r="BS63" i="2"/>
  <c r="BS64" i="2"/>
  <c r="BS65" i="2"/>
  <c r="BS66" i="2"/>
  <c r="BS67" i="2"/>
  <c r="BS68" i="2"/>
  <c r="BS69" i="2"/>
  <c r="BS70" i="2"/>
  <c r="BS71" i="2"/>
  <c r="BS72" i="2"/>
  <c r="BS73" i="2"/>
  <c r="BS74" i="2"/>
  <c r="BS75" i="2"/>
  <c r="BS76" i="2"/>
  <c r="BS77" i="2"/>
  <c r="BS78" i="2"/>
  <c r="BS79" i="2"/>
  <c r="BS80" i="2"/>
  <c r="BS81" i="2"/>
  <c r="BS82" i="2"/>
  <c r="BS83" i="2"/>
  <c r="BS84" i="2"/>
  <c r="BS85" i="2"/>
  <c r="BS86" i="2"/>
  <c r="BS87" i="2"/>
  <c r="BS88" i="2"/>
  <c r="BS89" i="2"/>
  <c r="BS90" i="2"/>
  <c r="BS91" i="2"/>
  <c r="BS121" i="2"/>
  <c r="BS122" i="2"/>
  <c r="BS123" i="2"/>
  <c r="BS124" i="2"/>
  <c r="BS125" i="2"/>
  <c r="BS126" i="2"/>
  <c r="BS127" i="2"/>
  <c r="BS128" i="2"/>
  <c r="BS129" i="2"/>
  <c r="BS130" i="2"/>
  <c r="BS135" i="2"/>
  <c r="BS136" i="2"/>
  <c r="BS137" i="2"/>
  <c r="BS138" i="2"/>
  <c r="BS139" i="2"/>
  <c r="BS140" i="2"/>
  <c r="BS141" i="2"/>
  <c r="BS3" i="2"/>
  <c r="BQ4" i="2"/>
  <c r="BQ73" i="2"/>
  <c r="BQ74" i="2"/>
  <c r="BQ75" i="2"/>
  <c r="BQ76" i="2"/>
  <c r="BQ77" i="2"/>
  <c r="BQ78" i="2"/>
  <c r="BQ79" i="2"/>
  <c r="BQ80" i="2"/>
  <c r="BQ81" i="2"/>
  <c r="BQ82" i="2"/>
  <c r="BQ83" i="2"/>
  <c r="BQ84" i="2"/>
  <c r="BR5" i="2"/>
  <c r="BR6" i="2"/>
  <c r="BR7" i="2"/>
  <c r="BR8" i="2"/>
  <c r="BR9" i="2"/>
  <c r="BR10" i="2"/>
  <c r="BR11" i="2"/>
  <c r="BR12" i="2"/>
  <c r="BR13" i="2"/>
  <c r="BR14" i="2"/>
  <c r="BR15" i="2"/>
  <c r="BR16" i="2"/>
  <c r="BR17" i="2"/>
  <c r="BR18" i="2"/>
  <c r="BR19" i="2"/>
  <c r="BR20" i="2"/>
  <c r="BR21" i="2"/>
  <c r="BR22" i="2"/>
  <c r="BR23" i="2"/>
  <c r="BR50" i="2"/>
  <c r="BR51" i="2"/>
  <c r="BR52" i="2"/>
  <c r="BR53" i="2"/>
  <c r="BR54" i="2"/>
  <c r="BR55" i="2"/>
  <c r="BR56" i="2"/>
  <c r="BR57" i="2"/>
  <c r="BR58" i="2"/>
  <c r="BR59" i="2"/>
  <c r="BR60" i="2"/>
  <c r="BR61" i="2"/>
  <c r="BR128" i="2"/>
  <c r="BR129" i="2"/>
  <c r="BR130" i="2"/>
  <c r="BR131" i="2"/>
  <c r="BR132" i="2"/>
  <c r="BR133" i="2"/>
  <c r="BR134" i="2"/>
  <c r="BS131" i="2"/>
  <c r="BS132" i="2"/>
  <c r="BS133" i="2"/>
  <c r="BS134" i="2"/>
  <c r="BQ85" i="2"/>
  <c r="BQ86" i="2"/>
  <c r="BQ87" i="2"/>
  <c r="BQ88" i="2"/>
  <c r="BQ89" i="2"/>
  <c r="BQ90" i="2"/>
  <c r="BQ91" i="2"/>
  <c r="BQ92" i="2"/>
  <c r="BQ93" i="2"/>
  <c r="BQ94" i="2"/>
  <c r="BQ95" i="2"/>
  <c r="BQ96" i="2"/>
  <c r="BQ97" i="2"/>
  <c r="BQ98" i="2"/>
  <c r="BQ99" i="2"/>
  <c r="BQ100" i="2"/>
  <c r="BQ101" i="2"/>
  <c r="BQ102" i="2"/>
  <c r="BQ103" i="2"/>
  <c r="BQ104" i="2"/>
  <c r="BQ105" i="2"/>
  <c r="BQ106" i="2"/>
  <c r="BQ107" i="2"/>
  <c r="BQ108" i="2"/>
  <c r="BQ109" i="2"/>
  <c r="BQ110" i="2"/>
  <c r="BQ111" i="2"/>
  <c r="BQ112" i="2"/>
  <c r="BQ113" i="2"/>
  <c r="BQ114" i="2"/>
  <c r="BQ115" i="2"/>
  <c r="BQ116" i="2"/>
  <c r="BQ117" i="2"/>
  <c r="BQ118" i="2"/>
  <c r="BQ119" i="2"/>
  <c r="BQ120" i="2"/>
  <c r="BQ121" i="2"/>
  <c r="BQ122" i="2"/>
  <c r="BQ123" i="2"/>
  <c r="BR4" i="2"/>
  <c r="BR39" i="2"/>
  <c r="BR40" i="2"/>
  <c r="BR41" i="2"/>
  <c r="BR42" i="2"/>
  <c r="BR43" i="2"/>
  <c r="BR44" i="2"/>
  <c r="BR45" i="2"/>
  <c r="BR46" i="2"/>
  <c r="BR47" i="2"/>
  <c r="BR48" i="2"/>
  <c r="BR49" i="2"/>
  <c r="AL9" i="3"/>
  <c r="AO9" i="3"/>
  <c r="AL7" i="3"/>
  <c r="AI5" i="3"/>
  <c r="AE9" i="3"/>
  <c r="AR5" i="3"/>
  <c r="AR9" i="3"/>
  <c r="AO8" i="3"/>
  <c r="AI9" i="3"/>
  <c r="AR8" i="3"/>
  <c r="AO6" i="3"/>
  <c r="AR6" i="3"/>
  <c r="AO7" i="3"/>
  <c r="AI6" i="3"/>
  <c r="AL6" i="3"/>
  <c r="AL8" i="3"/>
  <c r="AI8" i="3"/>
  <c r="AO5" i="3"/>
  <c r="AI7" i="3"/>
  <c r="AR7" i="3"/>
  <c r="M4" i="3"/>
  <c r="K4" i="3"/>
  <c r="AL5" i="3"/>
  <c r="AE5" i="3"/>
  <c r="AB8" i="3"/>
  <c r="Y5" i="3"/>
  <c r="AB6" i="3"/>
  <c r="Y9" i="3"/>
  <c r="V9" i="3"/>
  <c r="V8" i="3"/>
  <c r="AE6" i="3"/>
  <c r="AE7" i="3"/>
  <c r="V5" i="3"/>
  <c r="AE8" i="3"/>
  <c r="AB7" i="3"/>
  <c r="AB9" i="3"/>
  <c r="V7" i="3"/>
  <c r="AB5" i="3"/>
  <c r="Y6" i="3"/>
  <c r="Y7" i="3"/>
  <c r="Y8" i="3"/>
  <c r="V6" i="3"/>
  <c r="R5" i="3"/>
  <c r="R9" i="3"/>
  <c r="R6" i="3"/>
  <c r="R7" i="3"/>
  <c r="R8" i="3"/>
  <c r="J5" i="3"/>
  <c r="J6" i="3"/>
  <c r="J7" i="3"/>
  <c r="J8" i="3"/>
  <c r="J9" i="3"/>
  <c r="J10" i="3"/>
  <c r="J11" i="3"/>
  <c r="J13" i="3"/>
  <c r="J14" i="3"/>
  <c r="J15" i="3"/>
  <c r="J16" i="3"/>
  <c r="J17" i="3"/>
  <c r="J18" i="3"/>
  <c r="J19"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12" i="3"/>
  <c r="J20" i="3"/>
  <c r="G4" i="3"/>
  <c r="I5" i="3"/>
  <c r="I6" i="3"/>
  <c r="I7" i="3"/>
  <c r="I11" i="3"/>
  <c r="I30" i="3"/>
  <c r="I36" i="3"/>
  <c r="I40" i="3"/>
  <c r="I46" i="3"/>
  <c r="I8" i="3"/>
  <c r="I9" i="3"/>
  <c r="I10" i="3"/>
  <c r="I28" i="3"/>
  <c r="I31" i="3"/>
  <c r="I35" i="3"/>
  <c r="I37" i="3"/>
  <c r="I42" i="3"/>
  <c r="I48" i="3"/>
  <c r="I12" i="3"/>
  <c r="I13" i="3"/>
  <c r="I14" i="3"/>
  <c r="I24" i="3"/>
  <c r="I27" i="3"/>
  <c r="I33" i="3"/>
  <c r="I41" i="3"/>
  <c r="I45" i="3"/>
  <c r="I15" i="3"/>
  <c r="I16" i="3"/>
  <c r="I17" i="3"/>
  <c r="I18" i="3"/>
  <c r="I22" i="3"/>
  <c r="I25" i="3"/>
  <c r="I29" i="3"/>
  <c r="I34" i="3"/>
  <c r="I38" i="3"/>
  <c r="I43" i="3"/>
  <c r="I19" i="3"/>
  <c r="I20" i="3"/>
  <c r="I21" i="3"/>
  <c r="I23" i="3"/>
  <c r="I26" i="3"/>
  <c r="I32" i="3"/>
  <c r="I39" i="3"/>
  <c r="I44" i="3"/>
  <c r="I47" i="3"/>
  <c r="I4" i="3" l="1"/>
  <c r="J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tc={C8C4571C-2E73-43B9-A875-393F305C248A}</author>
  </authors>
  <commentList>
    <comment ref="B80" authorId="0" shapeId="0" xr:uid="{C8C4571C-2E73-43B9-A875-393F305C248A}">
      <text>
        <t>[Threaded comment]
Your version of Excel allows you to read this threaded comment; however, any edits to it will get removed if the file is opened in a newer version of Excel. Learn more: https://go.microsoft.com/fwlink/?linkid=870924
Comment:
    This run had hanged on the HCP. Unfortunately, we don’t know what seed was used as the input seed was “Random”.
I ran it again on my laptop (again with “Random” seed) and got these results.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tc={D699D116-46C8-4051-8DED-C7C5EB9509AF}</author>
  </authors>
  <commentList>
    <comment ref="G2" authorId="0" shapeId="0" xr:uid="{D699D116-46C8-4051-8DED-C7C5EB9509AF}">
      <text>
        <t>[Threaded comment]
Your version of Excel allows you to read this threaded comment; however, any edits to it will get removed if the file is opened in a newer version of Excel. Learn more: https://go.microsoft.com/fwlink/?linkid=870924
Comment:
    CER method has greater disjunctive power than Combo in all considered scenarios.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<sst xmlns="http://schemas.openxmlformats.org/spreadsheetml/2006/main" count="11272" uniqueCount="1267">
  <si>
    <t>ModelID</t>
  </si>
  <si>
    <t>Scenario</t>
  </si>
  <si>
    <t>Method</t>
  </si>
  <si>
    <t>SampleSize</t>
  </si>
  <si>
    <t>alpha</t>
  </si>
  <si>
    <t>TestStatCont</t>
  </si>
  <si>
    <t>CommonStdDev</t>
  </si>
  <si>
    <t>TestStatBin</t>
  </si>
  <si>
    <t>FWERControl</t>
  </si>
  <si>
    <t>nArms</t>
  </si>
  <si>
    <t>nEps</t>
  </si>
  <si>
    <t>lEpType</t>
  </si>
  <si>
    <t>Arms.Mean</t>
  </si>
  <si>
    <t>Arms.std.dev</t>
  </si>
  <si>
    <t>Arms.Prop</t>
  </si>
  <si>
    <t>Arms.alloc.ratio</t>
  </si>
  <si>
    <t>EP.Corr</t>
  </si>
  <si>
    <t>WI</t>
  </si>
  <si>
    <t>G</t>
  </si>
  <si>
    <t>test.type</t>
  </si>
  <si>
    <t>info_frac</t>
  </si>
  <si>
    <t>typeOfDesign</t>
  </si>
  <si>
    <t>MultipleWinners</t>
  </si>
  <si>
    <t>Selection</t>
  </si>
  <si>
    <t>SelectionLook</t>
  </si>
  <si>
    <t>SelectEndPoint</t>
  </si>
  <si>
    <t>SelectionScale</t>
  </si>
  <si>
    <t>SelectionCriterion</t>
  </si>
  <si>
    <t>SelectionParmeter</t>
  </si>
  <si>
    <t>KeepAssosiatedEps</t>
  </si>
  <si>
    <t>ImplicitSSR</t>
  </si>
  <si>
    <t>nSimulation</t>
  </si>
  <si>
    <t>nSimulation_Stage2</t>
  </si>
  <si>
    <t>Seed</t>
  </si>
  <si>
    <t>SummaryStat</t>
  </si>
  <si>
    <t>plotGraphs</t>
  </si>
  <si>
    <t>Parallel</t>
  </si>
  <si>
    <t>UseCC</t>
  </si>
  <si>
    <t>Matching.Pair</t>
  </si>
  <si>
    <t>Compare.Set</t>
  </si>
  <si>
    <t>No selection, Partly-Parametric</t>
  </si>
  <si>
    <t>CER</t>
  </si>
  <si>
    <t>NA</t>
  </si>
  <si>
    <t>UnPooled</t>
  </si>
  <si>
    <t>CombinationTest</t>
  </si>
  <si>
    <t>list('EP1' = 'Binary', 'EP2' = 'Binary')</t>
  </si>
  <si>
    <t>list('EP1' = c(0.4, 0.4, 0.4), 'EP2' = c(0.5, 0.5, 0.5))</t>
  </si>
  <si>
    <t>c(1,1,1)</t>
  </si>
  <si>
    <t>matrix(c(1, 0.5, 0.5, 1), nrow = nEps) # c(1)</t>
  </si>
  <si>
    <t>c(rep(1/4, 4))</t>
  </si>
  <si>
    <t>rbind(H1=c(0, 1/3, 1/3, 1/3), H2=c(1/3, 0, 1/3, 1/3), H3=c(1/3, 1/3, 0, 1/3), H4=c(1/3, 1/3, 1/3, 0))</t>
  </si>
  <si>
    <t>Partly-Parametric</t>
  </si>
  <si>
    <t>c(0.5, 1)</t>
  </si>
  <si>
    <t>asOF</t>
  </si>
  <si>
    <t>None</t>
  </si>
  <si>
    <t>Fut=0.25,N=600,MultWin=F</t>
  </si>
  <si>
    <t>pvalue</t>
  </si>
  <si>
    <t>threshold</t>
  </si>
  <si>
    <t>Fut=0.25,N=3000,MultWin=F</t>
  </si>
  <si>
    <t>Best=1,N=600,MultWin=F</t>
  </si>
  <si>
    <t>best</t>
  </si>
  <si>
    <t>Best=1,N=3000,MultWin=F</t>
  </si>
  <si>
    <t>Fut=0.25,N=3000,MultWin=T</t>
  </si>
  <si>
    <t>Best=1,N=3000,MultWin=T</t>
  </si>
  <si>
    <t>Pooled</t>
  </si>
  <si>
    <t>Fut=0.25,N=3000,Pooled</t>
  </si>
  <si>
    <t>Best=1,N=3000,Pooled</t>
  </si>
  <si>
    <t>Fut=0.25,N=3000,CumStat</t>
  </si>
  <si>
    <t>Best=1,N=3000,CumStat</t>
  </si>
  <si>
    <t>seed</t>
  </si>
  <si>
    <t>Global.Power</t>
  </si>
  <si>
    <t>Conjunctive.Power</t>
  </si>
  <si>
    <t>Disjunctive.Power</t>
  </si>
  <si>
    <t>FWER</t>
  </si>
  <si>
    <t>CI_95perc_Global.Power</t>
  </si>
  <si>
    <t>CI_95perc_Conjunctive.Power</t>
  </si>
  <si>
    <t>CI_95perc_Disjunctive.Power</t>
  </si>
  <si>
    <t>CI_95perc_FWER</t>
  </si>
  <si>
    <t>StagewiseRejection_Count</t>
  </si>
  <si>
    <t>StagewiseRejection_Percentage</t>
  </si>
  <si>
    <t>HoursTaken</t>
  </si>
  <si>
    <t>Input</t>
  </si>
  <si>
    <t>(0.02496,0.02679)</t>
  </si>
  <si>
    <t>(0,0)</t>
  </si>
  <si>
    <t>0.0019,0.0239</t>
  </si>
  <si>
    <t>&gt;&gt;&gt;</t>
  </si>
  <si>
    <t>(0.02372,0.02554)</t>
  </si>
  <si>
    <t>0.00205,0.02085</t>
  </si>
  <si>
    <t>(0.02396,0.02578)</t>
  </si>
  <si>
    <t>0.002,0.0233</t>
  </si>
  <si>
    <t>(0.02359,0.02531)</t>
  </si>
  <si>
    <t>0.00155,0.0243</t>
  </si>
  <si>
    <t>(0.01822,0.01991)</t>
  </si>
  <si>
    <t>0.0016,0.01585</t>
  </si>
  <si>
    <t>(0.01819,0.01985)</t>
  </si>
  <si>
    <t>0.00145,0.01525</t>
  </si>
  <si>
    <t>(0.02125,0.02292)</t>
  </si>
  <si>
    <t>0.0016,0.0188</t>
  </si>
  <si>
    <t>(0.02128,0.02293)</t>
  </si>
  <si>
    <t>0.00145,0.0187</t>
  </si>
  <si>
    <t>(0.02412,0.02592)</t>
  </si>
  <si>
    <t>0.00185,0.02235</t>
  </si>
  <si>
    <t>(0.01854,0.02029)</t>
  </si>
  <si>
    <t>0.00185,0.01715</t>
  </si>
  <si>
    <t>(0.02135,0.02307)</t>
  </si>
  <si>
    <t>0.00185,0.0199</t>
  </si>
  <si>
    <t>(0.0233,0.02505)</t>
  </si>
  <si>
    <t>0.0017,0.0216</t>
  </si>
  <si>
    <t>(0.01808,0.01978)</t>
  </si>
  <si>
    <t>0.0017,0.01675</t>
  </si>
  <si>
    <t>(0.02091,0.02259)</t>
  </si>
  <si>
    <t>0.0017,0.0196</t>
  </si>
  <si>
    <t>(0.02411,0.02591)</t>
  </si>
  <si>
    <t>0.00185,0.0222</t>
  </si>
  <si>
    <t>(0.01857,0.02031)</t>
  </si>
  <si>
    <t>0.00185,0.0171</t>
  </si>
  <si>
    <t>0.00185,0.01995</t>
  </si>
  <si>
    <t>CombPValue</t>
  </si>
  <si>
    <t>list(EP1 = "Binary", EP2 = "Binary")</t>
  </si>
  <si>
    <t>list(EP1 = c(0.22, 0.22, 0.22, 0.22, 0.22), EP2 = c(0.1, 0.1, 0.1, 0.1, 0.1))</t>
  </si>
  <si>
    <t>matrix(c(1, 0.5, 0.5, 1), byrow = T, nrow = 2)</t>
  </si>
  <si>
    <t>Random</t>
  </si>
  <si>
    <t>c(1,1,1,1,1)</t>
  </si>
  <si>
    <t>matrix(c(1,0.5,0.5,1),nrow = 2)</t>
  </si>
  <si>
    <t>c(0.25,0.25,0.25,0.25, 0, 0, 0, 0)</t>
  </si>
  <si>
    <t>matrix(c(0,1/12,1/12,1/12,3/4,0,0,0,
              1/12,0,1/12,1/12,0,3/4,0,0,
              1/12,1/12,0,1/12,0,0,3/4,0,
              1/12,1/12,1/12,0,0,0,0,3/4,
              0,1/3,1/3,1/3,0,0,0,0,
              1/3,0,1/3,1/3,0,0,0,0,
              1/3,1/3,0,1/3,0,0,0,0,
              1/3,1/3,1/3,0,0,0,0,0),
            nrow = nEps*(nArms-1), byrow = T)</t>
  </si>
  <si>
    <t>c(1/2,1)</t>
  </si>
  <si>
    <t>list(EP1 = c(0.1, 0.1, 0.1, 0.1, 0.22), EP2 = c(0.1, 0.1, 0.1, 0.1, 0.22))</t>
  </si>
  <si>
    <t>list(EP1 = c(0.1, 0.1, 0.1, 0.22, 0.22), EP2 = c(0.1, 0.1, 0.1, 0.22, 0.22))</t>
  </si>
  <si>
    <t>list(EP1 = c(0.1, 0.1, 0.22, 0.22, 0.22), EP2 = c(0.1, 0.1, 0.22, 0.22, 0.22))</t>
  </si>
  <si>
    <t>list(EP1 = c(0.1, 0.22, 0.22, 0.22, 0.22), EP2 = c(0.1, 0.22, 0.22, 0.22, 0.22))</t>
  </si>
  <si>
    <t>S0, No Select, No CC, CPV</t>
  </si>
  <si>
    <t>S0, No Select, No CC, CER</t>
  </si>
  <si>
    <t>S1, Conservative, No CC, CPV</t>
  </si>
  <si>
    <t>S1, Normal, No CC, CPV</t>
  </si>
  <si>
    <t>S1, Aggressive, No CC, CPV</t>
  </si>
  <si>
    <t>S1, Ultra Aggressive, No CC, CPV</t>
  </si>
  <si>
    <t>S4, Conservative, No CC, CPV</t>
  </si>
  <si>
    <t>S4, Normal, No CC, CPV</t>
  </si>
  <si>
    <t>S4, Aggressive, No CC, CPV</t>
  </si>
  <si>
    <t>S4, Ultra Aggressive, No CC, CPV</t>
  </si>
  <si>
    <t>S1, Conservative, No CC, CER</t>
  </si>
  <si>
    <t>S1, Normal, No CC, CER</t>
  </si>
  <si>
    <t>S1, Aggressive, No CC, CER</t>
  </si>
  <si>
    <t>S1, Ultra Aggressive, No CC, CER</t>
  </si>
  <si>
    <t>S4, Conservative, No CC, CER</t>
  </si>
  <si>
    <t>S4, Normal, No CC, CER</t>
  </si>
  <si>
    <t>S4, Aggressive, No CC, CER</t>
  </si>
  <si>
    <t>S4, Ultra Aggressive, No CC, CER</t>
  </si>
  <si>
    <t>S4, No Select, No CC, CPV</t>
  </si>
  <si>
    <t>S4, No Select, No CC, CER</t>
  </si>
  <si>
    <t>S3, No Select, No CC, CPV</t>
  </si>
  <si>
    <t>S3, No Select, No CC, CER</t>
  </si>
  <si>
    <t>S3, Conservative, No CC, CPV</t>
  </si>
  <si>
    <t>S3, Conservative, No CC, CER</t>
  </si>
  <si>
    <t>S3, Normal, No CC, CPV</t>
  </si>
  <si>
    <t>S3, Normal, No CC, CER</t>
  </si>
  <si>
    <t>S3, Aggressive, No CC, CPV</t>
  </si>
  <si>
    <t>S3, Aggressive, No CC, CER</t>
  </si>
  <si>
    <t>S3, Ultra Aggressive, No CC, CPV</t>
  </si>
  <si>
    <t>S3, Ultra Aggressive, No CC, CER</t>
  </si>
  <si>
    <t>S2, Conservative, No CC, CPV</t>
  </si>
  <si>
    <t>S2, Conservative, No CC, CER</t>
  </si>
  <si>
    <t>S2, Normal, No CC, CPV</t>
  </si>
  <si>
    <t>S2, Normal, No CC, CER</t>
  </si>
  <si>
    <t>S2, Aggressive, No CC, CPV</t>
  </si>
  <si>
    <t>S2, Aggressive, No CC, CER</t>
  </si>
  <si>
    <t>S2, Ultra Aggressive, No CC, CPV</t>
  </si>
  <si>
    <t>S2, Ultra Aggressive, No CC, CER</t>
  </si>
  <si>
    <t>S0, Conservative, No CC, CPV</t>
  </si>
  <si>
    <t>S0, Conservative, No CC, CER</t>
  </si>
  <si>
    <t>S0, Normal, No CC, CPV</t>
  </si>
  <si>
    <t>S0, Normal, No CC, CER</t>
  </si>
  <si>
    <t>S0, Aggressive, No CC, CPV</t>
  </si>
  <si>
    <t>S0, Aggressive, No CC, CER</t>
  </si>
  <si>
    <t>S0, Ultra Aggressive, No CC, CPV</t>
  </si>
  <si>
    <t>S0, Ultra Aggressive, No CC, CER</t>
  </si>
  <si>
    <t>S2, No Select, No CC, CPV</t>
  </si>
  <si>
    <t>S2, No Select, No CC, CER</t>
  </si>
  <si>
    <t>S1, No Select, No CC, CPV</t>
  </si>
  <si>
    <t>S1, No Select, No CC, CER</t>
  </si>
  <si>
    <t>(0.00778,0.01042)</t>
  </si>
  <si>
    <t>0.0012,0.0079</t>
  </si>
  <si>
    <t>(0.02183,0.02349)</t>
  </si>
  <si>
    <t>0.00125,0.02015</t>
  </si>
  <si>
    <t>(0.00751,0.01009)</t>
  </si>
  <si>
    <t>0.0012,0.0076</t>
  </si>
  <si>
    <t>(0.02192,0.02362)</t>
  </si>
  <si>
    <t>0.00145,0.0205</t>
  </si>
  <si>
    <t>(0.00802,0.01068)</t>
  </si>
  <si>
    <t>0.00105,0.0083</t>
  </si>
  <si>
    <t>(0.02166,0.02332)</t>
  </si>
  <si>
    <t>0.0012,0.0198</t>
  </si>
  <si>
    <t>(0.01068,0.01372)</t>
  </si>
  <si>
    <t>0.0012,0.011</t>
  </si>
  <si>
    <t>(0.02092,0.02257)</t>
  </si>
  <si>
    <t>0.0013,0.01815</t>
  </si>
  <si>
    <t>(0.01839,0.02231)</t>
  </si>
  <si>
    <t>0.00125,0.0191</t>
  </si>
  <si>
    <t>(0.02024,0.02186)</t>
  </si>
  <si>
    <t>0.0014,0.0199</t>
  </si>
  <si>
    <t>(0.96579,0.97066)</t>
  </si>
  <si>
    <t>(0.91338,0.92103)</t>
  </si>
  <si>
    <t>(0.01052,0.01354)</t>
  </si>
  <si>
    <t>0.4858,0.4801</t>
  </si>
  <si>
    <t>(0.98658,0.98774)</t>
  </si>
  <si>
    <t>(0.9701,0.97192)</t>
  </si>
  <si>
    <t>(0.02241,0.02416)</t>
  </si>
  <si>
    <t>0.49585,0.4905</t>
  </si>
  <si>
    <t>(0.98615,0.98921)</t>
  </si>
  <si>
    <t>(0.94993,0.95581)</t>
  </si>
  <si>
    <t>(0.0107,0.01374)</t>
  </si>
  <si>
    <t>0.4869,0.49915</t>
  </si>
  <si>
    <t>(0.9955,0.99604)</t>
  </si>
  <si>
    <t>(0.98544,0.98659)</t>
  </si>
  <si>
    <t>(0.02171,0.02337)</t>
  </si>
  <si>
    <t>0.49255,0.50375</t>
  </si>
  <si>
    <t>(0.99265,0.99484)</t>
  </si>
  <si>
    <t>(0.96755,0.97229)</t>
  </si>
  <si>
    <t>(0.01177,0.01496)</t>
  </si>
  <si>
    <t>0.48625,0.50645</t>
  </si>
  <si>
    <t>(0.99802,0.9985)</t>
  </si>
  <si>
    <t>(0.99167,0.99259)</t>
  </si>
  <si>
    <t>(0.02205,0.02377)</t>
  </si>
  <si>
    <t>0.4939,0.50445</t>
  </si>
  <si>
    <t>(0.99457,0.99643)</t>
  </si>
  <si>
    <t>(0.98162,0.98516)</t>
  </si>
  <si>
    <t>(0.01342,0.0168)</t>
  </si>
  <si>
    <t>0.48715,0.50785</t>
  </si>
  <si>
    <t>(0.99466,0.99644)</t>
  </si>
  <si>
    <t>(0.9924,0.99423)</t>
  </si>
  <si>
    <t>(0.99465,0.99644)</t>
  </si>
  <si>
    <t>(0.02142,0.02315)</t>
  </si>
  <si>
    <t>0.49395,0.5018</t>
  </si>
  <si>
    <t>(0.99574,0.99736)</t>
  </si>
  <si>
    <t>(0.9891,0.9918)</t>
  </si>
  <si>
    <t>(0.99523,0.99696)</t>
  </si>
  <si>
    <t>(0.0097,0.01261)</t>
  </si>
  <si>
    <t>0.48715,0.5091</t>
  </si>
  <si>
    <t>(0.9982,0.99912)</t>
  </si>
  <si>
    <t>(0.99773,0.99877)</t>
  </si>
  <si>
    <t>(0.99793,0.99897)</t>
  </si>
  <si>
    <t>(0.01032,0.01172)</t>
  </si>
  <si>
    <t>0.4919,0.5069</t>
  </si>
  <si>
    <t>(0.9945,0.99637)</t>
  </si>
  <si>
    <t>(0.89587,0.90419)</t>
  </si>
  <si>
    <t>(0.0145,0.01801)</t>
  </si>
  <si>
    <t>0.6479,0.34435</t>
  </si>
  <si>
    <t>(0.99818,0.99849)</t>
  </si>
  <si>
    <t>(0.95776,0.95992)</t>
  </si>
  <si>
    <t>(0.023,0.02475)</t>
  </si>
  <si>
    <t>0.6597,0.33845</t>
  </si>
  <si>
    <t>(0.99802,0.99908)</t>
  </si>
  <si>
    <t>(0.9334,0.94015)</t>
  </si>
  <si>
    <t>(0.01386,0.0173)</t>
  </si>
  <si>
    <t>0.65445,0.34215</t>
  </si>
  <si>
    <t>(0.99955,0.99963)</t>
  </si>
  <si>
    <t>(0.97403,0.9756)</t>
  </si>
  <si>
    <t>(0.02274,0.02447)</t>
  </si>
  <si>
    <t>0.65995,0.33965</t>
  </si>
  <si>
    <t>(0.999,0.9997)</t>
  </si>
  <si>
    <t>(0.95377,0.95942)</t>
  </si>
  <si>
    <t>(0.01456,0.01808)</t>
  </si>
  <si>
    <t>0.6541,0.344</t>
  </si>
  <si>
    <t>(0.99979,0.99984)</t>
  </si>
  <si>
    <t>(0.98213,0.9835)</t>
  </si>
  <si>
    <t>(0.02287,0.02461)</t>
  </si>
  <si>
    <t>0.65495,0.3449</t>
  </si>
  <si>
    <t>(0.99946,0.99994)</t>
  </si>
  <si>
    <t>(0.96949,0.97408)</t>
  </si>
  <si>
    <t>(0.01655,0.02027)</t>
  </si>
  <si>
    <t>0.6508,0.3484</t>
  </si>
  <si>
    <t>(0.99947,0.99991)</t>
  </si>
  <si>
    <t>(0.98312,0.98555)</t>
  </si>
  <si>
    <t>(0.02197,0.02373)</t>
  </si>
  <si>
    <t>0.66105,0.3387</t>
  </si>
  <si>
    <t>(0.9996,1)</t>
  </si>
  <si>
    <t>(0.40313,0.41676)</t>
  </si>
  <si>
    <t>(0.99953,0.99997)</t>
  </si>
  <si>
    <t>(0.00732,0.00988)</t>
  </si>
  <si>
    <t>0.64875,0.3507</t>
  </si>
  <si>
    <t>(0.99998,0.99999)</t>
  </si>
  <si>
    <t>(0.41017,0.42383)</t>
  </si>
  <si>
    <t>(0.00819,0.00955)</t>
  </si>
  <si>
    <t>0.6598,0.3401</t>
  </si>
  <si>
    <t>(0.9985,0.9994)</t>
  </si>
  <si>
    <t>(0.9209,0.92824)</t>
  </si>
  <si>
    <t>(0.02114,0.02533)</t>
  </si>
  <si>
    <t>0.7357,0.25955</t>
  </si>
  <si>
    <t>(0.99949,0.99961)</t>
  </si>
  <si>
    <t>(0.95934,0.96138)</t>
  </si>
  <si>
    <t>(0.02392,0.0257)</t>
  </si>
  <si>
    <t>0.7381,0.2614</t>
  </si>
  <si>
    <t>(0.99939,0.99991)</t>
  </si>
  <si>
    <t>(0.94258,0.94887)</t>
  </si>
  <si>
    <t>(0.02188,0.02613)</t>
  </si>
  <si>
    <t>0.7334,0.264</t>
  </si>
  <si>
    <t>(0.99978,0.99983)</t>
  </si>
  <si>
    <t>(0.9676,0.96932)</t>
  </si>
  <si>
    <t>(0.02407,0.02588)</t>
  </si>
  <si>
    <t>0.7445,0.2553</t>
  </si>
  <si>
    <t>(0.95324,0.95892)</t>
  </si>
  <si>
    <t>(0.02067,0.0248)</t>
  </si>
  <si>
    <t>0.73855,0.2596</t>
  </si>
  <si>
    <t>(0.99983,0.99988)</t>
  </si>
  <si>
    <t>(0.97226,0.974)</t>
  </si>
  <si>
    <t>(0.02375,0.02551)</t>
  </si>
  <si>
    <t>0.74135,0.2584</t>
  </si>
  <si>
    <t>(0.99968,1)</t>
  </si>
  <si>
    <t>(0.96185,0.96698)</t>
  </si>
  <si>
    <t>(0.01913,0.02311)</t>
  </si>
  <si>
    <t>0.73865,0.26025</t>
  </si>
  <si>
    <t>(0.99977,0.99997)</t>
  </si>
  <si>
    <t>(0.97014,0.97309)</t>
  </si>
  <si>
    <t>(0.02207,0.02391)</t>
  </si>
  <si>
    <t>0.73625,0.2636</t>
  </si>
  <si>
    <t>(1,1)</t>
  </si>
  <si>
    <t>(0.26688,0.27924)</t>
  </si>
  <si>
    <t>(0.00589,0.00821)</t>
  </si>
  <si>
    <t>0.74015,0.25945</t>
  </si>
  <si>
    <t>(0.99999,1)</t>
  </si>
  <si>
    <t>(0.26695,0.2793)</t>
  </si>
  <si>
    <t>(0.00723,0.00854)</t>
  </si>
  <si>
    <t>0.74435,0.25565</t>
  </si>
  <si>
    <t>(0.97495,0.97912)</t>
  </si>
  <si>
    <t>0.78805,0.20665</t>
  </si>
  <si>
    <t>(0.99979,0.99985)</t>
  </si>
  <si>
    <t>(0.9766,0.97803)</t>
  </si>
  <si>
    <t>0.79185,0.20785</t>
  </si>
  <si>
    <t>(0.97528,0.97941)</t>
  </si>
  <si>
    <t>0.78675,0.20815</t>
  </si>
  <si>
    <t>(0.9998,0.99985)</t>
  </si>
  <si>
    <t>(0.97658,0.97802)</t>
  </si>
  <si>
    <t>0.78655,0.2132</t>
  </si>
  <si>
    <t>(0.97553,0.97965)</t>
  </si>
  <si>
    <t>0.7835,0.21125</t>
  </si>
  <si>
    <t>(0.9998,0.99986)</t>
  </si>
  <si>
    <t>(0.97548,0.97722)</t>
  </si>
  <si>
    <t>0.7929,0.2068</t>
  </si>
  <si>
    <t>(0.96535,0.97026)</t>
  </si>
  <si>
    <t>0.7895,0.20575</t>
  </si>
  <si>
    <t>(0.99975,0.99994)</t>
  </si>
  <si>
    <t>(0.96603,0.96931)</t>
  </si>
  <si>
    <t>0.79185,0.20795</t>
  </si>
  <si>
    <t>(0.22646,0.23817)</t>
  </si>
  <si>
    <t>0.7901,0.2094</t>
  </si>
  <si>
    <t>(0.2236,0.23525)</t>
  </si>
  <si>
    <t>0.7873,0.2127</t>
  </si>
  <si>
    <t>matrix(c(1, 0.5, 0.5, 1), nrow = nEps)</t>
  </si>
  <si>
    <t>Fut=0.25,N=2000,MultWin=F</t>
  </si>
  <si>
    <t>Best=1,N=2000,MultWin=F</t>
  </si>
  <si>
    <t>No selection,N=2000,MultWin=T</t>
  </si>
  <si>
    <t>Fut=0.25,N=2000,MultWin=T</t>
  </si>
  <si>
    <t>Best=1,N=2000,MultWin=T</t>
  </si>
  <si>
    <t>No selection,N=2000,Pooled</t>
  </si>
  <si>
    <t>Fut=0.25,N=2000,Pooled</t>
  </si>
  <si>
    <t>Best=1,N=2000,Pooled</t>
  </si>
  <si>
    <t>No selection,N=2000,CumStat</t>
  </si>
  <si>
    <t>Fut=0.25,N=2000,CumStat</t>
  </si>
  <si>
    <t>Best=1,N=2000,CumStat</t>
  </si>
  <si>
    <t>(Multiple Items)</t>
  </si>
  <si>
    <t>Scenarios 18 to 67</t>
  </si>
  <si>
    <t>S2, Conservative, No CC, CPV, N=800</t>
  </si>
  <si>
    <t>S2, Conservative, No CC, CER, N=800</t>
  </si>
  <si>
    <t>S2, Normal, No CC, CPV, N=800</t>
  </si>
  <si>
    <t>(0.52944,0.54326)</t>
  </si>
  <si>
    <t>(0.26782,0.28018)</t>
  </si>
  <si>
    <t>(0.52919,0.54301)</t>
  </si>
  <si>
    <t>(0.007,0.0095)</t>
  </si>
  <si>
    <t>0.0961,0.44025</t>
  </si>
  <si>
    <t>(0.66994,0.67737)</t>
  </si>
  <si>
    <t>(0.46024,0.4679)</t>
  </si>
  <si>
    <t>(0.66974,0.67717)</t>
  </si>
  <si>
    <t>(0.01706,0.01842)</t>
  </si>
  <si>
    <t>0.09835,0.5755</t>
  </si>
  <si>
    <t>(0.61844,0.63186)</t>
  </si>
  <si>
    <t>(0.34966,0.36294)</t>
  </si>
  <si>
    <t>(0.61814,0.63156)</t>
  </si>
  <si>
    <t>(0.00741,0.00999)</t>
  </si>
  <si>
    <t>0.09845,0.5267</t>
  </si>
  <si>
    <t>(0.74073,0.74704)</t>
  </si>
  <si>
    <t>(0.53988,0.54722)</t>
  </si>
  <si>
    <t>(0.74053,0.74686)</t>
  </si>
  <si>
    <t>(0.01714,0.01849)</t>
  </si>
  <si>
    <t>0.0985,0.64435</t>
  </si>
  <si>
    <t>(0.69697,0.70963)</t>
  </si>
  <si>
    <t>(0.43652,0.45028)</t>
  </si>
  <si>
    <t>(0.69672,0.70938)</t>
  </si>
  <si>
    <t>(0.00769,0.01031)</t>
  </si>
  <si>
    <t>0.0982,0.6051</t>
  </si>
  <si>
    <t>(0.79275,0.79848)</t>
  </si>
  <si>
    <t>(0.60998,0.61716)</t>
  </si>
  <si>
    <t>(0.79256,0.7983)</t>
  </si>
  <si>
    <t>(0.01718,0.01853)</t>
  </si>
  <si>
    <t>0.09635,0.69925</t>
  </si>
  <si>
    <t>(0.79425,0.80535)</t>
  </si>
  <si>
    <t>(0.58088,0.59452)</t>
  </si>
  <si>
    <t>(0.79405,0.80515)</t>
  </si>
  <si>
    <t>(0.01058,0.01362)</t>
  </si>
  <si>
    <t>0.0984,0.7014</t>
  </si>
  <si>
    <t>(0.82805,0.83539)</t>
  </si>
  <si>
    <t>(0.69541,0.70337)</t>
  </si>
  <si>
    <t>(0.82786,0.83521)</t>
  </si>
  <si>
    <t>(0.01725,0.01861)</t>
  </si>
  <si>
    <t>0.0975,0.73525</t>
  </si>
  <si>
    <t>(0.84622,0.85608)</t>
  </si>
  <si>
    <t>(0.70492,0.71748)</t>
  </si>
  <si>
    <t>(0.84444,0.85436)</t>
  </si>
  <si>
    <t>(0.00264,0.00426)</t>
  </si>
  <si>
    <t>0.09825,0.7529</t>
  </si>
  <si>
    <t>(0.87888,0.88497)</t>
  </si>
  <si>
    <t>(0.79782,0.80463)</t>
  </si>
  <si>
    <t>(0.87656,0.88286)</t>
  </si>
  <si>
    <t>(0.00336,0.00428)</t>
  </si>
  <si>
    <t>0.09795,0.7848</t>
  </si>
  <si>
    <t>(0.71967,0.73203)</t>
  </si>
  <si>
    <t>(0.18367,0.19453)</t>
  </si>
  <si>
    <t>(0.00885,0.01165)</t>
  </si>
  <si>
    <t>0.1612,0.56465</t>
  </si>
  <si>
    <t>S1, No Select, CC, CPV, N=800</t>
  </si>
  <si>
    <t>S1, No Select, CC, CER, N=800</t>
  </si>
  <si>
    <t>S1, Conservative, CC, CPV, N=800</t>
  </si>
  <si>
    <t>S1, Conservative, CC, CER, N=800</t>
  </si>
  <si>
    <t>S1, Normal, CC, CPV, N=800</t>
  </si>
  <si>
    <t>S1, Normal, CC, CER, N=800</t>
  </si>
  <si>
    <t>S1, Aggressive, CC, CPV, N=800</t>
  </si>
  <si>
    <t>S1, Aggressive, CC, CER, N=800</t>
  </si>
  <si>
    <t>S1, Ultra Aggressive, CC, CPV, N=800</t>
  </si>
  <si>
    <t>S1, Ultra Aggressive, CC, CER, N=800</t>
  </si>
  <si>
    <t>S2, No Select, CC, CPV, N=800</t>
  </si>
  <si>
    <t>S2, No Select, CC, CER, N=800</t>
  </si>
  <si>
    <t>S2, Conservative, CC, CPV, N=800</t>
  </si>
  <si>
    <t>S2, Conservative, CC, CER, N=800</t>
  </si>
  <si>
    <t>S2, Normal, CC, CPV, N=800</t>
  </si>
  <si>
    <t>S2, Normal, CC, CER, N=800</t>
  </si>
  <si>
    <t>S2, Aggressive, CC, CPV, N=800</t>
  </si>
  <si>
    <t>S2, Aggressive, CC, CER, N=800</t>
  </si>
  <si>
    <t>S2, Ultra Aggressive, CC, CPV, N=800</t>
  </si>
  <si>
    <t>S3, No Select, CC, CPV, N=800</t>
  </si>
  <si>
    <t>S3, No Select, CC, CER, N=800</t>
  </si>
  <si>
    <t>S3, Conservative, CC, CPV, N=800</t>
  </si>
  <si>
    <t>S3, Conservative, CC, CER, N=800</t>
  </si>
  <si>
    <t>S3, Normal, CC, CPV, N=800</t>
  </si>
  <si>
    <t>S3, Normal, CC, CER, N=800</t>
  </si>
  <si>
    <t>S3, Aggressive, CC, CPV, N=800</t>
  </si>
  <si>
    <t>S3, Aggressive, CC, CER, N=800</t>
  </si>
  <si>
    <t>S3, Ultra Aggressive, CC, CPV, N=800</t>
  </si>
  <si>
    <t>S3, Ultra Aggressive, CC, CER, N=800</t>
  </si>
  <si>
    <t>S4, No Select, CC, CPV, N=800</t>
  </si>
  <si>
    <t>S4, No Select, CC, CER, N=800</t>
  </si>
  <si>
    <t>S4, Conservative, CC, CPV, N=800</t>
  </si>
  <si>
    <t>S4, Conservative, CC, CER, N=800</t>
  </si>
  <si>
    <t>S4, Normal, CC, CPV, N=800</t>
  </si>
  <si>
    <t>S4, Normal, CC, CER, N=800</t>
  </si>
  <si>
    <t>S4, Aggressive, CC, CPV, N=800</t>
  </si>
  <si>
    <t>S4, Aggressive, CC, CER, N=800</t>
  </si>
  <si>
    <t>S4, Ultra Aggressive, CC, CPV, N=800</t>
  </si>
  <si>
    <t>S4, Ultra Aggressive, CC, CER, N=800</t>
  </si>
  <si>
    <t>(0.82331,0.82875)</t>
  </si>
  <si>
    <t>(0.32786,0.33472)</t>
  </si>
  <si>
    <t>(0.8233,0.82874)</t>
  </si>
  <si>
    <t>(0.01658,0.01791)</t>
  </si>
  <si>
    <t>0.16425,0.662</t>
  </si>
  <si>
    <t>(0.78037,0.79173)</t>
  </si>
  <si>
    <t>(0.22917,0.24093)</t>
  </si>
  <si>
    <t>(0.00909,0.01191)</t>
  </si>
  <si>
    <t>0.16215,0.6239</t>
  </si>
  <si>
    <t>(0.8631,0.86745)</t>
  </si>
  <si>
    <t>(0.37243,0.37919)</t>
  </si>
  <si>
    <t>(0.86308,0.86744)</t>
  </si>
  <si>
    <t>(0.01666,0.01796)</t>
  </si>
  <si>
    <t>0.16255,0.7027</t>
  </si>
  <si>
    <t>(0.82849,0.83881)</t>
  </si>
  <si>
    <t>(0.28788,0.30052)</t>
  </si>
  <si>
    <t>(0.01021,0.01319)</t>
  </si>
  <si>
    <t>0.1644,0.66925</t>
  </si>
  <si>
    <t>S2, Normal, No CC, CER, N=800</t>
  </si>
  <si>
    <t>(0.8898,0.89348)</t>
  </si>
  <si>
    <t>(0.41387,0.42077)</t>
  </si>
  <si>
    <t>(0.88979,0.89347)</t>
  </si>
  <si>
    <t>(0.01668,0.01799)</t>
  </si>
  <si>
    <t>0.16365,0.72805</t>
  </si>
  <si>
    <t>S2, Aggressive, No CC, CPV, N=800</t>
  </si>
  <si>
    <t>(0.89096,0.89944)</t>
  </si>
  <si>
    <t>(0.38324,0.39676)</t>
  </si>
  <si>
    <t>(0.01167,0.01483)</t>
  </si>
  <si>
    <t>0.16425,0.73095</t>
  </si>
  <si>
    <t>S2, Aggressive, No CC, CER, N=800</t>
  </si>
  <si>
    <t>(0.91546,0.91979)</t>
  </si>
  <si>
    <t>(0.4646,0.47256)</t>
  </si>
  <si>
    <t>(0.91545,0.91977)</t>
  </si>
  <si>
    <t>(0.01644,0.01777)</t>
  </si>
  <si>
    <t>0.1606,0.75615</t>
  </si>
  <si>
    <t>S2, Ultra Aggressive, No CC, CPV, N=800</t>
  </si>
  <si>
    <t>(0.93999,0.94641)</t>
  </si>
  <si>
    <t>(0.02591,0.03049)</t>
  </si>
  <si>
    <t>(0.93958,0.94602)</t>
  </si>
  <si>
    <t>(0.00041,0.00119)</t>
  </si>
  <si>
    <t>0.16065,0.78255</t>
  </si>
  <si>
    <t>S2, Ultra Aggressive, No CC, CER, N=800</t>
  </si>
  <si>
    <t>(0.95676,0.95935)</t>
  </si>
  <si>
    <t>(0.02699,0.03155)</t>
  </si>
  <si>
    <t>(0.95616,0.95887)</t>
  </si>
  <si>
    <t>(0.00092,0.00158)</t>
  </si>
  <si>
    <t>0.16345,0.79365</t>
  </si>
  <si>
    <t>(0.81629,0.82691)</t>
  </si>
  <si>
    <t>(0.20381,0.21509)</t>
  </si>
  <si>
    <t>(0.0145,0.018)</t>
  </si>
  <si>
    <t>0.2142,0.6074</t>
  </si>
  <si>
    <t>(0.88525,0.88947)</t>
  </si>
  <si>
    <t>(0.30254,0.30914)</t>
  </si>
  <si>
    <t>(0.88525,0.88946)</t>
  </si>
  <si>
    <t>(0.01634,0.01769)</t>
  </si>
  <si>
    <t>0.2167,0.6719</t>
  </si>
  <si>
    <t>S3, Conservative, No CC, CPV, N=800</t>
  </si>
  <si>
    <t>(0.84449,0.85441)</t>
  </si>
  <si>
    <t>(0.23606,0.24794)</t>
  </si>
  <si>
    <t>(0.01421,0.01769)</t>
  </si>
  <si>
    <t>0.21275,0.6367</t>
  </si>
  <si>
    <t>S3, Conservative, No CC, CER, N=800</t>
  </si>
  <si>
    <t>(0.90213,0.90575)</t>
  </si>
  <si>
    <t>(0.32125,0.32772)</t>
  </si>
  <si>
    <t>(0.90213,0.90574)</t>
  </si>
  <si>
    <t>(0.01641,0.01777)</t>
  </si>
  <si>
    <t>0.2126,0.6914</t>
  </si>
  <si>
    <t>S3, Normal, No CC, CPV, N=800</t>
  </si>
  <si>
    <t>(0.86773,0.87697)</t>
  </si>
  <si>
    <t>(0.26608,0.27842)</t>
  </si>
  <si>
    <t>0.2123,0.66005</t>
  </si>
  <si>
    <t>S3, Normal, No CC, CER, N=800</t>
  </si>
  <si>
    <t>(0.91443,0.9176)</t>
  </si>
  <si>
    <t>(0.33775,0.34434)</t>
  </si>
  <si>
    <t>(0.01618,0.01753)</t>
  </si>
  <si>
    <t>0.2168,0.69975</t>
  </si>
  <si>
    <t>S3, Aggressive, No CC, CPV, N=800</t>
  </si>
  <si>
    <t>(0.90639,0.91431)</t>
  </si>
  <si>
    <t>(0.30891,0.32179)</t>
  </si>
  <si>
    <t>(0.01388,0.01732)</t>
  </si>
  <si>
    <t>0.21325,0.6971</t>
  </si>
  <si>
    <t>S3, Aggressive, No CC, CER, N=800</t>
  </si>
  <si>
    <t>(0.93421,0.93735)</t>
  </si>
  <si>
    <t>(0.35085,0.35826)</t>
  </si>
  <si>
    <t>(0.01515,0.01652)</t>
  </si>
  <si>
    <t>0.21185,0.723</t>
  </si>
  <si>
    <t>S3, Ultra Aggressive, No CC, CPV, N=800</t>
  </si>
  <si>
    <t>(0.96333,0.96837)</t>
  </si>
  <si>
    <t>(0.00511,0.00729)</t>
  </si>
  <si>
    <t>(0.96328,0.96832)</t>
  </si>
  <si>
    <t>(0.00026,0.00094)</t>
  </si>
  <si>
    <t>0.2128,0.75305</t>
  </si>
  <si>
    <t>S3, Ultra Aggressive, No CC, CER, N=800</t>
  </si>
  <si>
    <t>(0.97587,0.97739)</t>
  </si>
  <si>
    <t>(0.00526,0.00741)</t>
  </si>
  <si>
    <t>(0.9758,0.97735)</t>
  </si>
  <si>
    <t>(0.00034,0.00089)</t>
  </si>
  <si>
    <t>0.21525,0.7613</t>
  </si>
  <si>
    <t>(0.87585,0.88485)</t>
  </si>
  <si>
    <t>(0.34916,0.36244)</t>
  </si>
  <si>
    <t>0.25375,0.6266</t>
  </si>
  <si>
    <t>(0.91762,0.92105)</t>
  </si>
  <si>
    <t>(0.36648,0.37353)</t>
  </si>
  <si>
    <t>0.2565,0.66375</t>
  </si>
  <si>
    <t>S4, Conservative, No CC, CPV, N=800</t>
  </si>
  <si>
    <t>(0.87712,0.88608)</t>
  </si>
  <si>
    <t>(0.34912,0.36238)</t>
  </si>
  <si>
    <t>0.25425,0.62735</t>
  </si>
  <si>
    <t>S4, Conservative, No CC, CER, N=800</t>
  </si>
  <si>
    <t>(0.91814,0.92152)</t>
  </si>
  <si>
    <t>(0.36697,0.37397)</t>
  </si>
  <si>
    <t>0.25205,0.66895</t>
  </si>
  <si>
    <t>S4, Normal, No CC, CPV, N=800</t>
  </si>
  <si>
    <t>(0.88221,0.89099)</t>
  </si>
  <si>
    <t>(0.34956,0.36284)</t>
  </si>
  <si>
    <t>0.2522,0.6344</t>
  </si>
  <si>
    <t>S4, Normal, No CC, CER, N=800</t>
  </si>
  <si>
    <t>(0.92245,0.92556)</t>
  </si>
  <si>
    <t>(0.3643,0.37137)</t>
  </si>
  <si>
    <t>0.25635,0.6685</t>
  </si>
  <si>
    <t>S4, Aggressive, No CC, CPV, N=800</t>
  </si>
  <si>
    <t>(0.90909,0.91691)</t>
  </si>
  <si>
    <t>(0.32498,0.33802)</t>
  </si>
  <si>
    <t>0.2554,0.6576</t>
  </si>
  <si>
    <t>S4, Aggressive, No CC, CER, N=800</t>
  </si>
  <si>
    <t>(0.93894,0.94161)</t>
  </si>
  <si>
    <t>(0.34257,0.35027)</t>
  </si>
  <si>
    <t>0.25105,0.69025</t>
  </si>
  <si>
    <t>S4, Ultra Aggressive, No CC, CPV, N=800</t>
  </si>
  <si>
    <t>(0.97529,0.97941)</t>
  </si>
  <si>
    <t>(0.00295,0.00465)</t>
  </si>
  <si>
    <t>0.25615,0.7212</t>
  </si>
  <si>
    <t>S4, Ultra Aggressive, No CC, CER, N=800</t>
  </si>
  <si>
    <t>(0.984,0.98506)</t>
  </si>
  <si>
    <t>(0.00248,0.00403)</t>
  </si>
  <si>
    <t>0.25535,0.72995</t>
  </si>
  <si>
    <t>Seed2</t>
  </si>
  <si>
    <t>No drop, Partly-Parametric</t>
  </si>
  <si>
    <t>No drop,N=3000,MultWin=T</t>
  </si>
  <si>
    <t>No drop,N=3000,Pooled</t>
  </si>
  <si>
    <t>No drop,N=3000,CumStat</t>
  </si>
  <si>
    <t>S0, No drop, No CC, CPV</t>
  </si>
  <si>
    <t>S0, No drop, No CC, CER</t>
  </si>
  <si>
    <t>S1, No drop, No CC, CPV</t>
  </si>
  <si>
    <t>S1, No drop, No CC, CER</t>
  </si>
  <si>
    <t>S2, No drop, No CC, CPV</t>
  </si>
  <si>
    <t>S2, No drop, No CC, CER</t>
  </si>
  <si>
    <t>S3, No drop, No CC, CPV</t>
  </si>
  <si>
    <t>S3, No drop, No CC, CER</t>
  </si>
  <si>
    <t>S4, No drop, No CC, CPV</t>
  </si>
  <si>
    <t>S4, No drop, No CC, CER</t>
  </si>
  <si>
    <t>S1, No drop, CC, CPV, N=800</t>
  </si>
  <si>
    <t>S1, No drop, CC, CER, N=800</t>
  </si>
  <si>
    <t>S2, No drop, CC, CPV, N=800</t>
  </si>
  <si>
    <t>S2, No drop, No CC, CER, N=800</t>
  </si>
  <si>
    <t>S3, No drop, No CC, CPV, N=800</t>
  </si>
  <si>
    <t>S3, No drop, No CC, CER, N=800</t>
  </si>
  <si>
    <t>S4, No drop, No CC, CPV, N=800</t>
  </si>
  <si>
    <t>S4, No drop, No CC, CER, N=800</t>
  </si>
  <si>
    <t>Treat.Sel.Rule</t>
  </si>
  <si>
    <t>No drop</t>
  </si>
  <si>
    <t>Conservative</t>
  </si>
  <si>
    <t>Ultra Aggressive</t>
  </si>
  <si>
    <t>Aggressive</t>
  </si>
  <si>
    <t>Normal</t>
  </si>
  <si>
    <t>CER &gt;= Combo</t>
  </si>
  <si>
    <t>Sel.Rule.CER</t>
  </si>
  <si>
    <t>Sel.Rule.Combo</t>
  </si>
  <si>
    <t>Added cols &gt;&gt;&gt;</t>
  </si>
  <si>
    <t>Alt.Scen</t>
  </si>
  <si>
    <t>S0</t>
  </si>
  <si>
    <t>S1</t>
  </si>
  <si>
    <t>S2</t>
  </si>
  <si>
    <t>S3</t>
  </si>
  <si>
    <t>S4</t>
  </si>
  <si>
    <t>Alt.Scenario</t>
  </si>
  <si>
    <t>CER-Combo</t>
  </si>
  <si>
    <t>Verified</t>
  </si>
  <si>
    <t>CER method has greater disjunctive power than Combo in all considered scenarios.</t>
  </si>
  <si>
    <t>This gain can be as high as between 4 to 13.7% when no treatments are dropped, 3.8% to 11.9% for the conservative rule, and between 3.7% to 9.2% for the normal rule.</t>
  </si>
  <si>
    <t>x</t>
  </si>
  <si>
    <t>N</t>
  </si>
  <si>
    <t>Diff</t>
  </si>
  <si>
    <t>Gain in disjunctive power for CER over Combo is highest when no treatments are dropped followed by the conservative treatment dropping rule, and diminishes as the dropping rule becomes more aggressive.</t>
  </si>
  <si>
    <t>Disjunctive power for both methods increases with increasing aggressiveness of the treatment dropping rule.</t>
  </si>
  <si>
    <t>Since there is an upper limit on power, one can see that the power gain with CER over Combo diminishes with increasing power. However, this also means that the settings in which the CER power gain is higher are precisely those in which it is most needed.</t>
  </si>
  <si>
    <t>Disjunctive Power</t>
  </si>
  <si>
    <t>Conjunctive Power</t>
  </si>
  <si>
    <t>Comparison of FWER shows that the Combo method is substantially more conservative than the CER method with the exception of the ultra conservative dropping rule.</t>
  </si>
  <si>
    <t>CER method has higher conjunctive power than Combo in all cases.</t>
  </si>
  <si>
    <t>The largest gain is seen when no treatments are dropped or when a conservative dropping rule is used.</t>
  </si>
  <si>
    <t>CER method's conjunctive power gain diminishes as the number of effective treatments increases.</t>
  </si>
  <si>
    <t>list(EP1 = "Continuous", EP2 = "Binary")</t>
  </si>
  <si>
    <t>list(EP1 = c(1, 1, 1, 1, 1), EP2 = NA)</t>
  </si>
  <si>
    <t>list(EP1 = c(0, 0, 0, 0, 0), EP2 = NA)</t>
  </si>
  <si>
    <t>list(EP1 = NA, EP2 = c(0.1, 0.1, 0.1, 0.1, 0.1))</t>
  </si>
  <si>
    <t>t-equal</t>
  </si>
  <si>
    <t>Mixed, S0, c=0.5, Conservative, CER, N=500, No CC</t>
  </si>
  <si>
    <t>Mixed, S0, c=0.5, Normal, CER, N=500, No CC</t>
  </si>
  <si>
    <t>Mixed, S0, c=0.5, Aggressive, CER, N=500, No CC</t>
  </si>
  <si>
    <t>Mixed, S0, c=0.5, Ultra Aggressive, CER, N=500, No CC</t>
  </si>
  <si>
    <t>Mixed, S0, c=0, Conservative, CER, N=500, No CC</t>
  </si>
  <si>
    <t>Mixed, S0, c=0, Normal, CER, N=500, No CC</t>
  </si>
  <si>
    <t>Mixed, S0, c=0, Aggressive, CER, N=500, No CC</t>
  </si>
  <si>
    <t>Mixed, S0, c=0, Ultra Aggressive, CER, N=500, No CC</t>
  </si>
  <si>
    <t>matrix(c(1,0,0,1),nrow = 2)</t>
  </si>
  <si>
    <t>matrix(c(1,0.3,0.3,1),nrow = 2)</t>
  </si>
  <si>
    <t>Mixed, S0, c=0.3, Conservative, CER, N=500, No CC</t>
  </si>
  <si>
    <t>Mixed, S0, c=0.3, Normal, CER, N=500, No CC</t>
  </si>
  <si>
    <t>Mixed, S0, c=0.3, Aggressive, CER, N=500, No CC</t>
  </si>
  <si>
    <t>Mixed, S0, c=0.3, Ultra Aggressive, CER, N=500, No CC</t>
  </si>
  <si>
    <t>Mixed, S0, c=0.8, Conservative, CER, N=500, No CC</t>
  </si>
  <si>
    <t>Mixed, S0, c=0.8, Normal, CER, N=500, No CC</t>
  </si>
  <si>
    <t>Mixed, S0, c=0.8, Aggressive, CER, N=500, No CC</t>
  </si>
  <si>
    <t>Mixed, S0, c=0.8, Ultra Aggressive, CER, N=500, No CC</t>
  </si>
  <si>
    <t>matrix(c(1,0.8,0.8,1),nrow = 2)</t>
  </si>
  <si>
    <t>(0.02107,0.02268)</t>
  </si>
  <si>
    <t>0.00115,0.02195</t>
  </si>
  <si>
    <t>(0.02092,0.02255)</t>
  </si>
  <si>
    <t>0.00125,0.02235</t>
  </si>
  <si>
    <t>(0.02067,0.0223)</t>
  </si>
  <si>
    <t>0.0012,0.02135</t>
  </si>
  <si>
    <t>(0.01948,0.02101)</t>
  </si>
  <si>
    <t>0.0011,0.0197</t>
  </si>
  <si>
    <t>(0.02137,0.02305)</t>
  </si>
  <si>
    <t>0.00145,0.02285</t>
  </si>
  <si>
    <t>(0.02108,0.02273)</t>
  </si>
  <si>
    <t>0.00125,0.0221</t>
  </si>
  <si>
    <t>(0.02083,0.02254)</t>
  </si>
  <si>
    <t>0.00165,0.0222</t>
  </si>
  <si>
    <t>(0.01992,0.02153)</t>
  </si>
  <si>
    <t>0.00145,0.0202</t>
  </si>
  <si>
    <t>(0.02153,0.02324)</t>
  </si>
  <si>
    <t>0.0015,0.02265</t>
  </si>
  <si>
    <t>(0.0214,0.0231)</t>
  </si>
  <si>
    <t>0.0015,0.0214</t>
  </si>
  <si>
    <t>(0.02063,0.02228)</t>
  </si>
  <si>
    <t>0.00135,0.02095</t>
  </si>
  <si>
    <t>(0.02021,0.02185)</t>
  </si>
  <si>
    <t>0.0015,0.0201</t>
  </si>
  <si>
    <t>(0.02174,0.02344)</t>
  </si>
  <si>
    <t>0.00145,0.0213</t>
  </si>
  <si>
    <t>(0.02136,0.02302)</t>
  </si>
  <si>
    <t>0.0013,0.0222</t>
  </si>
  <si>
    <t>(0.021,0.0227)</t>
  </si>
  <si>
    <t>0.0015,0.0215</t>
  </si>
  <si>
    <t>(0.02047,0.02211)</t>
  </si>
  <si>
    <t>0.00145,0.0192</t>
  </si>
  <si>
    <t>Mixed, S1, c=0.5, Conservative, CER, N=500, No CC</t>
  </si>
  <si>
    <t>Mixed, S1, c=0.5, Normal, CER, N=500, No CC</t>
  </si>
  <si>
    <t>Mixed, S1, c=0.5, Aggressive, CER, N=500, No CC</t>
  </si>
  <si>
    <t>Mixed, S1, c=0.5, Ultra Aggressive, CER, N=500, No CC</t>
  </si>
  <si>
    <t>list(EP1 = c(0, 0, 0, 0, 0.4), EP2 = NA)</t>
  </si>
  <si>
    <t>list(EP1 = NA, EP2 = c(0.1, 0.1, 0.1, 0.1, 0.25))</t>
  </si>
  <si>
    <t>Mixed, S2, c=0.5, Conservative, CER, N=500, No CC</t>
  </si>
  <si>
    <t>Mixed, S2, c=0.5, Normal, CER, N=500, No CC</t>
  </si>
  <si>
    <t>Mixed, S2, c=0.5, Aggressive, CER, N=500, No CC</t>
  </si>
  <si>
    <t>Mixed, S2, c=0.5, Ultra Aggressive, CER, N=500, No CC</t>
  </si>
  <si>
    <t>Mixed, S3, c=0.5, Conservative, CER, N=500, No CC</t>
  </si>
  <si>
    <t>Mixed, S3, c=0.5, Normal, CER, N=500, No CC</t>
  </si>
  <si>
    <t>Mixed, S3, c=0.5, Aggressive, CER, N=500, No CC</t>
  </si>
  <si>
    <t>Mixed, S3, c=0.5, Ultra Aggressive, CER, N=500, No CC</t>
  </si>
  <si>
    <t>Mixed, S4, c=0.5, Conservative, CER, N=500, No CC</t>
  </si>
  <si>
    <t>Mixed, S4, c=0.5, Normal, CER, N=500, No CC</t>
  </si>
  <si>
    <t>Mixed, S4, c=0.5, Aggressive, CER, N=500, No CC</t>
  </si>
  <si>
    <t>Mixed, S4, c=0.5, Ultra Aggressive, CER, N=500, No CC</t>
  </si>
  <si>
    <t>list(EP1 = c(0, 0, 0, 0.4, 0.4), EP2 = NA)</t>
  </si>
  <si>
    <t>list(EP1 = c(0, 0, 0.4, 0.4, 0.4), EP2 = NA)</t>
  </si>
  <si>
    <t>list(EP1 = c(0, 0.4, 0.4, 0.4, 0.4), EP2 = NA)</t>
  </si>
  <si>
    <t>list(EP1 = NA, EP2 = c(0.1, 0.1, 0.1, 0.25, 0.25))</t>
  </si>
  <si>
    <t>list(EP1 = NA, EP2 = c(0.1, 0.1, 0.25, 0.25, 0.25))</t>
  </si>
  <si>
    <t>list(EP1 = NA, EP2 = c(0.1, 0.25, 0.25, 0.25, 0.25))</t>
  </si>
  <si>
    <t>(0.69108,0.69783)</t>
  </si>
  <si>
    <t>(0.48753,0.49491)</t>
  </si>
  <si>
    <t>(0.6907,0.69746)</t>
  </si>
  <si>
    <t>(0.02065,0.02225)</t>
  </si>
  <si>
    <t>0.0828,0.6133</t>
  </si>
  <si>
    <t>(0.75742,0.76367)</t>
  </si>
  <si>
    <t>(0.57365,0.58101)</t>
  </si>
  <si>
    <t>(0.75709,0.76335)</t>
  </si>
  <si>
    <t>(0.02089,0.02253)</t>
  </si>
  <si>
    <t>0.08195,0.67815</t>
  </si>
  <si>
    <t>(0.78775,0.7955)</t>
  </si>
  <si>
    <t>(0.64499,0.65317)</t>
  </si>
  <si>
    <t>(0.78744,0.7952)</t>
  </si>
  <si>
    <t>(0.02023,0.02185)</t>
  </si>
  <si>
    <t>0.08235,0.7083</t>
  </si>
  <si>
    <t>(0.83983,0.84662)</t>
  </si>
  <si>
    <t>(0.74496,0.7525)</t>
  </si>
  <si>
    <t>(0.83686,0.84389)</t>
  </si>
  <si>
    <t>(0.00441,0.00558)</t>
  </si>
  <si>
    <t>0.08325,0.7599</t>
  </si>
  <si>
    <t>(0.82301,0.82802)</t>
  </si>
  <si>
    <t>(0.3244,0.33093)</t>
  </si>
  <si>
    <t>(0.82298,0.82799)</t>
  </si>
  <si>
    <t>(0.01964,0.0212)</t>
  </si>
  <si>
    <t>0.14015,0.6855</t>
  </si>
  <si>
    <t>(0.85844,0.86278)</t>
  </si>
  <si>
    <t>(0.37093,0.37773)</t>
  </si>
  <si>
    <t>(0.85842,0.86275)</t>
  </si>
  <si>
    <t>(0.01992,0.02152)</t>
  </si>
  <si>
    <t>0.14105,0.71885</t>
  </si>
  <si>
    <t>(0.88333,0.88829)</t>
  </si>
  <si>
    <t>(0.4107,0.41841)</t>
  </si>
  <si>
    <t>(0.88331,0.88827)</t>
  </si>
  <si>
    <t>(0.01903,0.02061)</t>
  </si>
  <si>
    <t>0.1401,0.74475</t>
  </si>
  <si>
    <t>(0.93316,0.93658)</t>
  </si>
  <si>
    <t>(0.02112,0.02517)</t>
  </si>
  <si>
    <t>(0.93248,0.93602)</t>
  </si>
  <si>
    <t>(0.00141,0.0023)</t>
  </si>
  <si>
    <t>0.1403,0.79315</t>
  </si>
  <si>
    <t>(0.8687,0.87306)</t>
  </si>
  <si>
    <t>(0.2764,0.2826)</t>
  </si>
  <si>
    <t>(0.86869,0.87306)</t>
  </si>
  <si>
    <t>(0.01826,0.0198)</t>
  </si>
  <si>
    <t>0.18615,0.68475</t>
  </si>
  <si>
    <t>(0.8861,0.88996)</t>
  </si>
  <si>
    <t>(0.29722,0.30357)</t>
  </si>
  <si>
    <t>(0.01792,0.01944)</t>
  </si>
  <si>
    <t>0.18315,0.70465</t>
  </si>
  <si>
    <t>(0.9067,0.91056)</t>
  </si>
  <si>
    <t>(0.3049,0.31193)</t>
  </si>
  <si>
    <t>(0.90669,0.91056)</t>
  </si>
  <si>
    <t>(0.01664,0.01821)</t>
  </si>
  <si>
    <t>0.1848,0.72325</t>
  </si>
  <si>
    <t>(0.96002,0.96224)</t>
  </si>
  <si>
    <t>(0.00388,0.00576)</t>
  </si>
  <si>
    <t>(0.95988,0.96213)</t>
  </si>
  <si>
    <t>(0.00057,0.00129)</t>
  </si>
  <si>
    <t>0.18395,0.7761</t>
  </si>
  <si>
    <t>(0.88911,0.89322)</t>
  </si>
  <si>
    <t>(0.31971,0.32648)</t>
  </si>
  <si>
    <t>0.22135,0.6711</t>
  </si>
  <si>
    <t>(0.89564,0.89938)</t>
  </si>
  <si>
    <t>(0.31801,0.32482)</t>
  </si>
  <si>
    <t>0.22105,0.6782</t>
  </si>
  <si>
    <t>(0.91312,0.91653)</t>
  </si>
  <si>
    <t>(0.29884,0.30615)</t>
  </si>
  <si>
    <t>0.2201,0.6946</t>
  </si>
  <si>
    <t>(0.9723,0.97395)</t>
  </si>
  <si>
    <t>(0.00187,0.00325)</t>
  </si>
  <si>
    <t>0.22045,0.7532</t>
  </si>
  <si>
    <t>Glob.Pow%</t>
  </si>
  <si>
    <t>Conj.Pow%</t>
  </si>
  <si>
    <t>Disj.Pow%</t>
  </si>
  <si>
    <t>FWER%</t>
  </si>
  <si>
    <t>LCL_Glob.Pow%</t>
  </si>
  <si>
    <t>LCL_Conj.Pow%</t>
  </si>
  <si>
    <t>LCL_Disj.Pow%</t>
  </si>
  <si>
    <t>LCL_FWER%</t>
  </si>
  <si>
    <t>UCL_Glob.Pow%</t>
  </si>
  <si>
    <t>UCL_Conj.Pow%</t>
  </si>
  <si>
    <t>UCL_Disj.Pow%</t>
  </si>
  <si>
    <t>UCL_FWER%</t>
  </si>
  <si>
    <t>Mixed, S0, c=0.5, Conservative, CER, N=500, No CC, nSim=50k</t>
  </si>
  <si>
    <t>Mixed, S0, c=0.5, Normal, CER, N=500, No CC, nSim=50k</t>
  </si>
  <si>
    <t>Mixed, S0, c=0.5, Aggressive, CER, N=500, No CC, nSim=50k</t>
  </si>
  <si>
    <t>Mixed, S0, c=0.5, Ultra Aggressive, CER, N=500, No CC, nSim=50k</t>
  </si>
  <si>
    <t>Mixed, S1, c=0.5, Conservative, CER, N=500, No CC, nSim=50k</t>
  </si>
  <si>
    <t>Mixed, S2, c=0.5, Ultra Aggressive, CER, N=500, No CC, nSim=50k</t>
  </si>
  <si>
    <t>Mixed, S3, c=0.5, Normal, CER, N=500, No CC, nSim=50k</t>
  </si>
  <si>
    <t>Mixed, S4, c=0.5, Aggressive, CER, N=500, No CC, nSim=50k</t>
  </si>
  <si>
    <t>Mixed Endpoints Simulations - AdaptGMCP vs Martin's Code</t>
  </si>
  <si>
    <t>Dropping Rule</t>
  </si>
  <si>
    <t>AdaptGMCP</t>
  </si>
  <si>
    <t>Martin</t>
  </si>
  <si>
    <t>Disj.Pow</t>
  </si>
  <si>
    <t>CI_Disj.Pow</t>
  </si>
  <si>
    <t>Conj.Pow</t>
  </si>
  <si>
    <t>CI_Conj.Pow</t>
  </si>
  <si>
    <t>Ultra-Aggr.</t>
  </si>
  <si>
    <t>DP.CI</t>
  </si>
  <si>
    <t>CP.CI</t>
  </si>
  <si>
    <t>FW.CI</t>
  </si>
  <si>
    <t>(69.07%, 69.75%)</t>
  </si>
  <si>
    <t>(75.71%, 76.34%)</t>
  </si>
  <si>
    <t>(78.74%, 79.52%)</t>
  </si>
  <si>
    <t>(83.69%, 84.39%)</t>
  </si>
  <si>
    <t>(82.30%, 82.80%)</t>
  </si>
  <si>
    <t>(85.84%, 86.28%)</t>
  </si>
  <si>
    <t>(88.33%, 88.83%)</t>
  </si>
  <si>
    <t>(93.25%, 93.60%)</t>
  </si>
  <si>
    <t>(86.87%, 87.31%)</t>
  </si>
  <si>
    <t>(88.61%, 89.00%)</t>
  </si>
  <si>
    <t>(90.67%, 91.06%)</t>
  </si>
  <si>
    <t>(95.99%, 96.21%)</t>
  </si>
  <si>
    <t>(88.91%, 89.32%)</t>
  </si>
  <si>
    <t>(89.56%, 89.94%)</t>
  </si>
  <si>
    <t>(91.31%, 91.65%)</t>
  </si>
  <si>
    <t>(97.23%, 97.40%)</t>
  </si>
  <si>
    <t>(48.75%, 49.49%)</t>
  </si>
  <si>
    <t>(57.37%, 58.10%)</t>
  </si>
  <si>
    <t>(64.50%, 65.32%)</t>
  </si>
  <si>
    <t>(74.50%, 75.25%)</t>
  </si>
  <si>
    <t>(32.44%, 33.09%)</t>
  </si>
  <si>
    <t>(37.09%, 37.77%)</t>
  </si>
  <si>
    <t>(41.07%, 41.84%)</t>
  </si>
  <si>
    <t>(2.11%, 2.52%)</t>
  </si>
  <si>
    <t>(27.64%, 28.26%)</t>
  </si>
  <si>
    <t>(29.72%, 30.36%)</t>
  </si>
  <si>
    <t>(30.49%, 31.19%)</t>
  </si>
  <si>
    <t>(0.39%, 0.58%)</t>
  </si>
  <si>
    <t>(31.97%, 32.65%)</t>
  </si>
  <si>
    <t>(31.80%, 32.48%)</t>
  </si>
  <si>
    <t>(29.88%, 30.62%)</t>
  </si>
  <si>
    <t>(0.19%, 0.33%)</t>
  </si>
  <si>
    <t>(70.3%, 70.6%)</t>
  </si>
  <si>
    <t>(50.1%, 50.4%)</t>
  </si>
  <si>
    <t>(76.9%, 77.2%)</t>
  </si>
  <si>
    <t>(58.8%, 59.1%)</t>
  </si>
  <si>
    <t>(79.6%, 80.0%)</t>
  </si>
  <si>
    <t>(65.7%, 66.1%)</t>
  </si>
  <si>
    <t>(84.4%, 84.7%)</t>
  </si>
  <si>
    <t>(75.5%, 75.8%)</t>
  </si>
  <si>
    <t>(83.3%, 83.5%)</t>
  </si>
  <si>
    <t>(33.3%, 33.6%)</t>
  </si>
  <si>
    <t>(86.8%, 87.0%)</t>
  </si>
  <si>
    <t>(38.3%, 38.6%)</t>
  </si>
  <si>
    <t>(89.0%, 89.2%)</t>
  </si>
  <si>
    <t>(41.9%, 42.3%)</t>
  </si>
  <si>
    <t>(32.9%, 33.2%)</t>
  </si>
  <si>
    <t>(93.6%, 93.7%)</t>
  </si>
  <si>
    <t>(0.4%, 0.4%)</t>
  </si>
  <si>
    <t>(87.8%, 88.0%)</t>
  </si>
  <si>
    <t>(28.6%, 28.9%)</t>
  </si>
  <si>
    <t>(89.5%, 89.7%)</t>
  </si>
  <si>
    <t>(30.5%, 30.8%)</t>
  </si>
  <si>
    <t>(91.4%, 91.6%)</t>
  </si>
  <si>
    <t>(31.3%, 31.6%)</t>
  </si>
  <si>
    <t>(96.2%, 96.3%)</t>
  </si>
  <si>
    <t>(0.1%, 0.2%)</t>
  </si>
  <si>
    <t>(89.8%, 89.9%)</t>
  </si>
  <si>
    <t>(90.3%, 90.5%)</t>
  </si>
  <si>
    <t>(32.4%, 32.7%)</t>
  </si>
  <si>
    <t>(92.0%, 92.2%)</t>
  </si>
  <si>
    <t>(30.6%, 31.0%)</t>
  </si>
  <si>
    <t>(97.3%, 97.4%)</t>
  </si>
  <si>
    <t>Correlation</t>
  </si>
  <si>
    <t>CI</t>
  </si>
  <si>
    <t>Package</t>
  </si>
  <si>
    <t>Martin's</t>
  </si>
  <si>
    <t>(2.49%, 2.57%)</t>
  </si>
  <si>
    <t>(2.44%, 2.52%)</t>
  </si>
  <si>
    <t>(2.30%, 2.38%)</t>
  </si>
  <si>
    <t>(2.15%, 2.23%)</t>
  </si>
  <si>
    <t>(2.46%, 2.54%)</t>
  </si>
  <si>
    <t>(2.36%, 2.44%)</t>
  </si>
  <si>
    <t>(2.18%, 2.26%)</t>
  </si>
  <si>
    <t>(2.47%, 2.55%)</t>
  </si>
  <si>
    <t>(2.43%, 2.51%)</t>
  </si>
  <si>
    <t>(2.35%, 2.43%)</t>
  </si>
  <si>
    <t>(2.21%, 2.28%)</t>
  </si>
  <si>
    <t>(2.11%, 2.27%)</t>
  </si>
  <si>
    <t>(2.09%, 2.26%)</t>
  </si>
  <si>
    <t>(2.07%, 2.23%)</t>
  </si>
  <si>
    <t>(1.95%, 2.10%)</t>
  </si>
  <si>
    <t>(2.15%, 2.32%)</t>
  </si>
  <si>
    <t>(2.14%, 2.31%)</t>
  </si>
  <si>
    <t>(2.06%, 2.23%)</t>
  </si>
  <si>
    <t>(2.02%, 2.19%)</t>
  </si>
  <si>
    <t>(2.17%, 2.34%)</t>
  </si>
  <si>
    <t>(2.14%, 2.30%)</t>
  </si>
  <si>
    <t>(2.10%, 2.27%)</t>
  </si>
  <si>
    <t>(2.05%, 2.21%)</t>
  </si>
  <si>
    <t>Mixed, S0, c=0.5, Conservative, CER, N=500, No CC, nSim=100k</t>
  </si>
  <si>
    <t>(0.02206,0.02282)</t>
  </si>
  <si>
    <t>0.00138,0.02104</t>
  </si>
  <si>
    <t>Mixed, S0, c=0.5, Normal, CER, N=500, No CC, nSim=100k</t>
  </si>
  <si>
    <t>(0.02185,0.02261)</t>
  </si>
  <si>
    <t>0.00137,0.0204</t>
  </si>
  <si>
    <t>Mixed, S0, c=0.5, Aggressive, CER, N=500, No CC, nSim=100k</t>
  </si>
  <si>
    <t>(0.02133,0.02209)</t>
  </si>
  <si>
    <t>0.00134,0.02016</t>
  </si>
  <si>
    <t>Mixed, S0, c=0.5, Ultra Aggressive, CER, N=500, No CC, nSim=100k</t>
  </si>
  <si>
    <t>(0.02069,0.02143)</t>
  </si>
  <si>
    <t>0.00138,0.01942</t>
  </si>
  <si>
    <t>Mixed, S1, c=0.5, Conservative, CER, N=500, No CC, nSim=100k</t>
  </si>
  <si>
    <t>(0.69332,0.69637)</t>
  </si>
  <si>
    <t>(0.49027,0.49359)</t>
  </si>
  <si>
    <t>(0.69292,0.69598)</t>
  </si>
  <si>
    <t>(0.02142,0.02216)</t>
  </si>
  <si>
    <t>0.0839,0.61066</t>
  </si>
  <si>
    <t>Mixed, S2, c=0.5, Ultra Aggressive, CER, N=500, No CC, nSim=100k</t>
  </si>
  <si>
    <t>(0.93372,0.9353)</t>
  </si>
  <si>
    <t>(0.02158,0.02336)</t>
  </si>
  <si>
    <t>(0.93291,0.93455)</t>
  </si>
  <si>
    <t>(0.00178,0.00219)</t>
  </si>
  <si>
    <t>0.14124,0.79248</t>
  </si>
  <si>
    <t>Mixed, S3, c=0.5, Normal, CER, N=500, No CC, nSim=100k</t>
  </si>
  <si>
    <t>(0.88763,0.88936)</t>
  </si>
  <si>
    <t>(0.29906,0.30194)</t>
  </si>
  <si>
    <t>(0.88762,0.88936)</t>
  </si>
  <si>
    <t>(0.01853,0.01923)</t>
  </si>
  <si>
    <t>0.18553,0.7026</t>
  </si>
  <si>
    <t>Mixed, S4, c=0.5, Aggressive, CER, N=500, No CC, nSim=100k</t>
  </si>
  <si>
    <t>(0.91434,0.91587)</t>
  </si>
  <si>
    <t>(0.30131,0.30462)</t>
  </si>
  <si>
    <t>0.2211,0.69466</t>
  </si>
  <si>
    <t>S2, Ultra Aggressive, No CC, CER, KAE=F</t>
  </si>
  <si>
    <t>S2, Ultra Aggressive, CC, CER, N=800, KAE=F</t>
  </si>
  <si>
    <t>S2, Ultra Aggressive, CC, CER, N=800, KAE=T</t>
  </si>
  <si>
    <t>S2, Ultra Aggressive, No CC, CER, KAE=T</t>
  </si>
  <si>
    <t>S3, Ultra Aggressive, No CC, CER, KAE=F</t>
  </si>
  <si>
    <t>S3, Ultra Aggressive, CC, CER, N=800, KAE=F</t>
  </si>
  <si>
    <t>S4, Ultra Aggressive, No CC, CER, KAE=F</t>
  </si>
  <si>
    <t>S4, Ultra Aggressive, CC, CER, N=800, KAE=F</t>
  </si>
  <si>
    <t>Mixed, S3, c=0.5, Ultra Aggressive, CER, N=500, No CC, KAE=F</t>
  </si>
  <si>
    <t>Mixed, S3, c=0.5, Normal, CER, N=500, No CC, nSim=50k, KAE=F</t>
  </si>
  <si>
    <t>Mixed, S4, c=0.5, Ultra Aggressive, CER, N=500, No CC, KAE=F</t>
  </si>
  <si>
    <t>Mixed, S4, c=0.5, Aggressive, CER, N=500, No CC, nSim=50k, KAE=F</t>
  </si>
  <si>
    <t>Mixed, S0, c=0.5, Conservative, CER, N=500, No CC, nSim=50k, KAE=F</t>
  </si>
  <si>
    <t>Mixed, S0, c=0.5, Normal, CER, N=500, No CC, nSim=50k, KAE=F</t>
  </si>
  <si>
    <t>Mixed, S0, c=0.5, Aggressive, CER, N=500, No CC, nSim=50k, KAE=F</t>
  </si>
  <si>
    <t>Mixed, S0, c=0.5, Ultra Aggressive, CER, N=500, No CC, nSim=50k, KAE=F</t>
  </si>
  <si>
    <t>Mixed, S1, c=0.5, Conservative, CER, N=500, No CC, nSim=50k, KAE=F</t>
  </si>
  <si>
    <t>Mixed, S2, c=0.5, Ultra Aggressive, CER, N=500, No CC, nSim=50k, KAE=F</t>
  </si>
  <si>
    <t>(0.99997,0.99998)</t>
  </si>
  <si>
    <t>(0.22084,0.23521)</t>
  </si>
  <si>
    <t>(0.01085,0.0123)</t>
  </si>
  <si>
    <t>0.30925,0.3455</t>
  </si>
  <si>
    <t>(0.20381,0.21865)</t>
  </si>
  <si>
    <t>(0.0112,0.01289)</t>
  </si>
  <si>
    <t>0.32495,0.2564</t>
  </si>
  <si>
    <t>(0.23387,0.24995)</t>
  </si>
  <si>
    <t>0.33455,0.2109</t>
  </si>
  <si>
    <t>S2, Ultra Aggressive, CC, CER, N=800</t>
  </si>
  <si>
    <t>(0.94946,0.95246)</t>
  </si>
  <si>
    <t>(0.00249,0.00422)</t>
  </si>
  <si>
    <t>(0.94899,0.9521)</t>
  </si>
  <si>
    <t>(0.00078,0.00125)</t>
  </si>
  <si>
    <t>0.02505,0.79615</t>
  </si>
  <si>
    <t>(0.9703,0.97215)</t>
  </si>
  <si>
    <t>(0.00108,0.00234)</t>
  </si>
  <si>
    <t>(0.97023,0.97211)</t>
  </si>
  <si>
    <t>(0.00022,0.00053)</t>
  </si>
  <si>
    <t>0.03055,0.76465</t>
  </si>
  <si>
    <t>(0.9795,0.98084)</t>
  </si>
  <si>
    <t>(0.0016,0.00313)</t>
  </si>
  <si>
    <t>0.0342,0.73265</t>
  </si>
  <si>
    <t>(0.95162,0.95423)</t>
  </si>
  <si>
    <t>(0.00072,0.00179)</t>
  </si>
  <si>
    <t>(0.95144,0.9541)</t>
  </si>
  <si>
    <t>(0.00023,0.00053)</t>
  </si>
  <si>
    <t>0.02395,0.7741</t>
  </si>
  <si>
    <t>(0.96533,0.96735)</t>
  </si>
  <si>
    <t>(9e-04,0.00209)</t>
  </si>
  <si>
    <t>0.02605,0.7514</t>
  </si>
  <si>
    <t>(0.0216,0.02263)</t>
  </si>
  <si>
    <t>0.00116,0.02178</t>
  </si>
  <si>
    <t>(0.0215,0.02254)</t>
  </si>
  <si>
    <t>0.0012,0.0219</t>
  </si>
  <si>
    <t>(0.02091,0.02194)</t>
  </si>
  <si>
    <t>0.00114,0.02166</t>
  </si>
  <si>
    <t>(0.01898,0.01977)</t>
  </si>
  <si>
    <t>0,1018</t>
  </si>
  <si>
    <t>0,0.02036</t>
  </si>
  <si>
    <t>(0.69334,0.69762)</t>
  </si>
  <si>
    <t>(0.01268,0.01472)</t>
  </si>
  <si>
    <t>(0.69299,0.69727)</t>
  </si>
  <si>
    <t>(0.02133,0.02235)</t>
  </si>
  <si>
    <t>0.08252,0.6148</t>
  </si>
  <si>
    <t>(0.92444,0.92689)</t>
  </si>
  <si>
    <t>(0.00144,0.00224)</t>
  </si>
  <si>
    <t>(0.92363,0.92617)</t>
  </si>
  <si>
    <t>(0.0011,0.00142)</t>
  </si>
  <si>
    <t>0.02012,0.7944</t>
  </si>
  <si>
    <t>(0.88726,0.88968)</t>
  </si>
  <si>
    <t>(0.00074,0.0013)</t>
  </si>
  <si>
    <t>(0.88725,0.88968)</t>
  </si>
  <si>
    <t>(0.01917,0.0201)</t>
  </si>
  <si>
    <t>0.18328,0.70418</t>
  </si>
  <si>
    <t>(0.91347,0.91562)</t>
  </si>
  <si>
    <t>(0.00073,0.00129)</t>
  </si>
  <si>
    <t>0.21064,0.6954</t>
  </si>
  <si>
    <t>0.00115,0.0071</t>
  </si>
  <si>
    <t>0.00125,0.00785</t>
  </si>
  <si>
    <t>(0.01105,0.01415)</t>
  </si>
  <si>
    <t>0.0012,0.0114</t>
  </si>
  <si>
    <t>(0.01806,0.02194)</t>
  </si>
  <si>
    <t>0.0011,0.0189</t>
  </si>
  <si>
    <t>(0.00723,0.00977)</t>
  </si>
  <si>
    <t>0.0015,0.007</t>
  </si>
  <si>
    <t>(0.00811,0.01079)</t>
  </si>
  <si>
    <t>0.0015,0.00795</t>
  </si>
  <si>
    <t>(0.01026,0.01324)</t>
  </si>
  <si>
    <t>0.00135,0.0104</t>
  </si>
  <si>
    <t>(0.01897,0.02293)</t>
  </si>
  <si>
    <t>0.0015,0.01945</t>
  </si>
  <si>
    <t>0.0014,0.0072</t>
  </si>
  <si>
    <t>(0.00797,0.01063)</t>
  </si>
  <si>
    <t>0.00125,0.00805</t>
  </si>
  <si>
    <t>(0.01115,0.01425)</t>
  </si>
  <si>
    <t>0.0014,0.0113</t>
  </si>
  <si>
    <t>(0.01873,0.02267)</t>
  </si>
  <si>
    <t>0.0014,0.0193</t>
  </si>
  <si>
    <t>Mixed, S0, c=0, Conservative, CPV, N=500, No CC</t>
  </si>
  <si>
    <t>Mixed, S0, c=0, Normal, CPV, N=500, No CC</t>
  </si>
  <si>
    <t>Mixed, S0, c=0, Aggressive, CPV, N=500, No CC</t>
  </si>
  <si>
    <t>Mixed, S0, c=0, Ultra Aggressive, CPV, N=500, No CC</t>
  </si>
  <si>
    <t>Mixed, S0, c=0.5, Conservative, CPV, N=500, No CC</t>
  </si>
  <si>
    <t>Mixed, S0, c=0.5, Normal, CPV, N=500, No CC</t>
  </si>
  <si>
    <t>Mixed, S0, c=0.5, Aggressive, CPV, N=500, No CC</t>
  </si>
  <si>
    <t>Mixed, S0, c=0.5, Ultra Aggressive, CPV, N=500, No CC</t>
  </si>
  <si>
    <t>Mixed, S0, c=0.8, Conservative, CPV, N=500, No CC</t>
  </si>
  <si>
    <t>Mixed, S0, c=0.8, Normal, CPV, N=500, No CC</t>
  </si>
  <si>
    <t>Mixed, S0, c=0.8, Aggressive, CPV, N=500, No CC</t>
  </si>
  <si>
    <t>Mixed, S0, c=0.8, Ultra Aggressive, CPV, N=500, No CC</t>
  </si>
  <si>
    <t>Test.Suite</t>
  </si>
  <si>
    <t>Compare.FWER.vs.Martin</t>
  </si>
  <si>
    <t>Compare.Pow.vs.Martin</t>
  </si>
  <si>
    <t>(0.02346,0.02519)</t>
  </si>
  <si>
    <t>0.0013,0.0245</t>
  </si>
  <si>
    <t>(0.02388,0.02563)</t>
  </si>
  <si>
    <t>0.0014,0.0244</t>
  </si>
  <si>
    <t>(0.02373,0.02559)</t>
  </si>
  <si>
    <t>0.00185,0.0224</t>
  </si>
  <si>
    <t>(0.02139,0.02307)</t>
  </si>
  <si>
    <t>0.0016,0.02025</t>
  </si>
  <si>
    <t>(0.02301,0.02463)</t>
  </si>
  <si>
    <t>0.00085,0.023</t>
  </si>
  <si>
    <t>(0.02384,0.02561)</t>
  </si>
  <si>
    <t>0.00135,0.02315</t>
  </si>
  <si>
    <t>(0.02357,0.02536)</t>
  </si>
  <si>
    <t>0.00145,0.02365</t>
  </si>
  <si>
    <t>(0.02166,0.02335)</t>
  </si>
  <si>
    <t>0.00155,0.0209</t>
  </si>
  <si>
    <t>(0.0241,0.02585)</t>
  </si>
  <si>
    <t>0.0013,0.0236</t>
  </si>
  <si>
    <t>(0.02312,0.02479)</t>
  </si>
  <si>
    <t>0.001,0.02375</t>
  </si>
  <si>
    <t>(0.02209,0.0237)</t>
  </si>
  <si>
    <t>0.00085,0.02065</t>
  </si>
  <si>
    <t>(0.02087,0.02239)</t>
  </si>
  <si>
    <t>0.00085,0.0188</t>
  </si>
  <si>
    <t>(0.70672,0.71332)</t>
  </si>
  <si>
    <t>0.0809,0.6274</t>
  </si>
  <si>
    <t>(0.77165,0.77773)</t>
  </si>
  <si>
    <t>0.0817,0.68705</t>
  </si>
  <si>
    <t>(0.79592,0.80367)</t>
  </si>
  <si>
    <t>0.08385,0.7138</t>
  </si>
  <si>
    <t>(0.84694,0.85362)</t>
  </si>
  <si>
    <t>(0.84383,0.85076)</t>
  </si>
  <si>
    <t>0.08325,0.7651</t>
  </si>
  <si>
    <t>(0.83464,0.83953)</t>
  </si>
  <si>
    <t>0.1453,0.6937</t>
  </si>
  <si>
    <t>(0.86889,0.87304)</t>
  </si>
  <si>
    <t>(0.86886,0.87302)</t>
  </si>
  <si>
    <t>0.14195,0.727</t>
  </si>
  <si>
    <t>(0.93678,0.94011)</t>
  </si>
  <si>
    <t>(0.93594,0.93941)</t>
  </si>
  <si>
    <t>0.14295,0.7917</t>
  </si>
  <si>
    <t>(0.87802,0.88219)</t>
  </si>
  <si>
    <t>0.1898,0.69</t>
  </si>
  <si>
    <t>(0.89504,0.89869)</t>
  </si>
  <si>
    <t>0.18975,0.70905</t>
  </si>
  <si>
    <t>(0.9131,0.9169)</t>
  </si>
  <si>
    <t>0.1898,0.72555</t>
  </si>
  <si>
    <t>(0.96166,0.96387)</t>
  </si>
  <si>
    <t>(0.96133,0.96362)</t>
  </si>
  <si>
    <t>0.1919,0.77075</t>
  </si>
  <si>
    <t>(0.89842,0.90227)</t>
  </si>
  <si>
    <t>0.22225,0.6798</t>
  </si>
  <si>
    <t>(0.90438,0.9079)</t>
  </si>
  <si>
    <t>0.2258,0.68135</t>
  </si>
  <si>
    <t>(0.92081,0.92402)</t>
  </si>
  <si>
    <t>0.22055,0.7011</t>
  </si>
  <si>
    <t>(0.9735,0.97507)</t>
  </si>
  <si>
    <t>0.22215,0.7521</t>
  </si>
  <si>
    <t>Column3</t>
  </si>
  <si>
    <t>Disj.New</t>
  </si>
  <si>
    <t>Disj.Old</t>
  </si>
  <si>
    <t>Disj.Martin</t>
  </si>
  <si>
    <t>CI.Disj.Martin</t>
  </si>
  <si>
    <t>Conj.Old</t>
  </si>
  <si>
    <t>Conj.New</t>
  </si>
  <si>
    <t>Conj.Martin</t>
  </si>
  <si>
    <t>CI.Conj.Martin</t>
  </si>
  <si>
    <t>FWER.old</t>
  </si>
  <si>
    <t>FWER.New</t>
  </si>
  <si>
    <t>FWER.Martin</t>
  </si>
  <si>
    <t>CI.FWER.Martin</t>
  </si>
  <si>
    <t>(0.45414,0.46191)</t>
  </si>
  <si>
    <t>(0.70625,0.71285)</t>
  </si>
  <si>
    <t>(0.01551,0.01685)</t>
  </si>
  <si>
    <t>(0.5381,0.54622)</t>
  </si>
  <si>
    <t>(0.77121,0.77731)</t>
  </si>
  <si>
    <t>(0.01548,0.01679)</t>
  </si>
  <si>
    <t>(0.60045,0.60965)</t>
  </si>
  <si>
    <t>(0.79544,0.80322)</t>
  </si>
  <si>
    <t>(0.0152,0.01662)</t>
  </si>
  <si>
    <t>(0.68993,0.69887)</t>
  </si>
  <si>
    <t>(0.00348,0.0046)</t>
  </si>
  <si>
    <t>(0.25681,0.26313)</t>
  </si>
  <si>
    <t>(0.83446,0.83935)</t>
  </si>
  <si>
    <t>(0.01177,0.01305)</t>
  </si>
  <si>
    <t>(0.30379,0.3107)</t>
  </si>
  <si>
    <t>(0.01139,0.01254)</t>
  </si>
  <si>
    <t>(0.88933,0.89435)</t>
  </si>
  <si>
    <t>(0.3306,0.33859)</t>
  </si>
  <si>
    <t>(0.8891,0.89413)</t>
  </si>
  <si>
    <t>(0.01132,0.01263)</t>
  </si>
  <si>
    <t>0.145,0.74585</t>
  </si>
  <si>
    <t>(0.00172,0.00308)</t>
  </si>
  <si>
    <t>(0.00112,0.00202)</t>
  </si>
  <si>
    <t>(0.19291,0.19849)</t>
  </si>
  <si>
    <t>(0.87786,0.88204)</t>
  </si>
  <si>
    <t>(0.00848,0.00944)</t>
  </si>
  <si>
    <t>(0.20916,0.21502)</t>
  </si>
  <si>
    <t>(0.89488,0.89854)</t>
  </si>
  <si>
    <t>(0.00816,0.00913)</t>
  </si>
  <si>
    <t>(0.21265,0.21915)</t>
  </si>
  <si>
    <t>(0.91299,0.9168)</t>
  </si>
  <si>
    <t>(0.00688,0.00778)</t>
  </si>
  <si>
    <t>(0.00064,0.00156)</t>
  </si>
  <si>
    <t>(0.00026,0.00082)</t>
  </si>
  <si>
    <t>(0.20715,0.21317)</t>
  </si>
  <si>
    <t>(0.20299,0.20907)</t>
  </si>
  <si>
    <t>(0.18658,0.19292)</t>
  </si>
  <si>
    <t>(0.00084,0.00186)</t>
  </si>
  <si>
    <t>HoursTaken2</t>
  </si>
  <si>
    <t>(0.02443,0.02524)</t>
  </si>
  <si>
    <t>(0.02451,0.02533)</t>
  </si>
  <si>
    <t>(0.02371,0.02454)</t>
  </si>
  <si>
    <t>(0.02162,0.02239)</t>
  </si>
  <si>
    <t>(0.0246,0.02541)</t>
  </si>
  <si>
    <t>(0.02445,0.02527)</t>
  </si>
  <si>
    <t>(0.02368,0.02451)</t>
  </si>
  <si>
    <t>(0.02201,0.02279)</t>
  </si>
  <si>
    <t>(0.02477,0.02559)</t>
  </si>
  <si>
    <t>(0.02438,0.02519)</t>
  </si>
  <si>
    <t>(0.02355,0.02435)</t>
  </si>
  <si>
    <t>(0.02194,0.02269)</t>
  </si>
  <si>
    <t>(0.70862,0.71161)</t>
  </si>
  <si>
    <t>(0.45317,0.45669)</t>
  </si>
  <si>
    <t>(0.70789,0.71089)</t>
  </si>
  <si>
    <t>(0.01638,0.01703)</t>
  </si>
  <si>
    <t>(0.77205,0.77483)</t>
  </si>
  <si>
    <t>(0.5368,0.54048)</t>
  </si>
  <si>
    <t>(0.77136,0.77415)</t>
  </si>
  <si>
    <t>(0.0164,0.01705)</t>
  </si>
  <si>
    <t>(0.79769,0.80119)</t>
  </si>
  <si>
    <t>(0.60098,0.60513)</t>
  </si>
  <si>
    <t>(0.79705,0.80055)</t>
  </si>
  <si>
    <t>(0.01576,0.01641)</t>
  </si>
  <si>
    <t>(0.84793,0.85095)</t>
  </si>
  <si>
    <t>(0.68856,0.69261)</t>
  </si>
  <si>
    <t>(0.84453,0.84768)</t>
  </si>
  <si>
    <t>(0.00393,0.00444)</t>
  </si>
  <si>
    <t>(0.83654,0.83874)</t>
  </si>
  <si>
    <t>(0.25868,0.26154)</t>
  </si>
  <si>
    <t>(0.83634,0.83854)</t>
  </si>
  <si>
    <t>(0.01193,0.0125)</t>
  </si>
  <si>
    <t>(0.87023,0.87212)</t>
  </si>
  <si>
    <t>(0.30416,0.30728)</t>
  </si>
  <si>
    <t>(0.87009,0.87199)</t>
  </si>
  <si>
    <t>(0.01184,0.01238)</t>
  </si>
  <si>
    <t>(0.89117,0.89341)</t>
  </si>
  <si>
    <t>(0.33313,0.33672)</t>
  </si>
  <si>
    <t>(0.89099,0.89324)</t>
  </si>
  <si>
    <t>(0.01129,0.01186)</t>
  </si>
  <si>
    <t>(0.9375,0.93902)</t>
  </si>
  <si>
    <t>(0.00182,0.00238)</t>
  </si>
  <si>
    <t>(0.93668,0.93827)</t>
  </si>
  <si>
    <t>(0.00143,0.00185)</t>
  </si>
  <si>
    <t>(0.87979,0.88168)</t>
  </si>
  <si>
    <t>(0.19502,0.19754)</t>
  </si>
  <si>
    <t>(0.87972,0.88161)</t>
  </si>
  <si>
    <t>(0.00876,0.00922)</t>
  </si>
  <si>
    <t>(0.89652,0.89817)</t>
  </si>
  <si>
    <t>(0.21161,0.21427)</t>
  </si>
  <si>
    <t>(0.89644,0.8981)</t>
  </si>
  <si>
    <t>(0.00857,0.00903)</t>
  </si>
  <si>
    <t>(0.91467,0.91638)</t>
  </si>
  <si>
    <t>(0.21451,0.21744)</t>
  </si>
  <si>
    <t>(0.91459,0.91629)</t>
  </si>
  <si>
    <t>(0.00744,0.0079)</t>
  </si>
  <si>
    <t>(0.9626,0.96358)</t>
  </si>
  <si>
    <t>(0.00077,0.00115)</t>
  </si>
  <si>
    <t>(0.96235,0.96336)</t>
  </si>
  <si>
    <t>(0.00057,0.00088)</t>
  </si>
  <si>
    <t>(0.89913,0.90089)</t>
  </si>
  <si>
    <t>(0.20726,0.20997)</t>
  </si>
  <si>
    <t>(0.90562,0.90721)</t>
  </si>
  <si>
    <t>(0.20421,0.20694)</t>
  </si>
  <si>
    <t>(0.92184,0.92331)</t>
  </si>
  <si>
    <t>(0.18549,0.18834)</t>
  </si>
  <si>
    <t>(0.9739,0.97462)</t>
  </si>
  <si>
    <t>(0.00081,0.00121)</t>
  </si>
  <si>
    <t>Global.Power2</t>
  </si>
  <si>
    <t>Conjunctive.Power3</t>
  </si>
  <si>
    <t>Disjunctive.Power4</t>
  </si>
  <si>
    <t>FWER5</t>
  </si>
  <si>
    <t>CI_95perc_Global.Power6</t>
  </si>
  <si>
    <t>CI_95perc_Conjunctive.Power7</t>
  </si>
  <si>
    <t>CI_95perc_Disjunctive.Power8</t>
  </si>
  <si>
    <t>CI_95perc_FWER9</t>
  </si>
  <si>
    <t>Output with nSim1=100000, nSim2=100 like in Benjamin's doc &gt;&gt;&gt;</t>
  </si>
  <si>
    <t>FWER.Martin2</t>
  </si>
  <si>
    <t>Disj.Martin2</t>
  </si>
  <si>
    <t>Conj.Martin2</t>
  </si>
  <si>
    <t>FWER.New.100k</t>
  </si>
  <si>
    <t>Disj.New.100k</t>
  </si>
  <si>
    <t>Conj.New.100k</t>
  </si>
  <si>
    <t>Stage 1 Sims</t>
  </si>
  <si>
    <t>Stage 2 Sims</t>
  </si>
  <si>
    <t>FWER.AdaptGMCP</t>
  </si>
  <si>
    <t>FWER.adagraph</t>
  </si>
  <si>
    <t>Results of batch completed on 12 Feb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</si>
</sst>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sz val="11"/>
      <color indexed="8"/>
      <name val="Aptos Narrow"/>
      <family val="2"/>
    </font>
    <font>
      <sz val="8"/>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7"/>
        <bgColor theme="7"/>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theme="7"/>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40">
    <xf numFmtId="0" fontId="0" fillId="0" borderId="0" xfId="0"/>
    <xf numFmtId="3" fontId="0" fillId="0" borderId="0" xfId="0" applyNumberFormat="1"/>
    <xf numFmtId="0" fontId="18" fillId="0" borderId="0" xfId="0" applyFont="1"/>
    <xf numFmtId="0" fontId="0" fillId="33" borderId="0" xfId="0" applyFill="1"/>
    <xf numFmtId="0" fontId="0" fillId="0" borderId="0" xfId="0" pivotButton="1"/>
    <xf numFmtId="0" fontId="14" fillId="0" borderId="0" xfId="0" applyFont="1"/>
    <xf numFmtId="0" fontId="19" fillId="0" borderId="0" xfId="0" applyFont="1"/>
    <xf numFmtId="3" fontId="19" fillId="0" borderId="0" xfId="0" applyNumberFormat="1" applyFont="1"/>
    <xf numFmtId="11" fontId="0" fillId="0" borderId="0" xfId="0" applyNumberFormat="1"/>
    <xf numFmtId="164" fontId="0" fillId="0" borderId="0" xfId="42" applyNumberFormat="1" applyFont="1"/>
    <xf numFmtId="10" fontId="0" fillId="0" borderId="0" xfId="42" applyNumberFormat="1" applyFont="1"/>
    <xf numFmtId="0" fontId="0" fillId="34" borderId="0" xfId="0" applyFill="1"/>
    <xf numFmtId="164" fontId="0" fillId="34" borderId="0" xfId="42" applyNumberFormat="1" applyFont="1" applyFill="1"/>
    <xf numFmtId="0" fontId="3" fillId="0" borderId="1" xfId="2"/>
    <xf numFmtId="0" fontId="16" fillId="0" borderId="10" xfId="0" applyFont="1" applyBorder="1"/>
    <xf numFmtId="0" fontId="0" fillId="0" borderId="10" xfId="0" applyBorder="1"/>
    <xf numFmtId="164" fontId="0" fillId="0" borderId="10" xfId="42" applyNumberFormat="1" applyFont="1" applyBorder="1"/>
    <xf numFmtId="164" fontId="0" fillId="0" borderId="10" xfId="42" applyNumberFormat="1" applyFont="1" applyBorder="1" applyAlignment="1">
      <alignment wrapText="1"/>
    </xf>
    <xf numFmtId="10" fontId="0" fillId="0" borderId="10" xfId="42" applyNumberFormat="1" applyFont="1" applyBorder="1"/>
    <xf numFmtId="10" fontId="0" fillId="0" borderId="0" xfId="0" applyNumberFormat="1"/>
    <xf numFmtId="0" fontId="0" fillId="35" borderId="0" xfId="0" applyFill="1"/>
    <xf numFmtId="10" fontId="0" fillId="0" borderId="0" xfId="42" applyNumberFormat="1" applyFont="1" applyAlignment="1"/>
    <xf numFmtId="10" fontId="0" fillId="34" borderId="0" xfId="0" applyNumberFormat="1" applyFill="1"/>
    <xf numFmtId="10" fontId="0" fillId="36" borderId="0" xfId="0" applyNumberFormat="1" applyFill="1"/>
    <xf numFmtId="10" fontId="0" fillId="36" borderId="0" xfId="42" applyNumberFormat="1" applyFont="1" applyFill="1" applyAlignment="1"/>
    <xf numFmtId="0" fontId="0" fillId="0" borderId="0" xfId="0" applyAlignment="1">
      <alignment horizontal="left" vertical="center" wrapText="1"/>
    </xf>
    <xf numFmtId="0" fontId="16" fillId="0" borderId="10" xfId="0" applyFont="1" applyBorder="1" applyAlignment="1">
      <alignment horizontal="center"/>
    </xf>
    <xf numFmtId="0" fontId="0" fillId="0" borderId="11" xfId="0" applyFont="1" applyBorder="1"/>
    <xf numFmtId="0" fontId="0" fillId="0" borderId="0" xfId="0" applyAlignment="1"/>
    <xf numFmtId="0" fontId="16" fillId="34" borderId="0" xfId="0" applyFont="1" applyFill="1"/>
    <xf numFmtId="10" fontId="0" fillId="34" borderId="0" xfId="0" applyNumberFormat="1" applyFill="1" applyAlignment="1"/>
    <xf numFmtId="10" fontId="0" fillId="0" borderId="0" xfId="0" applyNumberFormat="1" applyAlignment="1"/>
    <xf numFmtId="164" fontId="0" fillId="34" borderId="0" xfId="42" applyNumberFormat="1" applyFont="1" applyFill="1" applyAlignment="1"/>
    <xf numFmtId="10" fontId="0" fillId="36" borderId="0" xfId="0" applyNumberFormat="1" applyFill="1" applyAlignment="1"/>
    <xf numFmtId="164" fontId="0" fillId="36" borderId="0" xfId="42" applyNumberFormat="1" applyFont="1" applyFill="1" applyAlignment="1"/>
    <xf numFmtId="10" fontId="0" fillId="0" borderId="0" xfId="0" applyNumberFormat="1" applyFill="1" applyAlignment="1"/>
    <xf numFmtId="10" fontId="0" fillId="34" borderId="11" xfId="0" applyNumberFormat="1" applyFont="1" applyFill="1" applyBorder="1" applyAlignment="1"/>
    <xf numFmtId="10" fontId="0" fillId="36" borderId="11" xfId="0" applyNumberFormat="1" applyFont="1" applyFill="1" applyBorder="1" applyAlignment="1"/>
    <xf numFmtId="0" fontId="13" fillId="37" borderId="0" xfId="0" applyFont="1" applyFill="1" applyBorder="1"/>
    <xf numFmtId="0" fontId="13" fillId="37" borderId="0" xfId="0" applyFont="1" applyFill="1" applyBorder="1" applyAlignme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11">
    <dxf>
      <font>
        <color rgb="FF9C0006"/>
      </font>
      <fill>
        <patternFill>
          <bgColor rgb="FFFFC7CE"/>
        </patternFill>
      </fill>
    </dxf>
    <dxf>
      <font>
        <b/>
        <i val="0"/>
        <strike val="0"/>
        <condense val="0"/>
        <extend val="0"/>
        <outline val="0"/>
        <shadow val="0"/>
        <u val="none"/>
        <vertAlign val="baseline"/>
        <sz val="11"/>
        <color theme="0"/>
        <name val="Aptos Narrow"/>
        <family val="2"/>
        <scheme val="minor"/>
      </font>
      <fill>
        <patternFill patternType="solid">
          <fgColor theme="7"/>
          <bgColor theme="7"/>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4" formatCode="0.00%"/>
      <fill>
        <patternFill patternType="solid">
          <fgColor indexed="64"/>
          <bgColor theme="6" tint="0.79998168889431442"/>
        </patternFill>
      </fill>
      <alignment horizontal="general" vertical="bottom" textRotation="0" wrapText="0" indent="0" justifyLastLine="0" shrinkToFit="0" readingOrder="0"/>
      <border diagonalUp="0" diagonalDown="0">
        <left/>
        <right/>
        <top style="thin">
          <color theme="7"/>
        </top>
        <bottom/>
        <vertical/>
        <horizontal/>
      </border>
    </dxf>
    <dxf>
      <font>
        <b val="0"/>
        <i val="0"/>
        <strike val="0"/>
        <condense val="0"/>
        <extend val="0"/>
        <outline val="0"/>
        <shadow val="0"/>
        <u val="none"/>
        <vertAlign val="baseline"/>
        <sz val="11"/>
        <color theme="1"/>
        <name val="Aptos Narrow"/>
        <family val="2"/>
        <scheme val="minor"/>
      </font>
      <numFmt numFmtId="14" formatCode="0.00%"/>
      <fill>
        <patternFill patternType="solid">
          <fgColor indexed="64"/>
          <bgColor theme="5" tint="0.79998168889431442"/>
        </patternFill>
      </fill>
      <alignment horizontal="general" vertical="bottom" textRotation="0" wrapText="0" indent="0" justifyLastLine="0" shrinkToFit="0" readingOrder="0"/>
      <border diagonalUp="0" diagonalDown="0">
        <left/>
        <right/>
        <top style="thin">
          <color theme="7"/>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7"/>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7"/>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7"/>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7"/>
        </top>
        <bottom/>
        <vertical/>
        <horizontal/>
      </border>
    </dxf>
    <dxf>
      <border outline="0">
        <left style="thin">
          <color theme="7"/>
        </left>
        <top style="thin">
          <color theme="7"/>
        </top>
      </border>
    </dxf>
    <dxf>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fill>
        <patternFill patternType="solid">
          <fgColor indexed="64"/>
          <bgColor theme="5" tint="0.79998168889431442"/>
        </patternFill>
      </fill>
      <alignment horizontal="general" vertical="bottom" textRotation="0" wrapText="0" indent="0" justifyLastLine="0" shrinkToFit="0" readingOrder="0"/>
    </dxf>
    <dxf>
      <numFmt numFmtId="14" formatCode="0.00%"/>
      <fill>
        <patternFill>
          <fgColor indexed="64"/>
          <bgColor theme="6" tint="0.79998168889431442"/>
        </patternFill>
      </fil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4" formatCode="0.00%"/>
      <alignment horizontal="general" vertical="bottom" textRotation="0" wrapText="0" indent="0" justifyLastLine="0" shrinkToFit="0" readingOrder="0"/>
    </dxf>
    <dxf>
      <numFmt numFmtId="14" formatCode="0.0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3"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Disjunctive</a:t>
            </a:r>
            <a:r>
              <a:rPr lang="en-US" baseline="0"/>
              <a:t> Power (</a:t>
            </a:r>
            <a:r>
              <a:rPr lang="en-US"/>
              <a:t>S1)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Analysis!$T$4</c:f>
              <c:strCache>
                <c:ptCount val="1"/>
                <c:pt idx="0">
                  <c:v>CER</c:v>
                </c:pt>
              </c:strCache>
            </c:strRef>
          </c:tx>
          <c:spPr>
            <a:solidFill>
              <a:schemeClr val="accent1"/>
            </a:solidFill>
            <a:ln>
              <a:noFill/>
            </a:ln>
            <a:effectLst/>
          </c:spPr>
          <c:invertIfNegative val="0"/>
          <c:cat>
            <c:strRef>
              <c:f>Analysis!$O$5:$O$9</c:f>
              <c:strCache>
                <c:ptCount val="5"/>
                <c:pt idx="0">
                  <c:v>No drop</c:v>
                </c:pt>
                <c:pt idx="1">
                  <c:v>Conservative</c:v>
                </c:pt>
                <c:pt idx="2">
                  <c:v>Normal</c:v>
                </c:pt>
                <c:pt idx="3">
                  <c:v>Aggressive</c:v>
                </c:pt>
                <c:pt idx="4">
                  <c:v>Ultra Aggressive</c:v>
                </c:pt>
              </c:strCache>
            </c:strRef>
          </c:cat>
          <c:val>
            <c:numRef>
              <c:f>Analysis!$T$5:$T$9</c:f>
              <c:numCache>
                <c:formatCode>0.0%</c:formatCode>
                <c:ptCount val="5"/>
                <c:pt idx="0">
                  <c:v>0.6734521</c:v>
                </c:pt>
                <c:pt idx="1">
                  <c:v>0.7436952</c:v>
                </c:pt>
                <c:pt idx="2">
                  <c:v>0.79542880000000005</c:v>
                </c:pt>
                <c:pt idx="3">
                  <c:v>0.83153730000000003</c:v>
                </c:pt>
                <c:pt idx="4">
                  <c:v>0.87971140000000003</c:v>
                </c:pt>
              </c:numCache>
            </c:numRef>
          </c:val>
          <c:extLst>
            <c:ext xmlns:c16="http://schemas.microsoft.com/office/drawing/2014/chart" uri="{C3380CC4-5D6E-409C-BE32-E72D297353CC}">
              <c16:uniqueId val="{00000000-0FE4-464A-8049-F521C6E283BF}"/>
            </c:ext>
          </c:extLst>
        </c:ser>
        <c:ser>
          <c:idx val="1"/>
          <c:order val="1"/>
          <c:tx>
            <c:strRef>
              <c:f>Analysis!$U$4</c:f>
              <c:strCache>
                <c:ptCount val="1"/>
                <c:pt idx="0">
                  <c:v>CombPValue</c:v>
                </c:pt>
              </c:strCache>
            </c:strRef>
          </c:tx>
          <c:spPr>
            <a:solidFill>
              <a:schemeClr val="accent2"/>
            </a:solidFill>
            <a:ln>
              <a:noFill/>
            </a:ln>
            <a:effectLst/>
          </c:spPr>
          <c:invertIfNegative val="0"/>
          <c:cat>
            <c:strRef>
              <c:f>Analysis!$O$5:$O$9</c:f>
              <c:strCache>
                <c:ptCount val="5"/>
                <c:pt idx="0">
                  <c:v>No drop</c:v>
                </c:pt>
                <c:pt idx="1">
                  <c:v>Conservative</c:v>
                </c:pt>
                <c:pt idx="2">
                  <c:v>Normal</c:v>
                </c:pt>
                <c:pt idx="3">
                  <c:v>Aggressive</c:v>
                </c:pt>
                <c:pt idx="4">
                  <c:v>Ultra Aggressive</c:v>
                </c:pt>
              </c:strCache>
            </c:strRef>
          </c:cat>
          <c:val>
            <c:numRef>
              <c:f>Analysis!$U$5:$U$9</c:f>
              <c:numCache>
                <c:formatCode>0.0%</c:formatCode>
                <c:ptCount val="5"/>
                <c:pt idx="0">
                  <c:v>0.53610000000000002</c:v>
                </c:pt>
                <c:pt idx="1">
                  <c:v>0.62485000000000002</c:v>
                </c:pt>
                <c:pt idx="2">
                  <c:v>0.70304999999999995</c:v>
                </c:pt>
                <c:pt idx="3">
                  <c:v>0.79959999999999998</c:v>
                </c:pt>
                <c:pt idx="4">
                  <c:v>0.84940000000000004</c:v>
                </c:pt>
              </c:numCache>
            </c:numRef>
          </c:val>
          <c:extLst>
            <c:ext xmlns:c16="http://schemas.microsoft.com/office/drawing/2014/chart" uri="{C3380CC4-5D6E-409C-BE32-E72D297353CC}">
              <c16:uniqueId val="{00000001-0FE4-464A-8049-F521C6E283BF}"/>
            </c:ext>
          </c:extLst>
        </c:ser>
        <c:dLbls>
          <c:showLegendKey val="0"/>
          <c:showVal val="0"/>
          <c:showCatName val="0"/>
          <c:showSerName val="0"/>
          <c:showPercent val="0"/>
          <c:showBubbleSize val="0"/>
        </c:dLbls>
        <c:gapWidth val="219"/>
        <c:overlap val="-27"/>
        <c:axId val="106148896"/>
        <c:axId val="106147456"/>
      </c:barChart>
      <c:catAx>
        <c:axId val="10614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47456"/>
        <c:crosses val="autoZero"/>
        <c:auto val="1"/>
        <c:lblAlgn val="ctr"/>
        <c:lblOffset val="100"/>
        <c:noMultiLvlLbl val="0"/>
      </c:catAx>
      <c:valAx>
        <c:axId val="106147456"/>
        <c:scaling>
          <c:orientation val="minMax"/>
          <c:max val="1"/>
          <c:min val="0.5"/>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48896"/>
        <c:crosses val="autoZero"/>
        <c:crossBetween val="between"/>
      </c:valAx>
      <c:spPr>
        <a:noFill/>
        <a:ln>
          <a:noFill/>
        </a:ln>
        <a:effectLst/>
      </c:spPr>
    </c:plotArea>
    <c:legend>
      <c:legendPos val="b"/>
      <c:layout>
        <c:manualLayout>
          <c:xMode val="edge"/>
          <c:yMode val="edge"/>
          <c:x val="0.35146380139982497"/>
          <c:y val="0.85150393700787408"/>
          <c:w val="0.34182660761154854"/>
          <c:h val="9.375065616797902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Disjunctive Power (S3)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Analysis!$Z$4</c:f>
              <c:strCache>
                <c:ptCount val="1"/>
                <c:pt idx="0">
                  <c:v>CER</c:v>
                </c:pt>
              </c:strCache>
            </c:strRef>
          </c:tx>
          <c:spPr>
            <a:solidFill>
              <a:schemeClr val="accent1"/>
            </a:solidFill>
            <a:ln>
              <a:noFill/>
            </a:ln>
            <a:effectLst/>
          </c:spPr>
          <c:invertIfNegative val="0"/>
          <c:cat>
            <c:strRef>
              <c:f>Analysis!$O$5:$O$9</c:f>
              <c:strCache>
                <c:ptCount val="5"/>
                <c:pt idx="0">
                  <c:v>No drop</c:v>
                </c:pt>
                <c:pt idx="1">
                  <c:v>Conservative</c:v>
                </c:pt>
                <c:pt idx="2">
                  <c:v>Normal</c:v>
                </c:pt>
                <c:pt idx="3">
                  <c:v>Aggressive</c:v>
                </c:pt>
                <c:pt idx="4">
                  <c:v>Ultra Aggressive</c:v>
                </c:pt>
              </c:strCache>
            </c:strRef>
          </c:cat>
          <c:val>
            <c:numRef>
              <c:f>Analysis!$Z$5:$Z$9</c:f>
              <c:numCache>
                <c:formatCode>0.0%</c:formatCode>
                <c:ptCount val="5"/>
                <c:pt idx="0">
                  <c:v>0.88735560000000002</c:v>
                </c:pt>
                <c:pt idx="1">
                  <c:v>0.90393679999999998</c:v>
                </c:pt>
                <c:pt idx="2">
                  <c:v>0.91601270000000001</c:v>
                </c:pt>
                <c:pt idx="3">
                  <c:v>0.93578229999999996</c:v>
                </c:pt>
                <c:pt idx="4">
                  <c:v>0.97657439999999995</c:v>
                </c:pt>
              </c:numCache>
            </c:numRef>
          </c:val>
          <c:extLst>
            <c:ext xmlns:c16="http://schemas.microsoft.com/office/drawing/2014/chart" uri="{C3380CC4-5D6E-409C-BE32-E72D297353CC}">
              <c16:uniqueId val="{00000000-2188-4AA6-BB9F-01581BA1AA81}"/>
            </c:ext>
          </c:extLst>
        </c:ser>
        <c:ser>
          <c:idx val="1"/>
          <c:order val="1"/>
          <c:tx>
            <c:strRef>
              <c:f>Analysis!$AA$4</c:f>
              <c:strCache>
                <c:ptCount val="1"/>
                <c:pt idx="0">
                  <c:v>CombPValue</c:v>
                </c:pt>
              </c:strCache>
            </c:strRef>
          </c:tx>
          <c:spPr>
            <a:solidFill>
              <a:schemeClr val="accent2"/>
            </a:solidFill>
            <a:ln>
              <a:noFill/>
            </a:ln>
            <a:effectLst/>
          </c:spPr>
          <c:invertIfNegative val="0"/>
          <c:cat>
            <c:strRef>
              <c:f>Analysis!$O$5:$O$9</c:f>
              <c:strCache>
                <c:ptCount val="5"/>
                <c:pt idx="0">
                  <c:v>No drop</c:v>
                </c:pt>
                <c:pt idx="1">
                  <c:v>Conservative</c:v>
                </c:pt>
                <c:pt idx="2">
                  <c:v>Normal</c:v>
                </c:pt>
                <c:pt idx="3">
                  <c:v>Aggressive</c:v>
                </c:pt>
                <c:pt idx="4">
                  <c:v>Ultra Aggressive</c:v>
                </c:pt>
              </c:strCache>
            </c:strRef>
          </c:cat>
          <c:val>
            <c:numRef>
              <c:f>Analysis!$AA$5:$AA$9</c:f>
              <c:numCache>
                <c:formatCode>0.0%</c:formatCode>
                <c:ptCount val="5"/>
                <c:pt idx="0">
                  <c:v>0.8216</c:v>
                </c:pt>
                <c:pt idx="1">
                  <c:v>0.84945000000000004</c:v>
                </c:pt>
                <c:pt idx="2">
                  <c:v>0.87234999999999996</c:v>
                </c:pt>
                <c:pt idx="3">
                  <c:v>0.91034999999999999</c:v>
                </c:pt>
                <c:pt idx="4">
                  <c:v>0.96579999999999999</c:v>
                </c:pt>
              </c:numCache>
            </c:numRef>
          </c:val>
          <c:extLst>
            <c:ext xmlns:c16="http://schemas.microsoft.com/office/drawing/2014/chart" uri="{C3380CC4-5D6E-409C-BE32-E72D297353CC}">
              <c16:uniqueId val="{00000001-2188-4AA6-BB9F-01581BA1AA81}"/>
            </c:ext>
          </c:extLst>
        </c:ser>
        <c:dLbls>
          <c:showLegendKey val="0"/>
          <c:showVal val="0"/>
          <c:showCatName val="0"/>
          <c:showSerName val="0"/>
          <c:showPercent val="0"/>
          <c:showBubbleSize val="0"/>
        </c:dLbls>
        <c:gapWidth val="219"/>
        <c:overlap val="-27"/>
        <c:axId val="153054544"/>
        <c:axId val="154268144"/>
      </c:barChart>
      <c:catAx>
        <c:axId val="15305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68144"/>
        <c:crosses val="autoZero"/>
        <c:auto val="1"/>
        <c:lblAlgn val="ctr"/>
        <c:lblOffset val="100"/>
        <c:noMultiLvlLbl val="0"/>
      </c:catAx>
      <c:valAx>
        <c:axId val="154268144"/>
        <c:scaling>
          <c:orientation val="minMax"/>
          <c:max val="1"/>
          <c:min val="0.5"/>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54544"/>
        <c:crosses val="autoZero"/>
        <c:crossBetween val="between"/>
      </c:valAx>
      <c:spPr>
        <a:noFill/>
        <a:ln>
          <a:noFill/>
        </a:ln>
        <a:effectLst/>
      </c:spPr>
    </c:plotArea>
    <c:legend>
      <c:legendPos val="b"/>
      <c:layout>
        <c:manualLayout>
          <c:xMode val="edge"/>
          <c:yMode val="edge"/>
          <c:x val="0.326463801399825"/>
          <c:y val="0.86909667541557312"/>
          <c:w val="0.34182660761154854"/>
          <c:h val="9.375065616797902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Disjunctive Power (S2)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Analysis!$W$4</c:f>
              <c:strCache>
                <c:ptCount val="1"/>
                <c:pt idx="0">
                  <c:v>CER</c:v>
                </c:pt>
              </c:strCache>
            </c:strRef>
          </c:tx>
          <c:spPr>
            <a:solidFill>
              <a:schemeClr val="accent1"/>
            </a:solidFill>
            <a:ln>
              <a:noFill/>
            </a:ln>
            <a:effectLst/>
          </c:spPr>
          <c:invertIfNegative val="0"/>
          <c:cat>
            <c:strRef>
              <c:f>Analysis!$O$5:$O$9</c:f>
              <c:strCache>
                <c:ptCount val="5"/>
                <c:pt idx="0">
                  <c:v>No drop</c:v>
                </c:pt>
                <c:pt idx="1">
                  <c:v>Conservative</c:v>
                </c:pt>
                <c:pt idx="2">
                  <c:v>Normal</c:v>
                </c:pt>
                <c:pt idx="3">
                  <c:v>Aggressive</c:v>
                </c:pt>
                <c:pt idx="4">
                  <c:v>Ultra Aggressive</c:v>
                </c:pt>
              </c:strCache>
            </c:strRef>
          </c:cat>
          <c:val>
            <c:numRef>
              <c:f>Analysis!$W$5:$W$9</c:f>
              <c:numCache>
                <c:formatCode>0.0%</c:formatCode>
                <c:ptCount val="5"/>
                <c:pt idx="0">
                  <c:v>0.82602089999999995</c:v>
                </c:pt>
                <c:pt idx="1">
                  <c:v>0.86526049999999999</c:v>
                </c:pt>
                <c:pt idx="2">
                  <c:v>0.89162629999999998</c:v>
                </c:pt>
                <c:pt idx="3">
                  <c:v>0.9176107</c:v>
                </c:pt>
                <c:pt idx="4">
                  <c:v>0.95751500000000001</c:v>
                </c:pt>
              </c:numCache>
            </c:numRef>
          </c:val>
          <c:extLst>
            <c:ext xmlns:c16="http://schemas.microsoft.com/office/drawing/2014/chart" uri="{C3380CC4-5D6E-409C-BE32-E72D297353CC}">
              <c16:uniqueId val="{00000000-30D5-4C37-8176-5A309546CC6D}"/>
            </c:ext>
          </c:extLst>
        </c:ser>
        <c:ser>
          <c:idx val="1"/>
          <c:order val="1"/>
          <c:tx>
            <c:strRef>
              <c:f>Analysis!$X$4</c:f>
              <c:strCache>
                <c:ptCount val="1"/>
                <c:pt idx="0">
                  <c:v>CombPValue</c:v>
                </c:pt>
              </c:strCache>
            </c:strRef>
          </c:tx>
          <c:spPr>
            <a:solidFill>
              <a:schemeClr val="accent2"/>
            </a:solidFill>
            <a:ln>
              <a:noFill/>
            </a:ln>
            <a:effectLst/>
          </c:spPr>
          <c:invertIfNegative val="0"/>
          <c:cat>
            <c:strRef>
              <c:f>Analysis!$O$5:$O$9</c:f>
              <c:strCache>
                <c:ptCount val="5"/>
                <c:pt idx="0">
                  <c:v>No drop</c:v>
                </c:pt>
                <c:pt idx="1">
                  <c:v>Conservative</c:v>
                </c:pt>
                <c:pt idx="2">
                  <c:v>Normal</c:v>
                </c:pt>
                <c:pt idx="3">
                  <c:v>Aggressive</c:v>
                </c:pt>
                <c:pt idx="4">
                  <c:v>Ultra Aggressive</c:v>
                </c:pt>
              </c:strCache>
            </c:strRef>
          </c:cat>
          <c:val>
            <c:numRef>
              <c:f>Analysis!$X$5:$X$9</c:f>
              <c:numCache>
                <c:formatCode>0.0%</c:formatCode>
                <c:ptCount val="5"/>
                <c:pt idx="0">
                  <c:v>0.72585</c:v>
                </c:pt>
                <c:pt idx="1">
                  <c:v>0.78605000000000003</c:v>
                </c:pt>
                <c:pt idx="2">
                  <c:v>0.83365</c:v>
                </c:pt>
                <c:pt idx="3">
                  <c:v>0.8952</c:v>
                </c:pt>
                <c:pt idx="4">
                  <c:v>0.94279999999999997</c:v>
                </c:pt>
              </c:numCache>
            </c:numRef>
          </c:val>
          <c:extLst>
            <c:ext xmlns:c16="http://schemas.microsoft.com/office/drawing/2014/chart" uri="{C3380CC4-5D6E-409C-BE32-E72D297353CC}">
              <c16:uniqueId val="{00000001-30D5-4C37-8176-5A309546CC6D}"/>
            </c:ext>
          </c:extLst>
        </c:ser>
        <c:dLbls>
          <c:showLegendKey val="0"/>
          <c:showVal val="0"/>
          <c:showCatName val="0"/>
          <c:showSerName val="0"/>
          <c:showPercent val="0"/>
          <c:showBubbleSize val="0"/>
        </c:dLbls>
        <c:gapWidth val="219"/>
        <c:overlap val="-27"/>
        <c:axId val="178494128"/>
        <c:axId val="178507568"/>
      </c:barChart>
      <c:catAx>
        <c:axId val="17849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07568"/>
        <c:crosses val="autoZero"/>
        <c:auto val="1"/>
        <c:lblAlgn val="ctr"/>
        <c:lblOffset val="100"/>
        <c:noMultiLvlLbl val="0"/>
      </c:catAx>
      <c:valAx>
        <c:axId val="178507568"/>
        <c:scaling>
          <c:orientation val="minMax"/>
          <c:min val="0.5"/>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94128"/>
        <c:crosses val="autoZero"/>
        <c:crossBetween val="between"/>
      </c:valAx>
      <c:spPr>
        <a:noFill/>
        <a:ln>
          <a:noFill/>
        </a:ln>
        <a:effectLst/>
      </c:spPr>
    </c:plotArea>
    <c:legend>
      <c:legendPos val="b"/>
      <c:layout>
        <c:manualLayout>
          <c:xMode val="edge"/>
          <c:yMode val="edge"/>
          <c:x val="0.33271380139982504"/>
          <c:y val="0.84780052493438296"/>
          <c:w val="0.34182660761154854"/>
          <c:h val="9.375065616797902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Disjunctive Power (S4)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Analysis!$AC$4</c:f>
              <c:strCache>
                <c:ptCount val="1"/>
                <c:pt idx="0">
                  <c:v>CER</c:v>
                </c:pt>
              </c:strCache>
            </c:strRef>
          </c:tx>
          <c:spPr>
            <a:solidFill>
              <a:schemeClr val="accent1"/>
            </a:solidFill>
            <a:ln>
              <a:noFill/>
            </a:ln>
            <a:effectLst/>
          </c:spPr>
          <c:invertIfNegative val="0"/>
          <c:cat>
            <c:strRef>
              <c:f>Analysis!$O$5:$O$9</c:f>
              <c:strCache>
                <c:ptCount val="5"/>
                <c:pt idx="0">
                  <c:v>No drop</c:v>
                </c:pt>
                <c:pt idx="1">
                  <c:v>Conservative</c:v>
                </c:pt>
                <c:pt idx="2">
                  <c:v>Normal</c:v>
                </c:pt>
                <c:pt idx="3">
                  <c:v>Aggressive</c:v>
                </c:pt>
                <c:pt idx="4">
                  <c:v>Ultra Aggressive</c:v>
                </c:pt>
              </c:strCache>
            </c:strRef>
          </c:cat>
          <c:val>
            <c:numRef>
              <c:f>Analysis!$AC$5:$AC$9</c:f>
              <c:numCache>
                <c:formatCode>0.0%</c:formatCode>
                <c:ptCount val="5"/>
                <c:pt idx="0">
                  <c:v>0.91933719999999997</c:v>
                </c:pt>
                <c:pt idx="1">
                  <c:v>0.91982929999999996</c:v>
                </c:pt>
                <c:pt idx="2">
                  <c:v>0.92400499999999997</c:v>
                </c:pt>
                <c:pt idx="3">
                  <c:v>0.94027720000000004</c:v>
                </c:pt>
                <c:pt idx="4">
                  <c:v>0.98453000000000002</c:v>
                </c:pt>
              </c:numCache>
            </c:numRef>
          </c:val>
          <c:extLst>
            <c:ext xmlns:c16="http://schemas.microsoft.com/office/drawing/2014/chart" uri="{C3380CC4-5D6E-409C-BE32-E72D297353CC}">
              <c16:uniqueId val="{00000000-5784-4174-8A13-4CAA33709953}"/>
            </c:ext>
          </c:extLst>
        </c:ser>
        <c:ser>
          <c:idx val="1"/>
          <c:order val="1"/>
          <c:tx>
            <c:strRef>
              <c:f>Analysis!$AD$4</c:f>
              <c:strCache>
                <c:ptCount val="1"/>
                <c:pt idx="0">
                  <c:v>CombPValue</c:v>
                </c:pt>
              </c:strCache>
            </c:strRef>
          </c:tx>
          <c:spPr>
            <a:solidFill>
              <a:schemeClr val="accent2"/>
            </a:solidFill>
            <a:ln>
              <a:noFill/>
            </a:ln>
            <a:effectLst/>
          </c:spPr>
          <c:invertIfNegative val="0"/>
          <c:cat>
            <c:strRef>
              <c:f>Analysis!$O$5:$O$9</c:f>
              <c:strCache>
                <c:ptCount val="5"/>
                <c:pt idx="0">
                  <c:v>No drop</c:v>
                </c:pt>
                <c:pt idx="1">
                  <c:v>Conservative</c:v>
                </c:pt>
                <c:pt idx="2">
                  <c:v>Normal</c:v>
                </c:pt>
                <c:pt idx="3">
                  <c:v>Aggressive</c:v>
                </c:pt>
                <c:pt idx="4">
                  <c:v>Ultra Aggressive</c:v>
                </c:pt>
              </c:strCache>
            </c:strRef>
          </c:cat>
          <c:val>
            <c:numRef>
              <c:f>Analysis!$AD$5:$AD$9</c:f>
              <c:numCache>
                <c:formatCode>0.0%</c:formatCode>
                <c:ptCount val="5"/>
                <c:pt idx="0">
                  <c:v>0.88034999999999997</c:v>
                </c:pt>
                <c:pt idx="1">
                  <c:v>0.88160000000000005</c:v>
                </c:pt>
                <c:pt idx="2">
                  <c:v>0.88660000000000005</c:v>
                </c:pt>
                <c:pt idx="3">
                  <c:v>0.91300000000000003</c:v>
                </c:pt>
                <c:pt idx="4">
                  <c:v>0.97735000000000005</c:v>
                </c:pt>
              </c:numCache>
            </c:numRef>
          </c:val>
          <c:extLst>
            <c:ext xmlns:c16="http://schemas.microsoft.com/office/drawing/2014/chart" uri="{C3380CC4-5D6E-409C-BE32-E72D297353CC}">
              <c16:uniqueId val="{00000001-5784-4174-8A13-4CAA33709953}"/>
            </c:ext>
          </c:extLst>
        </c:ser>
        <c:dLbls>
          <c:showLegendKey val="0"/>
          <c:showVal val="0"/>
          <c:showCatName val="0"/>
          <c:showSerName val="0"/>
          <c:showPercent val="0"/>
          <c:showBubbleSize val="0"/>
        </c:dLbls>
        <c:gapWidth val="219"/>
        <c:overlap val="-27"/>
        <c:axId val="181208400"/>
        <c:axId val="181202160"/>
      </c:barChart>
      <c:catAx>
        <c:axId val="18120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02160"/>
        <c:crosses val="autoZero"/>
        <c:auto val="1"/>
        <c:lblAlgn val="ctr"/>
        <c:lblOffset val="100"/>
        <c:noMultiLvlLbl val="0"/>
      </c:catAx>
      <c:valAx>
        <c:axId val="181202160"/>
        <c:scaling>
          <c:orientation val="minMax"/>
          <c:max val="1"/>
          <c:min val="0.5"/>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08400"/>
        <c:crosses val="autoZero"/>
        <c:crossBetween val="between"/>
      </c:valAx>
      <c:spPr>
        <a:noFill/>
        <a:ln>
          <a:noFill/>
        </a:ln>
        <a:effectLst/>
      </c:spPr>
    </c:plotArea>
    <c:legend>
      <c:legendPos val="b"/>
      <c:layout>
        <c:manualLayout>
          <c:xMode val="edge"/>
          <c:yMode val="edge"/>
          <c:x val="0.327852690288714"/>
          <c:y val="0.84780052493438296"/>
          <c:w val="0.34182660761154854"/>
          <c:h val="9.375065616797902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FWER (S0)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563717122772241"/>
          <c:y val="0.2448184818481848"/>
          <c:w val="0.7730807774902263"/>
          <c:h val="0.3888474831735142"/>
        </c:manualLayout>
      </c:layout>
      <c:barChart>
        <c:barDir val="col"/>
        <c:grouping val="clustered"/>
        <c:varyColors val="0"/>
        <c:ser>
          <c:idx val="0"/>
          <c:order val="0"/>
          <c:tx>
            <c:strRef>
              <c:f>Analysis!$P$4</c:f>
              <c:strCache>
                <c:ptCount val="1"/>
                <c:pt idx="0">
                  <c:v>CER</c:v>
                </c:pt>
              </c:strCache>
            </c:strRef>
          </c:tx>
          <c:spPr>
            <a:solidFill>
              <a:schemeClr val="accent1"/>
            </a:solidFill>
            <a:ln>
              <a:noFill/>
            </a:ln>
            <a:effectLst/>
          </c:spPr>
          <c:invertIfNegative val="0"/>
          <c:cat>
            <c:strRef>
              <c:f>Analysis!$O$5:$O$9</c:f>
              <c:strCache>
                <c:ptCount val="5"/>
                <c:pt idx="0">
                  <c:v>No drop</c:v>
                </c:pt>
                <c:pt idx="1">
                  <c:v>Conservative</c:v>
                </c:pt>
                <c:pt idx="2">
                  <c:v>Normal</c:v>
                </c:pt>
                <c:pt idx="3">
                  <c:v>Aggressive</c:v>
                </c:pt>
                <c:pt idx="4">
                  <c:v>Ultra Aggressive</c:v>
                </c:pt>
              </c:strCache>
            </c:strRef>
          </c:cat>
          <c:val>
            <c:numRef>
              <c:f>Analysis!$P$5:$P$9</c:f>
              <c:numCache>
                <c:formatCode>0.00%</c:formatCode>
                <c:ptCount val="5"/>
                <c:pt idx="0">
                  <c:v>2.2661500000000001E-2</c:v>
                </c:pt>
                <c:pt idx="1">
                  <c:v>2.2772799999999999E-2</c:v>
                </c:pt>
                <c:pt idx="2">
                  <c:v>2.2487900000000002E-2</c:v>
                </c:pt>
                <c:pt idx="3">
                  <c:v>2.1748099999999999E-2</c:v>
                </c:pt>
                <c:pt idx="4">
                  <c:v>2.1050200000000002E-2</c:v>
                </c:pt>
              </c:numCache>
            </c:numRef>
          </c:val>
          <c:extLst>
            <c:ext xmlns:c16="http://schemas.microsoft.com/office/drawing/2014/chart" uri="{C3380CC4-5D6E-409C-BE32-E72D297353CC}">
              <c16:uniqueId val="{00000000-BB5C-438D-8920-9CA5DBF66C0C}"/>
            </c:ext>
          </c:extLst>
        </c:ser>
        <c:ser>
          <c:idx val="1"/>
          <c:order val="1"/>
          <c:tx>
            <c:strRef>
              <c:f>Analysis!$Q$4</c:f>
              <c:strCache>
                <c:ptCount val="1"/>
                <c:pt idx="0">
                  <c:v>CombPValue</c:v>
                </c:pt>
              </c:strCache>
            </c:strRef>
          </c:tx>
          <c:spPr>
            <a:solidFill>
              <a:schemeClr val="accent2"/>
            </a:solidFill>
            <a:ln>
              <a:noFill/>
            </a:ln>
            <a:effectLst/>
          </c:spPr>
          <c:invertIfNegative val="0"/>
          <c:cat>
            <c:strRef>
              <c:f>Analysis!$O$5:$O$9</c:f>
              <c:strCache>
                <c:ptCount val="5"/>
                <c:pt idx="0">
                  <c:v>No drop</c:v>
                </c:pt>
                <c:pt idx="1">
                  <c:v>Conservative</c:v>
                </c:pt>
                <c:pt idx="2">
                  <c:v>Normal</c:v>
                </c:pt>
                <c:pt idx="3">
                  <c:v>Aggressive</c:v>
                </c:pt>
                <c:pt idx="4">
                  <c:v>Ultra Aggressive</c:v>
                </c:pt>
              </c:strCache>
            </c:strRef>
          </c:cat>
          <c:val>
            <c:numRef>
              <c:f>Analysis!$Q$5:$Q$9</c:f>
              <c:numCache>
                <c:formatCode>0.00%</c:formatCode>
                <c:ptCount val="5"/>
                <c:pt idx="0">
                  <c:v>9.1000000000000004E-3</c:v>
                </c:pt>
                <c:pt idx="1">
                  <c:v>8.8000000000000005E-3</c:v>
                </c:pt>
                <c:pt idx="2">
                  <c:v>9.3500000000000007E-3</c:v>
                </c:pt>
                <c:pt idx="3">
                  <c:v>1.2200000000000001E-2</c:v>
                </c:pt>
                <c:pt idx="4">
                  <c:v>2.035E-2</c:v>
                </c:pt>
              </c:numCache>
            </c:numRef>
          </c:val>
          <c:extLst>
            <c:ext xmlns:c16="http://schemas.microsoft.com/office/drawing/2014/chart" uri="{C3380CC4-5D6E-409C-BE32-E72D297353CC}">
              <c16:uniqueId val="{00000001-BB5C-438D-8920-9CA5DBF66C0C}"/>
            </c:ext>
          </c:extLst>
        </c:ser>
        <c:dLbls>
          <c:showLegendKey val="0"/>
          <c:showVal val="0"/>
          <c:showCatName val="0"/>
          <c:showSerName val="0"/>
          <c:showPercent val="0"/>
          <c:showBubbleSize val="0"/>
        </c:dLbls>
        <c:gapWidth val="219"/>
        <c:overlap val="-27"/>
        <c:axId val="1383220560"/>
        <c:axId val="1383222960"/>
      </c:barChart>
      <c:catAx>
        <c:axId val="138322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222960"/>
        <c:crosses val="autoZero"/>
        <c:auto val="1"/>
        <c:lblAlgn val="ctr"/>
        <c:lblOffset val="100"/>
        <c:noMultiLvlLbl val="0"/>
      </c:catAx>
      <c:valAx>
        <c:axId val="13832229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220560"/>
        <c:crosses val="autoZero"/>
        <c:crossBetween val="between"/>
      </c:valAx>
      <c:spPr>
        <a:noFill/>
        <a:ln>
          <a:noFill/>
        </a:ln>
        <a:effectLst/>
      </c:spPr>
    </c:plotArea>
    <c:legend>
      <c:legendPos val="b"/>
      <c:layout>
        <c:manualLayout>
          <c:xMode val="edge"/>
          <c:yMode val="edge"/>
          <c:x val="0.31869586614173229"/>
          <c:y val="0.87464173228346453"/>
          <c:w val="0.31859567311367631"/>
          <c:h val="9.375065616797902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20</xdr:col>
      <xdr:colOff>95250</xdr:colOff>
      <xdr:row>10</xdr:row>
      <xdr:rowOff>28575</xdr:rowOff>
    </xdr:from>
    <xdr:to>
      <xdr:col>25</xdr:col>
      <xdr:colOff>38100</xdr:colOff>
      <xdr:row>22</xdr:row>
      <xdr:rowOff>28575</xdr:rowOff>
    </xdr:to>
    <xdr:graphicFrame macro="">
      <xdr:nvGraphicFramePr>
        <xdr:cNvPr id="3" name="Chart 2">
          <a:extLst>
            <a:ext uri="{FF2B5EF4-FFF2-40B4-BE49-F238E27FC236}">
              <a16:creationId xmlns:a16="http://schemas.microsoft.com/office/drawing/2014/main" id="{998226CE-A194-A94A-B21E-60562C0334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95250</xdr:colOff>
      <xdr:row>22</xdr:row>
      <xdr:rowOff>133350</xdr:rowOff>
    </xdr:from>
    <xdr:to>
      <xdr:col>25</xdr:col>
      <xdr:colOff>38100</xdr:colOff>
      <xdr:row>34</xdr:row>
      <xdr:rowOff>133350</xdr:rowOff>
    </xdr:to>
    <xdr:graphicFrame macro="">
      <xdr:nvGraphicFramePr>
        <xdr:cNvPr id="4" name="Chart 3">
          <a:extLst>
            <a:ext uri="{FF2B5EF4-FFF2-40B4-BE49-F238E27FC236}">
              <a16:creationId xmlns:a16="http://schemas.microsoft.com/office/drawing/2014/main" id="{B2513F4D-AB2B-9501-5136-85146A56FB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171450</xdr:colOff>
      <xdr:row>10</xdr:row>
      <xdr:rowOff>19050</xdr:rowOff>
    </xdr:from>
    <xdr:to>
      <xdr:col>30</xdr:col>
      <xdr:colOff>495300</xdr:colOff>
      <xdr:row>22</xdr:row>
      <xdr:rowOff>19050</xdr:rowOff>
    </xdr:to>
    <xdr:graphicFrame macro="">
      <xdr:nvGraphicFramePr>
        <xdr:cNvPr id="5" name="Chart 4">
          <a:extLst>
            <a:ext uri="{FF2B5EF4-FFF2-40B4-BE49-F238E27FC236}">
              <a16:creationId xmlns:a16="http://schemas.microsoft.com/office/drawing/2014/main" id="{8AD3756F-5D71-050A-C310-B438F2BC62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176212</xdr:colOff>
      <xdr:row>22</xdr:row>
      <xdr:rowOff>133350</xdr:rowOff>
    </xdr:from>
    <xdr:to>
      <xdr:col>30</xdr:col>
      <xdr:colOff>500062</xdr:colOff>
      <xdr:row>34</xdr:row>
      <xdr:rowOff>133350</xdr:rowOff>
    </xdr:to>
    <xdr:graphicFrame macro="">
      <xdr:nvGraphicFramePr>
        <xdr:cNvPr id="6" name="Chart 5">
          <a:extLst>
            <a:ext uri="{FF2B5EF4-FFF2-40B4-BE49-F238E27FC236}">
              <a16:creationId xmlns:a16="http://schemas.microsoft.com/office/drawing/2014/main" id="{13B9531C-B31F-4711-DD00-2CD1409C18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xdr:colOff>
      <xdr:row>10</xdr:row>
      <xdr:rowOff>0</xdr:rowOff>
    </xdr:from>
    <xdr:to>
      <xdr:col>18</xdr:col>
      <xdr:colOff>600076</xdr:colOff>
      <xdr:row>22</xdr:row>
      <xdr:rowOff>0</xdr:rowOff>
    </xdr:to>
    <xdr:graphicFrame macro="">
      <xdr:nvGraphicFramePr>
        <xdr:cNvPr id="7" name="Chart 6">
          <a:extLst>
            <a:ext uri="{FF2B5EF4-FFF2-40B4-BE49-F238E27FC236}">
              <a16:creationId xmlns:a16="http://schemas.microsoft.com/office/drawing/2014/main" id="{C5EC7ECF-F751-481E-9000-56F95F6E23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Ani Deshmukh" id="{A826EFC0-A8C0-4FFD-BCE9-32E98E7B2A15}" userId="S::Aniruddha.Deshmukh@cytel.com::77f1a407-4d0b-4b5d-a465-07de63e9a073"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ruddha Deshmukh" refreshedDate="46004.823150694443" createdVersion="8" refreshedVersion="8" minRefreshableVersion="3" recordCount="67" xr:uid="{784C9FC0-0BBF-450F-96D9-870B160EB93E}">
  <cacheSource type="worksheet">
    <worksheetSource ref="A2:BB69" sheet="OutCERBin2eps3arms"/>
  </cacheSource>
  <cacheFields count="54">
    <cacheField name="ModelID" numFmtId="0">
      <sharedItems containsSemiMixedTypes="0" containsString="0" containsNumber="1" containsInteger="1" minValue="1" maxValue="67" count="67">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sharedItems>
    </cacheField>
    <cacheField name="Scenario" numFmtId="0">
      <sharedItems/>
    </cacheField>
    <cacheField name="seed" numFmtId="0">
      <sharedItems containsSemiMixedTypes="0" containsString="0" containsNumber="1" containsInteger="1" minValue="90" maxValue="745664"/>
    </cacheField>
    <cacheField name="Global.Power" numFmtId="0">
      <sharedItems containsSemiMixedTypes="0" containsString="0" containsNumber="1" minValue="8.8000000000000005E-3" maxValue="1"/>
    </cacheField>
    <cacheField name="Conjunctive.Power" numFmtId="0">
      <sharedItems containsSemiMixedTypes="0" containsString="0" containsNumber="1" minValue="0" maxValue="0.99825370000000002"/>
    </cacheField>
    <cacheField name="Disjunctive.Power" numFmtId="0">
      <sharedItems containsSemiMixedTypes="0" containsString="0" containsNumber="1" minValue="0" maxValue="1"/>
    </cacheField>
    <cacheField name="FWER" numFmtId="0">
      <sharedItems containsSemiMixedTypes="0" containsString="0" containsNumber="1" minValue="0" maxValue="2.5876150000000001E-2"/>
    </cacheField>
    <cacheField name="CI_95perc_Global.Power" numFmtId="0">
      <sharedItems/>
    </cacheField>
    <cacheField name="CI_95perc_Conjunctive.Power" numFmtId="0">
      <sharedItems/>
    </cacheField>
    <cacheField name="CI_95perc_Disjunctive.Power" numFmtId="0">
      <sharedItems/>
    </cacheField>
    <cacheField name="CI_95perc_FWER" numFmtId="0">
      <sharedItems/>
    </cacheField>
    <cacheField name="StagewiseRejection_Count" numFmtId="3">
      <sharedItems containsSemiMixedTypes="0" containsString="0" containsNumber="1" containsInteger="1" minValue="21166" maxValue="987910036"/>
    </cacheField>
    <cacheField name="StagewiseRejection_Percentage" numFmtId="0">
      <sharedItems/>
    </cacheField>
    <cacheField name="HoursTaken" numFmtId="0">
      <sharedItems containsSemiMixedTypes="0" containsString="0" containsNumber="1" minValue="6.7445993887053607E-2" maxValue="3.3871572969357202"/>
    </cacheField>
    <cacheField name="Input" numFmtId="0">
      <sharedItems/>
    </cacheField>
    <cacheField name="Method" numFmtId="0">
      <sharedItems/>
    </cacheField>
    <cacheField name="SampleSize" numFmtId="0">
      <sharedItems containsSemiMixedTypes="0" containsString="0" containsNumber="1" containsInteger="1" minValue="600" maxValue="5000"/>
    </cacheField>
    <cacheField name="alpha" numFmtId="0">
      <sharedItems containsSemiMixedTypes="0" containsString="0" containsNumber="1" minValue="2.5000000000000001E-2" maxValue="2.5000000000000001E-2"/>
    </cacheField>
    <cacheField name="TestStatCont" numFmtId="0">
      <sharedItems/>
    </cacheField>
    <cacheField name="CommonStdDev" numFmtId="0">
      <sharedItems/>
    </cacheField>
    <cacheField name="TestStatBin" numFmtId="0">
      <sharedItems/>
    </cacheField>
    <cacheField name="FWERControl" numFmtId="0">
      <sharedItems/>
    </cacheField>
    <cacheField name="nArms" numFmtId="0">
      <sharedItems containsSemiMixedTypes="0" containsString="0" containsNumber="1" containsInteger="1" minValue="3" maxValue="5"/>
    </cacheField>
    <cacheField name="nEps" numFmtId="0">
      <sharedItems containsSemiMixedTypes="0" containsString="0" containsNumber="1" containsInteger="1" minValue="2" maxValue="2"/>
    </cacheField>
    <cacheField name="lEpType" numFmtId="0">
      <sharedItems/>
    </cacheField>
    <cacheField name="Arms.Mean" numFmtId="0">
      <sharedItems/>
    </cacheField>
    <cacheField name="Arms.std.dev" numFmtId="0">
      <sharedItems/>
    </cacheField>
    <cacheField name="Arms.Prop" numFmtId="0">
      <sharedItems/>
    </cacheField>
    <cacheField name="Arms.alloc.ratio" numFmtId="0">
      <sharedItems/>
    </cacheField>
    <cacheField name="EP.Corr" numFmtId="0">
      <sharedItems/>
    </cacheField>
    <cacheField name="WI" numFmtId="0">
      <sharedItems/>
    </cacheField>
    <cacheField name="G" numFmtId="0">
      <sharedItems longText="1"/>
    </cacheField>
    <cacheField name="test.type" numFmtId="0">
      <sharedItems/>
    </cacheField>
    <cacheField name="info_frac" numFmtId="0">
      <sharedItems/>
    </cacheField>
    <cacheField name="typeOfDesign" numFmtId="0">
      <sharedItems/>
    </cacheField>
    <cacheField name="MultipleWinners" numFmtId="0">
      <sharedItems/>
    </cacheField>
    <cacheField name="Selection" numFmtId="0">
      <sharedItems/>
    </cacheField>
    <cacheField name="SelectionLook" numFmtId="0">
      <sharedItems containsMixedTypes="1" containsNumber="1" containsInteger="1" minValue="1" maxValue="1"/>
    </cacheField>
    <cacheField name="SelectEndPoint" numFmtId="0">
      <sharedItems containsMixedTypes="1" containsNumber="1" containsInteger="1" minValue="1" maxValue="1"/>
    </cacheField>
    <cacheField name="SelectionScale" numFmtId="0">
      <sharedItems/>
    </cacheField>
    <cacheField name="SelectionCriterion" numFmtId="0">
      <sharedItems/>
    </cacheField>
    <cacheField name="SelectionParmeter" numFmtId="0">
      <sharedItems containsMixedTypes="1" containsNumber="1" minValue="0.25" maxValue="1"/>
    </cacheField>
    <cacheField name="KeepAssosiatedEps" numFmtId="0">
      <sharedItems/>
    </cacheField>
    <cacheField name="ImplicitSSR" numFmtId="0">
      <sharedItems/>
    </cacheField>
    <cacheField name="nSimulation" numFmtId="0">
      <sharedItems containsSemiMixedTypes="0" containsString="0" containsNumber="1" containsInteger="1" minValue="20000" maxValue="20000"/>
    </cacheField>
    <cacheField name="nSimulation_Stage2" numFmtId="0">
      <sharedItems containsSemiMixedTypes="0" containsString="0" containsNumber="1" containsInteger="1" minValue="500" maxValue="2000"/>
    </cacheField>
    <cacheField name="Seed2" numFmtId="0">
      <sharedItems containsMixedTypes="1" containsNumber="1" containsInteger="1" minValue="1234" maxValue="745664"/>
    </cacheField>
    <cacheField name="SummaryStat" numFmtId="0">
      <sharedItems/>
    </cacheField>
    <cacheField name="plotGraphs" numFmtId="0">
      <sharedItems/>
    </cacheField>
    <cacheField name="Parallel" numFmtId="0">
      <sharedItems/>
    </cacheField>
    <cacheField name="UseCC" numFmtId="0">
      <sharedItems/>
    </cacheField>
    <cacheField name="Matching.Pair" numFmtId="0">
      <sharedItems/>
    </cacheField>
    <cacheField name="Test.Set" numFmtId="0">
      <sharedItems/>
    </cacheField>
    <cacheField name="Compare.Set"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
  <r>
    <x v="0"/>
    <s v="No selection, Partly-Parametric"/>
    <n v="1234"/>
    <n v="2.5876150000000001E-2"/>
    <n v="0"/>
    <n v="0"/>
    <n v="2.5876150000000001E-2"/>
    <s v="(0.02496,0.02679)"/>
    <s v="(0,0)"/>
    <s v="(0,0)"/>
    <s v="(0.02496,0.02679)"/>
    <n v="38478"/>
    <s v="0.0019,0.0239"/>
    <n v="2.3855487522151702"/>
    <s v="&gt;&gt;&gt;"/>
    <s v="CER"/>
    <n v="600"/>
    <n v="2.5000000000000001E-2"/>
    <s v="NA"/>
    <s v="NA"/>
    <s v="UnPooled"/>
    <s v="CombinationTest"/>
    <n v="3"/>
    <n v="2"/>
    <s v="list('EP1' = 'Binary', 'EP2' = 'Binary')"/>
    <s v="NA"/>
    <s v="NA"/>
    <s v="list('EP1' = c(0.4, 0.4, 0.4), 'EP2' = c(0.5, 0.5, 0.5))"/>
    <s v="c(1,1,1)"/>
    <s v="matrix(c(1, 0.5, 0.5, 1), nrow = nEps) # c(1)"/>
    <s v="c(rep(1/4, 4))"/>
    <s v="rbind(H1=c(0, 1/3, 1/3, 1/3), H2=c(1/3, 0, 1/3, 1/3), H3=c(1/3, 1/3, 0, 1/3), H4=c(1/3, 1/3, 1/3, 0))"/>
    <s v="Partly-Parametric"/>
    <s v="c(0.5, 1)"/>
    <s v="asOF"/>
    <b v="0"/>
    <b v="0"/>
    <s v="NA"/>
    <s v="NA"/>
    <s v="NA"/>
    <s v="NA"/>
    <s v="NA"/>
    <s v="NA"/>
    <s v="None"/>
    <n v="20000"/>
    <n v="2000"/>
    <n v="1234"/>
    <b v="1"/>
    <b v="0"/>
    <b v="1"/>
    <b v="1"/>
    <s v="NA"/>
    <s v="NA"/>
    <s v="NA"/>
  </r>
  <r>
    <x v="1"/>
    <s v="No selection, Partly-Parametric"/>
    <n v="1234"/>
    <n v="2.4627300000000001E-2"/>
    <n v="0"/>
    <n v="0"/>
    <n v="2.4627300000000001E-2"/>
    <s v="(0.02372,0.02554)"/>
    <s v="(0,0)"/>
    <s v="(0,0)"/>
    <s v="(0.02372,0.02554)"/>
    <n v="41417"/>
    <s v="0.00205,0.02085"/>
    <n v="2.6200345733430601"/>
    <s v="&gt;&gt;&gt;"/>
    <s v="CER"/>
    <n v="1500"/>
    <n v="2.5000000000000001E-2"/>
    <s v="NA"/>
    <s v="NA"/>
    <s v="UnPooled"/>
    <s v="CombinationTest"/>
    <n v="3"/>
    <n v="2"/>
    <s v="list('EP1' = 'Binary', 'EP2' = 'Binary')"/>
    <s v="NA"/>
    <s v="NA"/>
    <s v="list('EP1' = c(0.4, 0.4, 0.4), 'EP2' = c(0.5, 0.5, 0.5))"/>
    <s v="c(1,1,1)"/>
    <s v="matrix(c(1, 0.5, 0.5, 1), nrow = nEps) # c(1)"/>
    <s v="c(rep(1/4, 4))"/>
    <s v="rbind(H1=c(0, 1/3, 1/3, 1/3), H2=c(1/3, 0, 1/3, 1/3), H3=c(1/3, 1/3, 0, 1/3), H4=c(1/3, 1/3, 1/3, 0))"/>
    <s v="Partly-Parametric"/>
    <s v="c(0.5, 1)"/>
    <s v="asOF"/>
    <b v="0"/>
    <b v="0"/>
    <s v="NA"/>
    <s v="NA"/>
    <s v="NA"/>
    <s v="NA"/>
    <s v="NA"/>
    <s v="NA"/>
    <s v="None"/>
    <n v="20000"/>
    <n v="2000"/>
    <n v="1234"/>
    <b v="1"/>
    <b v="0"/>
    <b v="1"/>
    <b v="1"/>
    <s v="NA"/>
    <s v="NA"/>
    <s v="NA"/>
  </r>
  <r>
    <x v="2"/>
    <s v="No selection, Partly-Parametric"/>
    <n v="1234"/>
    <n v="2.4870175000000001E-2"/>
    <n v="0"/>
    <n v="0"/>
    <n v="2.4870175000000001E-2"/>
    <s v="(0.02396,0.02578)"/>
    <s v="(0,0)"/>
    <s v="(0,0)"/>
    <s v="(0.02396,0.02578)"/>
    <n v="40466"/>
    <s v="0.002,0.0233"/>
    <n v="2.93179355276955"/>
    <s v="&gt;&gt;&gt;"/>
    <s v="CER"/>
    <n v="3000"/>
    <n v="2.5000000000000001E-2"/>
    <s v="NA"/>
    <s v="NA"/>
    <s v="UnPooled"/>
    <s v="CombinationTest"/>
    <n v="3"/>
    <n v="2"/>
    <s v="list('EP1' = 'Binary', 'EP2' = 'Binary')"/>
    <s v="NA"/>
    <s v="NA"/>
    <s v="list('EP1' = c(0.4, 0.4, 0.4), 'EP2' = c(0.5, 0.5, 0.5))"/>
    <s v="c(1,1,1)"/>
    <s v="matrix(c(1, 0.5, 0.5, 1), nrow = nEps) # c(1)"/>
    <s v="c(rep(1/4, 4))"/>
    <s v="rbind(H1=c(0, 1/3, 1/3, 1/3), H2=c(1/3, 0, 1/3, 1/3), H3=c(1/3, 1/3, 0, 1/3), H4=c(1/3, 1/3, 1/3, 0))"/>
    <s v="Partly-Parametric"/>
    <s v="c(0.5, 1)"/>
    <s v="asOF"/>
    <b v="0"/>
    <b v="0"/>
    <s v="NA"/>
    <s v="NA"/>
    <s v="NA"/>
    <s v="NA"/>
    <s v="NA"/>
    <s v="NA"/>
    <s v="None"/>
    <n v="20000"/>
    <n v="2000"/>
    <n v="1234"/>
    <b v="1"/>
    <b v="0"/>
    <b v="1"/>
    <b v="1"/>
    <s v="NA"/>
    <s v="NA"/>
    <s v="NA"/>
  </r>
  <r>
    <x v="3"/>
    <s v="No selection, Partly-Parametric"/>
    <n v="1234"/>
    <n v="2.444845E-2"/>
    <n v="0"/>
    <n v="0"/>
    <n v="2.444845E-2"/>
    <s v="(0.02359,0.02531)"/>
    <s v="(0,0)"/>
    <s v="(0,0)"/>
    <s v="(0.02359,0.02531)"/>
    <n v="31486"/>
    <s v="0.00155,0.0243"/>
    <n v="3.3871572969357202"/>
    <s v="&gt;&gt;&gt;"/>
    <s v="CER"/>
    <n v="5000"/>
    <n v="2.5000000000000001E-2"/>
    <s v="NA"/>
    <s v="NA"/>
    <s v="UnPooled"/>
    <s v="CombinationTest"/>
    <n v="3"/>
    <n v="2"/>
    <s v="list('EP1' = 'Binary', 'EP2' = 'Binary')"/>
    <s v="NA"/>
    <s v="NA"/>
    <s v="list('EP1' = c(0.4, 0.4, 0.4), 'EP2' = c(0.5, 0.5, 0.5))"/>
    <s v="c(1,1,1)"/>
    <s v="matrix(c(1, 0.5, 0.5, 1), nrow = nEps) # c(1)"/>
    <s v="c(rep(1/4, 4))"/>
    <s v="rbind(H1=c(0, 1/3, 1/3, 1/3), H2=c(1/3, 0, 1/3, 1/3), H3=c(1/3, 1/3, 0, 1/3), H4=c(1/3, 1/3, 1/3, 0))"/>
    <s v="Partly-Parametric"/>
    <s v="c(0.5, 1)"/>
    <s v="asOF"/>
    <b v="0"/>
    <b v="0"/>
    <s v="NA"/>
    <s v="NA"/>
    <s v="NA"/>
    <s v="NA"/>
    <s v="NA"/>
    <s v="NA"/>
    <s v="None"/>
    <n v="20000"/>
    <n v="2000"/>
    <n v="1234"/>
    <b v="1"/>
    <b v="0"/>
    <b v="1"/>
    <b v="1"/>
    <s v="NA"/>
    <s v="NA"/>
    <s v="NA"/>
  </r>
  <r>
    <x v="4"/>
    <s v="Fut=0.25,N=600,MultWin=F"/>
    <n v="745664"/>
    <n v="1.9063900000000002E-2"/>
    <n v="0"/>
    <n v="0"/>
    <n v="1.9063900000000002E-2"/>
    <s v="(0.01822,0.01991)"/>
    <s v="(0,0)"/>
    <s v="(0,0)"/>
    <s v="(0.01822,0.01991)"/>
    <n v="32317"/>
    <s v="0.0016,0.01585"/>
    <n v="0.840978054735396"/>
    <s v="&gt;&gt;&gt;"/>
    <s v="CER"/>
    <n v="600"/>
    <n v="2.5000000000000001E-2"/>
    <s v="NA"/>
    <s v="NA"/>
    <s v="UnPooled"/>
    <s v="CombinationTest"/>
    <n v="3"/>
    <n v="2"/>
    <s v="list('EP1' = 'Binary', 'EP2' = 'Binary')"/>
    <s v="NA"/>
    <s v="NA"/>
    <s v="list('EP1' = c(0.4, 0.4, 0.4), 'EP2' = c(0.5, 0.5, 0.5))"/>
    <s v="c(1,1,1)"/>
    <s v="matrix(c(1, 0.5, 0.5, 1), nrow = nEps) # c(1)"/>
    <s v="c(rep(1/4, 4))"/>
    <s v="rbind(H1=c(0, 1/3, 1/3, 1/3), H2=c(1/3, 0, 1/3, 1/3), H3=c(1/3, 1/3, 0, 1/3), H4=c(1/3, 1/3, 1/3, 0))"/>
    <s v="Partly-Parametric"/>
    <s v="c(0.5, 1)"/>
    <s v="asOF"/>
    <b v="0"/>
    <b v="1"/>
    <n v="1"/>
    <n v="1"/>
    <s v="pvalue"/>
    <s v="threshold"/>
    <n v="0.25"/>
    <b v="1"/>
    <s v="Selection"/>
    <n v="20000"/>
    <n v="2000"/>
    <n v="745664"/>
    <b v="1"/>
    <b v="0"/>
    <b v="1"/>
    <b v="1"/>
    <s v="NA"/>
    <s v="NA"/>
    <s v="NA"/>
  </r>
  <r>
    <x v="5"/>
    <s v="Fut=0.25,N=3000,MultWin=F"/>
    <n v="745664"/>
    <n v="1.90221E-2"/>
    <n v="0"/>
    <n v="0"/>
    <n v="1.90221E-2"/>
    <s v="(0.01819,0.01985)"/>
    <s v="(0,0)"/>
    <s v="(0,0)"/>
    <s v="(0.01819,0.01985)"/>
    <n v="29305"/>
    <s v="0.00145,0.01525"/>
    <n v="0.95829178141223104"/>
    <s v="&gt;&gt;&gt;"/>
    <s v="CER"/>
    <n v="2000"/>
    <n v="2.5000000000000001E-2"/>
    <s v="NA"/>
    <s v="NA"/>
    <s v="UnPooled"/>
    <s v="CombinationTest"/>
    <n v="3"/>
    <n v="2"/>
    <s v="list('EP1' = 'Binary', 'EP2' = 'Binary')"/>
    <s v="NA"/>
    <s v="NA"/>
    <s v="list('EP1' = c(0.4, 0.4, 0.4), 'EP2' = c(0.5, 0.5, 0.5))"/>
    <s v="c(1,1,1)"/>
    <s v="matrix(c(1, 0.5, 0.5, 1), nrow = nEps) # c(1)"/>
    <s v="c(rep(1/4, 4))"/>
    <s v="rbind(H1=c(0, 1/3, 1/3, 1/3), H2=c(1/3, 0, 1/3, 1/3), H3=c(1/3, 1/3, 0, 1/3), H4=c(1/3, 1/3, 1/3, 0))"/>
    <s v="Partly-Parametric"/>
    <s v="c(0.5, 1)"/>
    <s v="asOF"/>
    <b v="0"/>
    <b v="1"/>
    <n v="1"/>
    <n v="1"/>
    <s v="pvalue"/>
    <s v="threshold"/>
    <n v="0.25"/>
    <b v="1"/>
    <s v="Selection"/>
    <n v="20000"/>
    <n v="2000"/>
    <n v="745664"/>
    <b v="1"/>
    <b v="0"/>
    <b v="1"/>
    <b v="1"/>
    <s v="NA"/>
    <s v="NA"/>
    <s v="NA"/>
  </r>
  <r>
    <x v="6"/>
    <s v="Best=1,N=600,MultWin=F"/>
    <n v="745664"/>
    <n v="2.2085E-2"/>
    <n v="0"/>
    <n v="0"/>
    <n v="2.2085E-2"/>
    <s v="(0.02125,0.02292)"/>
    <s v="(0,0)"/>
    <s v="(0,0)"/>
    <s v="(0.02125,0.02292)"/>
    <n v="32376"/>
    <s v="0.0016,0.0188"/>
    <n v="1.920053735839"/>
    <s v="&gt;&gt;&gt;"/>
    <s v="CER"/>
    <n v="600"/>
    <n v="2.5000000000000001E-2"/>
    <s v="NA"/>
    <s v="NA"/>
    <s v="UnPooled"/>
    <s v="CombinationTest"/>
    <n v="3"/>
    <n v="2"/>
    <s v="list('EP1' = 'Binary', 'EP2' = 'Binary')"/>
    <s v="NA"/>
    <s v="NA"/>
    <s v="list('EP1' = c(0.4, 0.4, 0.4), 'EP2' = c(0.5, 0.5, 0.5))"/>
    <s v="c(1,1,1)"/>
    <s v="matrix(c(1, 0.5, 0.5, 1), nrow = nEps) # c(1)"/>
    <s v="c(rep(1/4, 4))"/>
    <s v="rbind(H1=c(0, 1/3, 1/3, 1/3), H2=c(1/3, 0, 1/3, 1/3), H3=c(1/3, 1/3, 0, 1/3), H4=c(1/3, 1/3, 1/3, 0))"/>
    <s v="Partly-Parametric"/>
    <s v="c(0.5, 1)"/>
    <s v="asOF"/>
    <b v="0"/>
    <b v="1"/>
    <n v="1"/>
    <n v="1"/>
    <s v="pvalue"/>
    <s v="best"/>
    <n v="1"/>
    <b v="1"/>
    <s v="Selection"/>
    <n v="20000"/>
    <n v="2000"/>
    <n v="745664"/>
    <b v="1"/>
    <b v="0"/>
    <b v="1"/>
    <b v="1"/>
    <s v="NA"/>
    <s v="NA"/>
    <s v="NA"/>
  </r>
  <r>
    <x v="7"/>
    <s v="Best=1,N=3000,MultWin=F"/>
    <n v="745664"/>
    <n v="2.2102750000000001E-2"/>
    <n v="0"/>
    <n v="0"/>
    <n v="2.2102750000000001E-2"/>
    <s v="(0.02128,0.02293)"/>
    <s v="(0,0)"/>
    <s v="(0,0)"/>
    <s v="(0.02128,0.02293)"/>
    <n v="29374"/>
    <s v="0.00145,0.0187"/>
    <n v="2.21801739421156"/>
    <s v="&gt;&gt;&gt;"/>
    <s v="CER"/>
    <n v="2000"/>
    <n v="2.5000000000000001E-2"/>
    <s v="NA"/>
    <s v="NA"/>
    <s v="UnPooled"/>
    <s v="CombinationTest"/>
    <n v="3"/>
    <n v="2"/>
    <s v="list('EP1' = 'Binary', 'EP2' = 'Binary')"/>
    <s v="NA"/>
    <s v="NA"/>
    <s v="list('EP1' = c(0.4, 0.4, 0.4), 'EP2' = c(0.5, 0.5, 0.5))"/>
    <s v="c(1,1,1)"/>
    <s v="matrix(c(1, 0.5, 0.5, 1), nrow = nEps) # c(1)"/>
    <s v="c(rep(1/4, 4))"/>
    <s v="rbind(H1=c(0, 1/3, 1/3, 1/3), H2=c(1/3, 0, 1/3, 1/3), H3=c(1/3, 1/3, 0, 1/3), H4=c(1/3, 1/3, 1/3, 0))"/>
    <s v="Partly-Parametric"/>
    <s v="c(0.5, 1)"/>
    <s v="asOF"/>
    <b v="0"/>
    <b v="1"/>
    <n v="1"/>
    <n v="1"/>
    <s v="pvalue"/>
    <s v="best"/>
    <n v="1"/>
    <b v="1"/>
    <s v="Selection"/>
    <n v="20000"/>
    <n v="2000"/>
    <n v="745664"/>
    <b v="1"/>
    <b v="0"/>
    <b v="1"/>
    <b v="1"/>
    <s v="NA"/>
    <s v="NA"/>
    <s v="NA"/>
  </r>
  <r>
    <x v="8"/>
    <s v="No selection,N=3000,MultWin=T"/>
    <n v="6534"/>
    <n v="2.50212E-2"/>
    <n v="0"/>
    <n v="0"/>
    <n v="2.50212E-2"/>
    <s v="(0.02412,0.02592)"/>
    <s v="(0,0)"/>
    <s v="(0,0)"/>
    <s v="(0.02412,0.02592)"/>
    <n v="37447"/>
    <s v="0.00185,0.02235"/>
    <n v="2.6693991053104398"/>
    <s v="&gt;&gt;&gt;"/>
    <s v="CER"/>
    <n v="2000"/>
    <n v="2.5000000000000001E-2"/>
    <s v="NA"/>
    <s v="NA"/>
    <s v="UnPooled"/>
    <s v="CombinationTest"/>
    <n v="3"/>
    <n v="2"/>
    <s v="list('EP1' = 'Binary', 'EP2' = 'Binary')"/>
    <s v="NA"/>
    <s v="NA"/>
    <s v="list('EP1' = c(0.4, 0.4, 0.4), 'EP2' = c(0.5, 0.5, 0.5))"/>
    <s v="c(1,1,1)"/>
    <s v="matrix(c(1, 0.5, 0.5, 1), nrow = nEps) # c(1)"/>
    <s v="c(rep(1/4, 4))"/>
    <s v="rbind(H1=c(0, 1/3, 1/3, 1/3), H2=c(1/3, 0, 1/3, 1/3), H3=c(1/3, 1/3, 0, 1/3), H4=c(1/3, 1/3, 1/3, 0))"/>
    <s v="Partly-Parametric"/>
    <s v="c(0.5, 1)"/>
    <s v="asOF"/>
    <b v="1"/>
    <b v="0"/>
    <s v="NA"/>
    <s v="NA"/>
    <s v="NA"/>
    <s v="NA"/>
    <s v="NA"/>
    <s v="NA"/>
    <s v="None"/>
    <n v="20000"/>
    <n v="2000"/>
    <n v="6534"/>
    <b v="1"/>
    <b v="0"/>
    <b v="1"/>
    <b v="1"/>
    <s v="NA"/>
    <s v="NA"/>
    <s v="NA"/>
  </r>
  <r>
    <x v="9"/>
    <s v="Fut=0.25,N=3000,MultWin=T"/>
    <n v="6534"/>
    <n v="1.9412700000000001E-2"/>
    <n v="0"/>
    <n v="0"/>
    <n v="1.9412700000000001E-2"/>
    <s v="(0.01854,0.02029)"/>
    <s v="(0,0)"/>
    <s v="(0,0)"/>
    <s v="(0.01854,0.02029)"/>
    <n v="37343"/>
    <s v="0.00185,0.01715"/>
    <n v="0.944992699159516"/>
    <s v="&gt;&gt;&gt;"/>
    <s v="CER"/>
    <n v="2000"/>
    <n v="2.5000000000000001E-2"/>
    <s v="NA"/>
    <s v="NA"/>
    <s v="UnPooled"/>
    <s v="CombinationTest"/>
    <n v="3"/>
    <n v="2"/>
    <s v="list('EP1' = 'Binary', 'EP2' = 'Binary')"/>
    <s v="NA"/>
    <s v="NA"/>
    <s v="list('EP1' = c(0.4, 0.4, 0.4), 'EP2' = c(0.5, 0.5, 0.5))"/>
    <s v="c(1,1,1)"/>
    <s v="matrix(c(1, 0.5, 0.5, 1), nrow = nEps) # c(1)"/>
    <s v="c(rep(1/4, 4))"/>
    <s v="rbind(H1=c(0, 1/3, 1/3, 1/3), H2=c(1/3, 0, 1/3, 1/3), H3=c(1/3, 1/3, 0, 1/3), H4=c(1/3, 1/3, 1/3, 0))"/>
    <s v="Partly-Parametric"/>
    <s v="c(0.5, 1)"/>
    <s v="asOF"/>
    <b v="1"/>
    <b v="1"/>
    <n v="1"/>
    <n v="1"/>
    <s v="pvalue"/>
    <s v="threshold"/>
    <n v="0.25"/>
    <b v="1"/>
    <s v="Selection"/>
    <n v="20000"/>
    <n v="2000"/>
    <n v="6534"/>
    <b v="1"/>
    <b v="0"/>
    <b v="1"/>
    <b v="1"/>
    <s v="NA"/>
    <s v="NA"/>
    <s v="NA"/>
  </r>
  <r>
    <x v="10"/>
    <s v="Best=1,N=3000,MultWin=T"/>
    <n v="6534"/>
    <n v="2.2210225E-2"/>
    <n v="0"/>
    <n v="0"/>
    <n v="2.2210225E-2"/>
    <s v="(0.02135,0.02307)"/>
    <s v="(0,0)"/>
    <s v="(0,0)"/>
    <s v="(0.02135,0.02307)"/>
    <n v="37398"/>
    <s v="0.00185,0.0199"/>
    <n v="2.2170089380608702"/>
    <s v="&gt;&gt;&gt;"/>
    <s v="CER"/>
    <n v="2000"/>
    <n v="2.5000000000000001E-2"/>
    <s v="NA"/>
    <s v="NA"/>
    <s v="UnPooled"/>
    <s v="CombinationTest"/>
    <n v="3"/>
    <n v="2"/>
    <s v="list('EP1' = 'Binary', 'EP2' = 'Binary')"/>
    <s v="NA"/>
    <s v="NA"/>
    <s v="list('EP1' = c(0.4, 0.4, 0.4), 'EP2' = c(0.5, 0.5, 0.5))"/>
    <s v="c(1,1,1)"/>
    <s v="matrix(c(1, 0.5, 0.5, 1), nrow = nEps) # c(1)"/>
    <s v="c(rep(1/4, 4))"/>
    <s v="rbind(H1=c(0, 1/3, 1/3, 1/3), H2=c(1/3, 0, 1/3, 1/3), H3=c(1/3, 1/3, 0, 1/3), H4=c(1/3, 1/3, 1/3, 0))"/>
    <s v="Partly-Parametric"/>
    <s v="c(0.5, 1)"/>
    <s v="asOF"/>
    <b v="1"/>
    <b v="1"/>
    <n v="1"/>
    <n v="1"/>
    <s v="pvalue"/>
    <s v="best"/>
    <n v="1"/>
    <b v="1"/>
    <s v="Selection"/>
    <n v="20000"/>
    <n v="2000"/>
    <n v="6534"/>
    <b v="1"/>
    <b v="0"/>
    <b v="1"/>
    <b v="1"/>
    <s v="NA"/>
    <s v="NA"/>
    <s v="NA"/>
  </r>
  <r>
    <x v="11"/>
    <s v="No selection,N=3000,Pooled"/>
    <n v="6534"/>
    <n v="2.4176050000000001E-2"/>
    <n v="0"/>
    <n v="0"/>
    <n v="2.4176050000000001E-2"/>
    <s v="(0.0233,0.02505)"/>
    <s v="(0,0)"/>
    <s v="(0,0)"/>
    <s v="(0.0233,0.02505)"/>
    <n v="34432"/>
    <s v="0.0017,0.0216"/>
    <n v="2.7066308666600101"/>
    <s v="&gt;&gt;&gt;"/>
    <s v="CER"/>
    <n v="2000"/>
    <n v="2.5000000000000001E-2"/>
    <s v="NA"/>
    <s v="NA"/>
    <s v="Pooled"/>
    <s v="CombinationTest"/>
    <n v="3"/>
    <n v="2"/>
    <s v="list('EP1' = 'Binary', 'EP2' = 'Binary')"/>
    <s v="NA"/>
    <s v="NA"/>
    <s v="list('EP1' = c(0.4, 0.4, 0.4), 'EP2' = c(0.5, 0.5, 0.5))"/>
    <s v="c(1,1,1)"/>
    <s v="matrix(c(1, 0.5, 0.5, 1), nrow = nEps) # c(1)"/>
    <s v="c(rep(1/4, 4))"/>
    <s v="rbind(H1=c(0, 1/3, 1/3, 1/3), H2=c(1/3, 0, 1/3, 1/3), H3=c(1/3, 1/3, 0, 1/3), H4=c(1/3, 1/3, 1/3, 0))"/>
    <s v="Partly-Parametric"/>
    <s v="c(0.5, 1)"/>
    <s v="asOF"/>
    <b v="0"/>
    <b v="0"/>
    <s v="NA"/>
    <s v="NA"/>
    <s v="NA"/>
    <s v="NA"/>
    <s v="NA"/>
    <s v="NA"/>
    <s v="None"/>
    <n v="20000"/>
    <n v="2000"/>
    <n v="6534"/>
    <b v="1"/>
    <b v="0"/>
    <b v="1"/>
    <b v="1"/>
    <s v="NA"/>
    <s v="NA"/>
    <s v="NA"/>
  </r>
  <r>
    <x v="12"/>
    <s v="Fut=0.25,N=3000,Pooled"/>
    <n v="6534"/>
    <n v="1.8925674999999999E-2"/>
    <n v="0"/>
    <n v="0"/>
    <n v="1.8925674999999999E-2"/>
    <s v="(0.01808,0.01978)"/>
    <s v="(0,0)"/>
    <s v="(0,0)"/>
    <s v="(0.01808,0.01978)"/>
    <n v="34335"/>
    <s v="0.0017,0.01675"/>
    <n v="0.94158147527111902"/>
    <s v="&gt;&gt;&gt;"/>
    <s v="CER"/>
    <n v="2000"/>
    <n v="2.5000000000000001E-2"/>
    <s v="NA"/>
    <s v="NA"/>
    <s v="Pooled"/>
    <s v="CombinationTest"/>
    <n v="3"/>
    <n v="2"/>
    <s v="list('EP1' = 'Binary', 'EP2' = 'Binary')"/>
    <s v="NA"/>
    <s v="NA"/>
    <s v="list('EP1' = c(0.4, 0.4, 0.4), 'EP2' = c(0.5, 0.5, 0.5))"/>
    <s v="c(1,1,1)"/>
    <s v="matrix(c(1, 0.5, 0.5, 1), nrow = nEps) # c(1)"/>
    <s v="c(rep(1/4, 4))"/>
    <s v="rbind(H1=c(0, 1/3, 1/3, 1/3), H2=c(1/3, 0, 1/3, 1/3), H3=c(1/3, 1/3, 0, 1/3), H4=c(1/3, 1/3, 1/3, 0))"/>
    <s v="Partly-Parametric"/>
    <s v="c(0.5, 1)"/>
    <s v="asOF"/>
    <b v="0"/>
    <b v="1"/>
    <n v="1"/>
    <n v="1"/>
    <s v="pvalue"/>
    <s v="threshold"/>
    <n v="0.25"/>
    <b v="1"/>
    <s v="Selection"/>
    <n v="20000"/>
    <n v="2000"/>
    <n v="6534"/>
    <b v="1"/>
    <b v="0"/>
    <b v="1"/>
    <b v="1"/>
    <s v="NA"/>
    <s v="NA"/>
    <s v="NA"/>
  </r>
  <r>
    <x v="13"/>
    <s v="Best=1,N=3000,Pooled"/>
    <n v="6534"/>
    <n v="2.175405E-2"/>
    <n v="0"/>
    <n v="0"/>
    <n v="2.175405E-2"/>
    <s v="(0.02091,0.02259)"/>
    <s v="(0,0)"/>
    <s v="(0,0)"/>
    <s v="(0.02091,0.02259)"/>
    <n v="34392"/>
    <s v="0.0017,0.0196"/>
    <n v="2.2055800349844801"/>
    <s v="&gt;&gt;&gt;"/>
    <s v="CER"/>
    <n v="2000"/>
    <n v="2.5000000000000001E-2"/>
    <s v="NA"/>
    <s v="NA"/>
    <s v="Pooled"/>
    <s v="CombinationTest"/>
    <n v="3"/>
    <n v="2"/>
    <s v="list('EP1' = 'Binary', 'EP2' = 'Binary')"/>
    <s v="NA"/>
    <s v="NA"/>
    <s v="list('EP1' = c(0.4, 0.4, 0.4), 'EP2' = c(0.5, 0.5, 0.5))"/>
    <s v="c(1,1,1)"/>
    <s v="matrix(c(1, 0.5, 0.5, 1), nrow = nEps) # c(1)"/>
    <s v="c(rep(1/4, 4))"/>
    <s v="rbind(H1=c(0, 1/3, 1/3, 1/3), H2=c(1/3, 0, 1/3, 1/3), H3=c(1/3, 1/3, 0, 1/3), H4=c(1/3, 1/3, 1/3, 0))"/>
    <s v="Partly-Parametric"/>
    <s v="c(0.5, 1)"/>
    <s v="asOF"/>
    <b v="0"/>
    <b v="1"/>
    <n v="1"/>
    <n v="1"/>
    <s v="pvalue"/>
    <s v="best"/>
    <n v="1"/>
    <b v="1"/>
    <s v="Selection"/>
    <n v="20000"/>
    <n v="2000"/>
    <n v="6534"/>
    <b v="1"/>
    <b v="0"/>
    <b v="1"/>
    <b v="1"/>
    <s v="NA"/>
    <s v="NA"/>
    <s v="NA"/>
  </r>
  <r>
    <x v="14"/>
    <s v="No selection,N=3000,CumStat"/>
    <n v="6534"/>
    <n v="2.50136E-2"/>
    <n v="0"/>
    <n v="0"/>
    <n v="2.50136E-2"/>
    <s v="(0.02411,0.02591)"/>
    <s v="(0,0)"/>
    <s v="(0,0)"/>
    <s v="(0.02411,0.02591)"/>
    <n v="37444"/>
    <s v="0.00185,0.0222"/>
    <n v="3.0320998538864998"/>
    <s v="&gt;&gt;&gt;"/>
    <s v="CER"/>
    <n v="2000"/>
    <n v="2.5000000000000001E-2"/>
    <s v="NA"/>
    <s v="NA"/>
    <s v="UnPooled"/>
    <s v="None"/>
    <n v="3"/>
    <n v="2"/>
    <s v="list('EP1' = 'Binary', 'EP2' = 'Binary')"/>
    <s v="NA"/>
    <s v="NA"/>
    <s v="list('EP1' = c(0.4, 0.4, 0.4), 'EP2' = c(0.5, 0.5, 0.5))"/>
    <s v="c(1,1,1)"/>
    <s v="matrix(c(1, 0.5, 0.5, 1), nrow = nEps) # c(1)"/>
    <s v="c(rep(1/4, 4))"/>
    <s v="rbind(H1=c(0, 1/3, 1/3, 1/3), H2=c(1/3, 0, 1/3, 1/3), H3=c(1/3, 1/3, 0, 1/3), H4=c(1/3, 1/3, 1/3, 0))"/>
    <s v="Partly-Parametric"/>
    <s v="c(0.5, 1)"/>
    <s v="asOF"/>
    <b v="0"/>
    <b v="0"/>
    <s v="NA"/>
    <s v="NA"/>
    <s v="NA"/>
    <s v="NA"/>
    <s v="NA"/>
    <s v="NA"/>
    <s v="None"/>
    <n v="20000"/>
    <n v="2000"/>
    <n v="6534"/>
    <b v="1"/>
    <b v="0"/>
    <b v="1"/>
    <b v="1"/>
    <s v="NA"/>
    <s v="NA"/>
    <s v="NA"/>
  </r>
  <r>
    <x v="15"/>
    <s v="Fut=0.25,N=3000,CumStat"/>
    <n v="6534"/>
    <n v="1.9438549999999999E-2"/>
    <n v="0"/>
    <n v="0"/>
    <n v="1.9438549999999999E-2"/>
    <s v="(0.01857,0.02031)"/>
    <s v="(0,0)"/>
    <s v="(0,0)"/>
    <s v="(0.01857,0.02031)"/>
    <n v="37342"/>
    <s v="0.00185,0.0171"/>
    <n v="1.05495531108644"/>
    <s v="&gt;&gt;&gt;"/>
    <s v="CER"/>
    <n v="2000"/>
    <n v="2.5000000000000001E-2"/>
    <s v="NA"/>
    <s v="NA"/>
    <s v="UnPooled"/>
    <s v="None"/>
    <n v="3"/>
    <n v="2"/>
    <s v="list('EP1' = 'Binary', 'EP2' = 'Binary')"/>
    <s v="NA"/>
    <s v="NA"/>
    <s v="list('EP1' = c(0.4, 0.4, 0.4), 'EP2' = c(0.5, 0.5, 0.5))"/>
    <s v="c(1,1,1)"/>
    <s v="matrix(c(1, 0.5, 0.5, 1), nrow = nEps) # c(1)"/>
    <s v="c(rep(1/4, 4))"/>
    <s v="rbind(H1=c(0, 1/3, 1/3, 1/3), H2=c(1/3, 0, 1/3, 1/3), H3=c(1/3, 1/3, 0, 1/3), H4=c(1/3, 1/3, 1/3, 0))"/>
    <s v="Partly-Parametric"/>
    <s v="c(0.5, 1)"/>
    <s v="asOF"/>
    <b v="0"/>
    <b v="1"/>
    <n v="1"/>
    <n v="1"/>
    <s v="pvalue"/>
    <s v="threshold"/>
    <n v="0.25"/>
    <b v="1"/>
    <s v="Selection"/>
    <n v="20000"/>
    <n v="2000"/>
    <n v="6534"/>
    <b v="1"/>
    <b v="0"/>
    <b v="1"/>
    <b v="1"/>
    <s v="NA"/>
    <s v="NA"/>
    <s v="NA"/>
  </r>
  <r>
    <x v="16"/>
    <s v="Best=1,N=3000,CumStat"/>
    <n v="6534"/>
    <n v="2.2210500000000001E-2"/>
    <n v="0"/>
    <n v="0"/>
    <n v="2.2210500000000001E-2"/>
    <s v="(0.02135,0.02307)"/>
    <s v="(0,0)"/>
    <s v="(0,0)"/>
    <s v="(0.02135,0.02307)"/>
    <n v="37399"/>
    <s v="0.00185,0.01995"/>
    <n v="2.44142700420486"/>
    <s v="&gt;&gt;&gt;"/>
    <s v="CER"/>
    <n v="2000"/>
    <n v="2.5000000000000001E-2"/>
    <s v="NA"/>
    <s v="NA"/>
    <s v="UnPooled"/>
    <s v="None"/>
    <n v="3"/>
    <n v="2"/>
    <s v="list('EP1' = 'Binary', 'EP2' = 'Binary')"/>
    <s v="NA"/>
    <s v="NA"/>
    <s v="list('EP1' = c(0.4, 0.4, 0.4), 'EP2' = c(0.5, 0.5, 0.5))"/>
    <s v="c(1,1,1)"/>
    <s v="matrix(c(1, 0.5, 0.5, 1), nrow = nEps) # c(1)"/>
    <s v="c(rep(1/4, 4))"/>
    <s v="rbind(H1=c(0, 1/3, 1/3, 1/3), H2=c(1/3, 0, 1/3, 1/3), H3=c(1/3, 1/3, 0, 1/3), H4=c(1/3, 1/3, 1/3, 0))"/>
    <s v="Partly-Parametric"/>
    <s v="c(0.5, 1)"/>
    <s v="asOF"/>
    <b v="0"/>
    <b v="1"/>
    <n v="1"/>
    <n v="1"/>
    <s v="pvalue"/>
    <s v="best"/>
    <n v="1"/>
    <b v="1"/>
    <s v="Selection"/>
    <n v="20000"/>
    <n v="2000"/>
    <n v="6534"/>
    <b v="1"/>
    <b v="0"/>
    <b v="1"/>
    <b v="1"/>
    <s v="NA"/>
    <s v="NA"/>
    <s v="NA"/>
  </r>
  <r>
    <x v="17"/>
    <s v="S0, No Select, No CC, CPV"/>
    <n v="5873"/>
    <n v="9.1000000000000004E-3"/>
    <n v="0"/>
    <n v="0"/>
    <n v="9.1000000000000004E-3"/>
    <s v="(0.00778,0.01042)"/>
    <s v="(0,0)"/>
    <s v="(0,0)"/>
    <s v="(0.00778,0.01042)"/>
    <n v="24158"/>
    <s v="0.0012,0.0079"/>
    <n v="0.10617722385459499"/>
    <s v="&gt;&gt;&gt;"/>
    <s v="CombPValue"/>
    <n v="2000"/>
    <n v="2.5000000000000001E-2"/>
    <s v="NA"/>
    <s v="NA"/>
    <s v="UnPooled"/>
    <s v="CombinationTest"/>
    <n v="5"/>
    <n v="2"/>
    <s v="list(EP1 = &quot;Binary&quot;, EP2 = &quot;Binary&quot;)"/>
    <s v="NA"/>
    <s v="NA"/>
    <s v="list(EP1 = c(0.22, 0.22, 0.22, 0.22, 0.22), EP2 = c(0.1, 0.1, 0.1, 0.1, 0.1))"/>
    <s v="c(1,1,1,1,1)"/>
    <s v="matrix(c(1, 0.5, 0.5, 1), byrow = T, nrow = 2)"/>
    <s v="c(0.25,0.25,0.25,0.25, 0, 0, 0, 0)"/>
    <s v="matrix(c(0,1/12,1/12,1/12,3/4,0,0,0,_x000a_              1/12,0,1/12,1/12,0,3/4,0,0,_x000a_              1/12,1/12,0,1/12,0,0,3/4,0,_x000a_              1/12,1/12,1/12,0,0,0,0,3/4,_x000a_              0,1/3,1/3,1/3,0,0,0,0,_x000a_              1/3,0,1/3,1/3,0,0,0,0,_x000a_              1/3,1/3,0,1/3,0,0,0,0,_x000a_              1/3,1/3,1/3,0,0,0,0,0),_x000a_            nrow = nEps*(nArms-1), byrow = T)"/>
    <s v="Partly-Parametric"/>
    <s v="c(0.5, 1)"/>
    <s v="asOF"/>
    <b v="1"/>
    <b v="0"/>
    <s v="NA"/>
    <s v="NA"/>
    <s v="NA"/>
    <s v="NA"/>
    <s v="NA"/>
    <s v="NA"/>
    <s v="None"/>
    <n v="20000"/>
    <n v="500"/>
    <s v="Random"/>
    <b v="0"/>
    <b v="0"/>
    <b v="1"/>
    <b v="0"/>
    <b v="0"/>
    <s v="NA"/>
    <s v="NA"/>
  </r>
  <r>
    <x v="18"/>
    <s v="S0, No Select, No CC, CER"/>
    <n v="4140"/>
    <n v="2.2661500000000001E-2"/>
    <n v="0"/>
    <n v="0"/>
    <n v="2.2661500000000001E-2"/>
    <s v="(0.02183,0.02349)"/>
    <s v="(0,0)"/>
    <s v="(0,0)"/>
    <s v="(0.02183,0.02349)"/>
    <n v="25403"/>
    <s v="0.00125,0.02015"/>
    <n v="1.34996476696597"/>
    <s v="&gt;&gt;&gt;"/>
    <s v="CER"/>
    <n v="2000"/>
    <n v="2.5000000000000001E-2"/>
    <s v="NA"/>
    <s v="NA"/>
    <s v="UnPooled"/>
    <s v="CombinationTest"/>
    <n v="5"/>
    <n v="2"/>
    <s v="list(EP1 = &quot;Binary&quot;, EP2 = &quot;Binary&quot;)"/>
    <s v="NA"/>
    <s v="NA"/>
    <s v="list(EP1 = c(0.22, 0.22, 0.22, 0.22, 0.22), EP2 = c(0.1, 0.1, 0.1, 0.1, 0.1))"/>
    <s v="c(1,1,1,1,1)"/>
    <s v="matrix(c(1, 0.5, 0.5, 1), byrow = T, nrow = 2)"/>
    <s v="c(0.25,0.25,0.25,0.25, 0, 0, 0, 0)"/>
    <s v="matrix(c(0,1/12,1/12,1/12,3/4,0,0,0,_x000a_              1/12,0,1/12,1/12,0,3/4,0,0,_x000a_              1/12,1/12,0,1/12,0,0,3/4,0,_x000a_              1/12,1/12,1/12,0,0,0,0,3/4,_x000a_              0,1/3,1/3,1/3,0,0,0,0,_x000a_              1/3,0,1/3,1/3,0,0,0,0,_x000a_              1/3,1/3,0,1/3,0,0,0,0,_x000a_              1/3,1/3,1/3,0,0,0,0,0),_x000a_            nrow = nEps*(nArms-1), byrow = T)"/>
    <s v="Partly-Parametric"/>
    <s v="c(0.5, 1)"/>
    <s v="asOF"/>
    <b v="1"/>
    <b v="0"/>
    <s v="NA"/>
    <s v="NA"/>
    <s v="NA"/>
    <s v="NA"/>
    <s v="NA"/>
    <s v="NA"/>
    <s v="None"/>
    <n v="20000"/>
    <n v="500"/>
    <s v="Random"/>
    <b v="0"/>
    <b v="0"/>
    <b v="1"/>
    <b v="0"/>
    <b v="0"/>
    <s v="NA"/>
    <s v="NA"/>
  </r>
  <r>
    <x v="19"/>
    <s v="S0, Conservative, No CC, CPV"/>
    <n v="90"/>
    <n v="8.8000000000000005E-3"/>
    <n v="0"/>
    <n v="0"/>
    <n v="8.8000000000000005E-3"/>
    <s v="(0.00751,0.01009)"/>
    <s v="(0,0)"/>
    <s v="(0,0)"/>
    <s v="(0.00751,0.01009)"/>
    <n v="24152"/>
    <s v="0.0012,0.0076"/>
    <n v="9.7848201062944201E-2"/>
    <s v="&gt;&gt;&gt;"/>
    <s v="CombPValue"/>
    <n v="2000"/>
    <n v="2.5000000000000001E-2"/>
    <s v="NA"/>
    <s v="NA"/>
    <s v="UnPooled"/>
    <s v="CombinationTest"/>
    <n v="5"/>
    <n v="2"/>
    <s v="list(EP1 = &quot;Binary&quot;, EP2 = &quot;Binary&quot;)"/>
    <s v="NA"/>
    <s v="NA"/>
    <s v="list(EP1 = c(0.22, 0.22, 0.22, 0.22, 0.22), EP2 = c(0.1, 0.1, 0.1, 0.1, 0.1))"/>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75"/>
    <b v="1"/>
    <s v="Selection"/>
    <n v="20000"/>
    <n v="500"/>
    <s v="Random"/>
    <b v="0"/>
    <b v="0"/>
    <b v="1"/>
    <b v="0"/>
    <b v="0"/>
    <s v="NA"/>
    <s v="NA"/>
  </r>
  <r>
    <x v="20"/>
    <s v="S0, Conservative, No CC, CER"/>
    <n v="9325"/>
    <n v="2.2772799999999999E-2"/>
    <n v="0"/>
    <n v="0"/>
    <n v="2.2772799999999999E-2"/>
    <s v="(0.02192,0.02362)"/>
    <s v="(0,0)"/>
    <s v="(0,0)"/>
    <s v="(0.02192,0.02362)"/>
    <n v="29410"/>
    <s v="0.00145,0.0205"/>
    <n v="1.0704053866863299"/>
    <s v="&gt;&gt;&gt;"/>
    <s v="CER"/>
    <n v="2000"/>
    <n v="2.5000000000000001E-2"/>
    <s v="NA"/>
    <s v="NA"/>
    <s v="UnPooled"/>
    <s v="CombinationTest"/>
    <n v="5"/>
    <n v="2"/>
    <s v="list(EP1 = &quot;Binary&quot;, EP2 = &quot;Binary&quot;)"/>
    <s v="NA"/>
    <s v="NA"/>
    <s v="list(EP1 = c(0.22, 0.22, 0.22, 0.22, 0.22), EP2 = c(0.1, 0.1, 0.1, 0.1, 0.1))"/>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75"/>
    <b v="1"/>
    <s v="Selection"/>
    <n v="20000"/>
    <n v="500"/>
    <s v="Random"/>
    <b v="0"/>
    <b v="0"/>
    <b v="1"/>
    <b v="0"/>
    <b v="0"/>
    <s v="NA"/>
    <s v="NA"/>
  </r>
  <r>
    <x v="21"/>
    <s v="S0, Normal, No CC, CPV"/>
    <n v="2036"/>
    <n v="9.3500000000000007E-3"/>
    <n v="0"/>
    <n v="0"/>
    <n v="9.3500000000000007E-3"/>
    <s v="(0.00802,0.01068)"/>
    <s v="(0,0)"/>
    <s v="(0,0)"/>
    <s v="(0.00802,0.01068)"/>
    <n v="21166"/>
    <s v="0.00105,0.0083"/>
    <n v="8.7788380848036904E-2"/>
    <s v="&gt;&gt;&gt;"/>
    <s v="CombPValue"/>
    <n v="2000"/>
    <n v="2.5000000000000001E-2"/>
    <s v="NA"/>
    <s v="NA"/>
    <s v="UnPooled"/>
    <s v="CombinationTest"/>
    <n v="5"/>
    <n v="2"/>
    <s v="list(EP1 = &quot;Binary&quot;, EP2 = &quot;Binary&quot;)"/>
    <s v="NA"/>
    <s v="NA"/>
    <s v="list(EP1 = c(0.22, 0.22, 0.22, 0.22, 0.22), EP2 = c(0.1, 0.1, 0.1, 0.1, 0.1))"/>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5"/>
    <b v="1"/>
    <s v="Selection"/>
    <n v="20000"/>
    <n v="500"/>
    <s v="Random"/>
    <b v="0"/>
    <b v="0"/>
    <b v="1"/>
    <b v="0"/>
    <b v="0"/>
    <s v="NA"/>
    <s v="NA"/>
  </r>
  <r>
    <x v="22"/>
    <s v="S0, Normal, No CC, CER"/>
    <n v="3522"/>
    <n v="2.2487900000000002E-2"/>
    <n v="0"/>
    <n v="0"/>
    <n v="2.2487900000000002E-2"/>
    <s v="(0.02166,0.02332)"/>
    <s v="(0,0)"/>
    <s v="(0,0)"/>
    <s v="(0.02166,0.02332)"/>
    <n v="24396"/>
    <s v="0.0012,0.0198"/>
    <n v="0.85286209556791504"/>
    <s v="&gt;&gt;&gt;"/>
    <s v="CER"/>
    <n v="2000"/>
    <n v="2.5000000000000001E-2"/>
    <s v="NA"/>
    <s v="NA"/>
    <s v="UnPooled"/>
    <s v="CombinationTest"/>
    <n v="5"/>
    <n v="2"/>
    <s v="list(EP1 = &quot;Binary&quot;, EP2 = &quot;Binary&quot;)"/>
    <s v="NA"/>
    <s v="NA"/>
    <s v="list(EP1 = c(0.22, 0.22, 0.22, 0.22, 0.22), EP2 = c(0.1, 0.1, 0.1, 0.1, 0.1))"/>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5"/>
    <b v="1"/>
    <s v="Selection"/>
    <n v="20000"/>
    <n v="500"/>
    <s v="Random"/>
    <b v="0"/>
    <b v="0"/>
    <b v="1"/>
    <b v="0"/>
    <b v="0"/>
    <s v="NA"/>
    <s v="NA"/>
  </r>
  <r>
    <x v="23"/>
    <s v="S0, Aggressive, No CC, CPV"/>
    <n v="5962"/>
    <n v="1.2200000000000001E-2"/>
    <n v="0"/>
    <n v="0"/>
    <n v="1.2200000000000001E-2"/>
    <s v="(0.01068,0.01372)"/>
    <s v="(0,0)"/>
    <s v="(0,0)"/>
    <s v="(0.01068,0.01372)"/>
    <n v="24220"/>
    <s v="0.0012,0.011"/>
    <n v="7.0987362265586898E-2"/>
    <s v="&gt;&gt;&gt;"/>
    <s v="CombPValue"/>
    <n v="2000"/>
    <n v="2.5000000000000001E-2"/>
    <s v="NA"/>
    <s v="NA"/>
    <s v="UnPooled"/>
    <s v="CombinationTest"/>
    <n v="5"/>
    <n v="2"/>
    <s v="list(EP1 = &quot;Binary&quot;, EP2 = &quot;Binary&quot;)"/>
    <s v="NA"/>
    <s v="NA"/>
    <s v="list(EP1 = c(0.22, 0.22, 0.22, 0.22, 0.22), EP2 = c(0.1, 0.1, 0.1, 0.1, 0.1))"/>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25"/>
    <b v="1"/>
    <s v="Selection"/>
    <n v="20000"/>
    <n v="500"/>
    <s v="Random"/>
    <b v="0"/>
    <b v="0"/>
    <b v="1"/>
    <b v="0"/>
    <b v="0"/>
    <s v="NA"/>
    <s v="NA"/>
  </r>
  <r>
    <x v="24"/>
    <s v="S0, Aggressive, No CC, CER"/>
    <n v="6884"/>
    <n v="2.1748099999999999E-2"/>
    <n v="0"/>
    <n v="0"/>
    <n v="2.1748099999999999E-2"/>
    <s v="(0.02092,0.02257)"/>
    <s v="(0,0)"/>
    <s v="(0,0)"/>
    <s v="(0.02092,0.02257)"/>
    <n v="26363"/>
    <s v="0.0013,0.01815"/>
    <n v="0.50588358249929199"/>
    <s v="&gt;&gt;&gt;"/>
    <s v="CER"/>
    <n v="2000"/>
    <n v="2.5000000000000001E-2"/>
    <s v="NA"/>
    <s v="NA"/>
    <s v="UnPooled"/>
    <s v="CombinationTest"/>
    <n v="5"/>
    <n v="2"/>
    <s v="list(EP1 = &quot;Binary&quot;, EP2 = &quot;Binary&quot;)"/>
    <s v="NA"/>
    <s v="NA"/>
    <s v="list(EP1 = c(0.22, 0.22, 0.22, 0.22, 0.22), EP2 = c(0.1, 0.1, 0.1, 0.1, 0.1))"/>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25"/>
    <b v="1"/>
    <s v="Selection"/>
    <n v="20000"/>
    <n v="500"/>
    <s v="Random"/>
    <b v="0"/>
    <b v="0"/>
    <b v="1"/>
    <b v="0"/>
    <b v="0"/>
    <s v="NA"/>
    <s v="NA"/>
  </r>
  <r>
    <x v="25"/>
    <s v="S0, Ultra Aggressive, No CC, CPV"/>
    <n v="6689"/>
    <n v="2.035E-2"/>
    <n v="0"/>
    <n v="0"/>
    <n v="2.035E-2"/>
    <s v="(0.01839,0.02231)"/>
    <s v="(0,0)"/>
    <s v="(0,0)"/>
    <s v="(0.01839,0.02231)"/>
    <n v="25382"/>
    <s v="0.00125,0.0191"/>
    <n v="8.2962164481480902E-2"/>
    <s v="&gt;&gt;&gt;"/>
    <s v="CombPValue"/>
    <n v="2000"/>
    <n v="2.5000000000000001E-2"/>
    <s v="NA"/>
    <s v="NA"/>
    <s v="UnPooled"/>
    <s v="CombinationTest"/>
    <n v="5"/>
    <n v="2"/>
    <s v="list(EP1 = &quot;Binary&quot;, EP2 = &quot;Binary&quot;)"/>
    <s v="NA"/>
    <s v="NA"/>
    <s v="list(EP1 = c(0.22, 0.22, 0.22, 0.22, 0.22), EP2 = c(0.1, 0.1, 0.1, 0.1, 0.1))"/>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best"/>
    <n v="1"/>
    <b v="1"/>
    <s v="Selection"/>
    <n v="20000"/>
    <n v="500"/>
    <s v="Random"/>
    <b v="0"/>
    <b v="0"/>
    <b v="1"/>
    <b v="0"/>
    <b v="0"/>
    <s v="NA"/>
    <s v="NA"/>
  </r>
  <r>
    <x v="26"/>
    <s v="S0, Ultra Aggressive, No CC, CER"/>
    <n v="8986"/>
    <n v="2.1050200000000002E-2"/>
    <n v="0"/>
    <n v="0"/>
    <n v="2.1050200000000002E-2"/>
    <s v="(0.02024,0.02186)"/>
    <s v="(0,0)"/>
    <s v="(0,0)"/>
    <s v="(0.02024,0.02186)"/>
    <n v="28398"/>
    <s v="0.0014,0.0199"/>
    <n v="0.73913109276029798"/>
    <s v="&gt;&gt;&gt;"/>
    <s v="CER"/>
    <n v="2000"/>
    <n v="2.5000000000000001E-2"/>
    <s v="NA"/>
    <s v="NA"/>
    <s v="UnPooled"/>
    <s v="CombinationTest"/>
    <n v="5"/>
    <n v="2"/>
    <s v="list(EP1 = &quot;Binary&quot;, EP2 = &quot;Binary&quot;)"/>
    <s v="NA"/>
    <s v="NA"/>
    <s v="list(EP1 = c(0.22, 0.22, 0.22, 0.22, 0.22), EP2 = c(0.1, 0.1, 0.1, 0.1, 0.1))"/>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best"/>
    <n v="1"/>
    <b v="1"/>
    <s v="Selection"/>
    <n v="20000"/>
    <n v="500"/>
    <s v="Random"/>
    <b v="0"/>
    <b v="0"/>
    <b v="1"/>
    <b v="0"/>
    <b v="0"/>
    <s v="NA"/>
    <s v="NA"/>
  </r>
  <r>
    <x v="27"/>
    <s v="S1, No Select, No CC, CPV"/>
    <n v="6219"/>
    <n v="0.96822373696872499"/>
    <n v="0.91720128307939097"/>
    <n v="0.96822373696872499"/>
    <n v="1.2028869286287099E-2"/>
    <s v="(0.96579,0.97066)"/>
    <s v="(0.91338,0.92103)"/>
    <s v="(0.96579,0.97066)"/>
    <s v="(0.01052,0.01354)"/>
    <n v="97169602"/>
    <s v="0.4858,0.4801"/>
    <n v="8.9947458571857902E-2"/>
    <s v="&gt;&gt;&gt;"/>
    <s v="CombPValue"/>
    <n v="2000"/>
    <n v="2.5000000000000001E-2"/>
    <s v="NA"/>
    <s v="NA"/>
    <s v="UnPooled"/>
    <s v="CombinationTest"/>
    <n v="5"/>
    <n v="2"/>
    <s v="list(EP1 = &quot;Binary&quot;, EP2 = &quot;Binary&quot;)"/>
    <s v="NA"/>
    <s v="NA"/>
    <s v="list(EP1 = c(0.1, 0.1, 0.1, 0.1, 0.22), EP2 = c(0.1, 0.1, 0.1, 0.1, 0.22))"/>
    <s v="c(1,1,1,1,1)"/>
    <s v="matrix(c(1, 0.5, 0.5, 1), byrow = T, nrow = 2)"/>
    <s v="c(0.25,0.25,0.25,0.25, 0, 0, 0, 0)"/>
    <s v="matrix(c(0,1/12,1/12,1/12,3/4,0,0,0,_x000a_              1/12,0,1/12,1/12,0,3/4,0,0,_x000a_              1/12,1/12,0,1/12,0,0,3/4,0,_x000a_              1/12,1/12,1/12,0,0,0,0,3/4,_x000a_              0,1/3,1/3,1/3,0,0,0,0,_x000a_              1/3,0,1/3,1/3,0,0,0,0,_x000a_              1/3,1/3,0,1/3,0,0,0,0,_x000a_              1/3,1/3,1/3,0,0,0,0,0),_x000a_            nrow = nEps*(nArms-1), byrow = T)"/>
    <s v="Partly-Parametric"/>
    <s v="c(0.5, 1)"/>
    <s v="asOF"/>
    <b v="1"/>
    <b v="0"/>
    <s v="NA"/>
    <s v="NA"/>
    <s v="NA"/>
    <s v="NA"/>
    <s v="NA"/>
    <s v="NA"/>
    <s v="None"/>
    <n v="20000"/>
    <n v="500"/>
    <s v="Random"/>
    <b v="0"/>
    <b v="0"/>
    <b v="1"/>
    <b v="0"/>
    <b v="0"/>
    <s v="NA"/>
    <s v="NA"/>
  </r>
  <r>
    <x v="28"/>
    <s v="S1, No Select, No CC, CER"/>
    <n v="1935"/>
    <n v="0.98715889999999995"/>
    <n v="0.97101320000000002"/>
    <n v="0.98715750000000002"/>
    <n v="2.3285299999999998E-2"/>
    <s v="(0.98658,0.98774)"/>
    <s v="(0.9701,0.97192)"/>
    <s v="(0.98658,0.98774)"/>
    <s v="(0.02241,0.02416)"/>
    <n v="99179810"/>
    <s v="0.49585,0.4905"/>
    <n v="1.26568471027745"/>
    <s v="&gt;&gt;&gt;"/>
    <s v="CER"/>
    <n v="2000"/>
    <n v="2.5000000000000001E-2"/>
    <s v="NA"/>
    <s v="NA"/>
    <s v="UnPooled"/>
    <s v="CombinationTest"/>
    <n v="5"/>
    <n v="2"/>
    <s v="list(EP1 = &quot;Binary&quot;, EP2 = &quot;Binary&quot;)"/>
    <s v="NA"/>
    <s v="NA"/>
    <s v="list(EP1 = c(0.1, 0.1, 0.1, 0.1, 0.22), EP2 = c(0.1, 0.1, 0.1, 0.1, 0.22))"/>
    <s v="c(1,1,1,1,1)"/>
    <s v="matrix(c(1, 0.5, 0.5, 1), byrow = T, nrow = 2)"/>
    <s v="c(0.25,0.25,0.25,0.25, 0, 0, 0, 0)"/>
    <s v="matrix(c(0,1/12,1/12,1/12,3/4,0,0,0,_x000a_              1/12,0,1/12,1/12,0,3/4,0,0,_x000a_              1/12,1/12,0,1/12,0,0,3/4,0,_x000a_              1/12,1/12,1/12,0,0,0,0,3/4,_x000a_              0,1/3,1/3,1/3,0,0,0,0,_x000a_              1/3,0,1/3,1/3,0,0,0,0,_x000a_              1/3,1/3,0,1/3,0,0,0,0,_x000a_              1/3,1/3,1/3,0,0,0,0,0),_x000a_            nrow = nEps*(nArms-1), byrow = T)"/>
    <s v="Partly-Parametric"/>
    <s v="c(0.5, 1)"/>
    <s v="asOF"/>
    <b v="1"/>
    <b v="0"/>
    <s v="NA"/>
    <s v="NA"/>
    <s v="NA"/>
    <s v="NA"/>
    <s v="NA"/>
    <s v="NA"/>
    <s v="None"/>
    <n v="20000"/>
    <n v="500"/>
    <s v="Random"/>
    <b v="0"/>
    <b v="0"/>
    <b v="1"/>
    <b v="0"/>
    <b v="0"/>
    <s v="NA"/>
    <s v="NA"/>
  </r>
  <r>
    <x v="29"/>
    <s v="S1, Conservative, No CC, CPV"/>
    <n v="5069"/>
    <n v="0.98767967145790603"/>
    <n v="0.95287223919467101"/>
    <n v="0.98767967145790603"/>
    <n v="1.2220163269394501E-2"/>
    <s v="(0.98615,0.98921)"/>
    <s v="(0.94993,0.95581)"/>
    <s v="(0.98615,0.98921)"/>
    <s v="(0.0107,0.01374)"/>
    <n v="97389983"/>
    <s v="0.4869,0.49915"/>
    <n v="8.5714511672655702E-2"/>
    <s v="&gt;&gt;&gt;"/>
    <s v="CombPValue"/>
    <n v="2000"/>
    <n v="2.5000000000000001E-2"/>
    <s v="NA"/>
    <s v="NA"/>
    <s v="UnPooled"/>
    <s v="CombinationTest"/>
    <n v="5"/>
    <n v="2"/>
    <s v="list(EP1 = &quot;Binary&quot;, EP2 = &quot;Binary&quot;)"/>
    <s v="NA"/>
    <s v="NA"/>
    <s v="list(EP1 = c(0.1, 0.1, 0.1, 0.1, 0.22), EP2 = c(0.1, 0.1, 0.1, 0.1,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75"/>
    <b v="1"/>
    <s v="Selection"/>
    <n v="20000"/>
    <n v="500"/>
    <s v="Random"/>
    <b v="0"/>
    <b v="0"/>
    <b v="1"/>
    <b v="0"/>
    <b v="0"/>
    <s v="NA"/>
    <s v="NA"/>
  </r>
  <r>
    <x v="30"/>
    <s v="S1, Conservative, No CC, CER"/>
    <n v="6881"/>
    <n v="0.99577070000000001"/>
    <n v="0.98601669999999997"/>
    <n v="0.99576980000000004"/>
    <n v="2.2538800000000001E-2"/>
    <s v="(0.9955,0.99604)"/>
    <s v="(0.98544,0.98659)"/>
    <s v="(0.9955,0.99604)"/>
    <s v="(0.02171,0.02337)"/>
    <n v="985110075"/>
    <s v="0.49255,0.50375"/>
    <n v="1.0470355755753"/>
    <s v="&gt;&gt;&gt;"/>
    <s v="CER"/>
    <n v="2000"/>
    <n v="2.5000000000000001E-2"/>
    <s v="NA"/>
    <s v="NA"/>
    <s v="UnPooled"/>
    <s v="CombinationTest"/>
    <n v="5"/>
    <n v="2"/>
    <s v="list(EP1 = &quot;Binary&quot;, EP2 = &quot;Binary&quot;)"/>
    <s v="NA"/>
    <s v="NA"/>
    <s v="list(EP1 = c(0.1, 0.1, 0.1, 0.1, 0.22), EP2 = c(0.1, 0.1, 0.1, 0.1,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75"/>
    <b v="1"/>
    <s v="Selection"/>
    <n v="20000"/>
    <n v="500"/>
    <s v="Random"/>
    <b v="0"/>
    <b v="0"/>
    <b v="1"/>
    <b v="0"/>
    <b v="0"/>
    <s v="NA"/>
    <s v="NA"/>
  </r>
  <r>
    <x v="31"/>
    <s v="S1, Normal, No CC, CPV"/>
    <n v="5807"/>
    <n v="0.99374343060213199"/>
    <n v="0.96991841433505199"/>
    <n v="0.99374343060213199"/>
    <n v="1.33640322338455E-2"/>
    <s v="(0.99265,0.99484)"/>
    <s v="(0.96755,0.97229)"/>
    <s v="(0.99265,0.99484)"/>
    <s v="(0.01177,0.01496)"/>
    <n v="972510129"/>
    <s v="0.48625,0.50645"/>
    <n v="8.1795238653818797E-2"/>
    <s v="&gt;&gt;&gt;"/>
    <s v="CombPValue"/>
    <n v="2000"/>
    <n v="2.5000000000000001E-2"/>
    <s v="NA"/>
    <s v="NA"/>
    <s v="UnPooled"/>
    <s v="CombinationTest"/>
    <n v="5"/>
    <n v="2"/>
    <s v="list(EP1 = &quot;Binary&quot;, EP2 = &quot;Binary&quot;)"/>
    <s v="NA"/>
    <s v="NA"/>
    <s v="list(EP1 = c(0.1, 0.1, 0.1, 0.1, 0.22), EP2 = c(0.1, 0.1, 0.1, 0.1,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5"/>
    <b v="1"/>
    <s v="Selection"/>
    <n v="20000"/>
    <n v="500"/>
    <s v="Random"/>
    <b v="0"/>
    <b v="0"/>
    <b v="1"/>
    <b v="0"/>
    <b v="0"/>
    <s v="NA"/>
    <s v="NA"/>
  </r>
  <r>
    <x v="32"/>
    <s v="S1, Normal, No CC, CER"/>
    <n v="828"/>
    <n v="0.99826029999999999"/>
    <n v="0.99212690000000003"/>
    <n v="0.99825909999999995"/>
    <n v="2.2908000000000001E-2"/>
    <s v="(0.99802,0.9985)"/>
    <s v="(0.99167,0.99259)"/>
    <s v="(0.99802,0.9985)"/>
    <s v="(0.02205,0.02377)"/>
    <n v="987810089"/>
    <s v="0.4939,0.50445"/>
    <n v="0.89547328829765305"/>
    <s v="&gt;&gt;&gt;"/>
    <s v="CER"/>
    <n v="2000"/>
    <n v="2.5000000000000001E-2"/>
    <s v="NA"/>
    <s v="NA"/>
    <s v="UnPooled"/>
    <s v="CombinationTest"/>
    <n v="5"/>
    <n v="2"/>
    <s v="list(EP1 = &quot;Binary&quot;, EP2 = &quot;Binary&quot;)"/>
    <s v="NA"/>
    <s v="NA"/>
    <s v="list(EP1 = c(0.1, 0.1, 0.1, 0.1, 0.22), EP2 = c(0.1, 0.1, 0.1, 0.1,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5"/>
    <b v="1"/>
    <s v="Selection"/>
    <n v="20000"/>
    <n v="500"/>
    <s v="Random"/>
    <b v="0"/>
    <b v="0"/>
    <b v="1"/>
    <b v="0"/>
    <b v="0"/>
    <s v="NA"/>
    <s v="NA"/>
  </r>
  <r>
    <x v="33"/>
    <s v="S1, Aggressive, No CC, CPV"/>
    <n v="1046"/>
    <n v="0.99549774887443698"/>
    <n v="0.98339169584792396"/>
    <n v="0.99549774887443698"/>
    <n v="1.51075537768884E-2"/>
    <s v="(0.99457,0.99643)"/>
    <s v="(0.98162,0.98516)"/>
    <s v="(0.99457,0.99643)"/>
    <s v="(0.01342,0.0168)"/>
    <n v="974310157"/>
    <s v="0.48715,0.50785"/>
    <n v="7.6328510774506503E-2"/>
    <s v="&gt;&gt;&gt;"/>
    <s v="CombPValue"/>
    <n v="2000"/>
    <n v="2.5000000000000001E-2"/>
    <s v="NA"/>
    <s v="NA"/>
    <s v="UnPooled"/>
    <s v="CombinationTest"/>
    <n v="5"/>
    <n v="2"/>
    <s v="list(EP1 = &quot;Binary&quot;, EP2 = &quot;Binary&quot;)"/>
    <s v="NA"/>
    <s v="NA"/>
    <s v="list(EP1 = c(0.1, 0.1, 0.1, 0.1, 0.22), EP2 = c(0.1, 0.1, 0.1, 0.1,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25"/>
    <b v="1"/>
    <s v="Selection"/>
    <n v="20000"/>
    <n v="500"/>
    <s v="Random"/>
    <b v="0"/>
    <b v="0"/>
    <b v="1"/>
    <b v="0"/>
    <b v="0"/>
    <s v="NA"/>
    <s v="NA"/>
  </r>
  <r>
    <x v="34"/>
    <s v="S1, Aggressive, No CC, CER"/>
    <n v="4308"/>
    <n v="0.9955465"/>
    <n v="0.9933168"/>
    <n v="0.99554430000000005"/>
    <n v="2.2285900000000001E-2"/>
    <s v="(0.99466,0.99644)"/>
    <s v="(0.9924,0.99423)"/>
    <s v="(0.99465,0.99644)"/>
    <s v="(0.02142,0.02315)"/>
    <n v="987910036"/>
    <s v="0.49395,0.5018"/>
    <n v="0.74148017863432603"/>
    <s v="&gt;&gt;&gt;"/>
    <s v="CER"/>
    <n v="2000"/>
    <n v="2.5000000000000001E-2"/>
    <s v="NA"/>
    <s v="NA"/>
    <s v="UnPooled"/>
    <s v="CombinationTest"/>
    <n v="5"/>
    <n v="2"/>
    <s v="list(EP1 = &quot;Binary&quot;, EP2 = &quot;Binary&quot;)"/>
    <s v="NA"/>
    <s v="NA"/>
    <s v="list(EP1 = c(0.1, 0.1, 0.1, 0.1, 0.22), EP2 = c(0.1, 0.1, 0.1, 0.1,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25"/>
    <b v="1"/>
    <s v="Selection"/>
    <n v="20000"/>
    <n v="500"/>
    <s v="Random"/>
    <b v="0"/>
    <b v="0"/>
    <b v="1"/>
    <b v="0"/>
    <b v="0"/>
    <s v="NA"/>
    <s v="NA"/>
  </r>
  <r>
    <x v="35"/>
    <s v="S1, Ultra Aggressive, No CC, CPV"/>
    <n v="570"/>
    <n v="0.99654896468940701"/>
    <n v="0.99044713414024199"/>
    <n v="0.99609882964889496"/>
    <n v="1.11533460038011E-2"/>
    <s v="(0.99574,0.99736)"/>
    <s v="(0.9891,0.9918)"/>
    <s v="(0.99523,0.99696)"/>
    <s v="(0.0097,0.01261)"/>
    <n v="974310182"/>
    <s v="0.48715,0.5091"/>
    <n v="7.3793000578880302E-2"/>
    <s v="&gt;&gt;&gt;"/>
    <s v="CombPValue"/>
    <n v="2000"/>
    <n v="2.5000000000000001E-2"/>
    <s v="NA"/>
    <s v="NA"/>
    <s v="UnPooled"/>
    <s v="CombinationTest"/>
    <n v="5"/>
    <n v="2"/>
    <s v="list(EP1 = &quot;Binary&quot;, EP2 = &quot;Binary&quot;)"/>
    <s v="NA"/>
    <s v="NA"/>
    <s v="list(EP1 = c(0.1, 0.1, 0.1, 0.1, 0.22), EP2 = c(0.1, 0.1, 0.1, 0.1,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best"/>
    <n v="1"/>
    <b v="1"/>
    <s v="Selection"/>
    <n v="20000"/>
    <n v="500"/>
    <s v="Random"/>
    <b v="0"/>
    <b v="0"/>
    <b v="1"/>
    <b v="0"/>
    <b v="0"/>
    <s v="NA"/>
    <s v="NA"/>
  </r>
  <r>
    <x v="36"/>
    <s v="S1, Ultra Aggressive, No CC, CER"/>
    <n v="7361"/>
    <n v="0.9986623"/>
    <n v="0.99825370000000002"/>
    <n v="0.99845170000000005"/>
    <n v="1.1021100000000001E-2"/>
    <s v="(0.9982,0.99912)"/>
    <s v="(0.99773,0.99877)"/>
    <s v="(0.99793,0.99897)"/>
    <s v="(0.01032,0.01172)"/>
    <n v="983810138"/>
    <s v="0.4919,0.5069"/>
    <n v="0.72058849804931202"/>
    <s v="&gt;&gt;&gt;"/>
    <s v="CER"/>
    <n v="2000"/>
    <n v="2.5000000000000001E-2"/>
    <s v="NA"/>
    <s v="NA"/>
    <s v="UnPooled"/>
    <s v="CombinationTest"/>
    <n v="5"/>
    <n v="2"/>
    <s v="list(EP1 = &quot;Binary&quot;, EP2 = &quot;Binary&quot;)"/>
    <s v="NA"/>
    <s v="NA"/>
    <s v="list(EP1 = c(0.1, 0.1, 0.1, 0.1, 0.22), EP2 = c(0.1, 0.1, 0.1, 0.1,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best"/>
    <n v="1"/>
    <b v="1"/>
    <s v="Selection"/>
    <n v="20000"/>
    <n v="500"/>
    <s v="Random"/>
    <b v="0"/>
    <b v="0"/>
    <b v="1"/>
    <b v="0"/>
    <b v="0"/>
    <s v="NA"/>
    <s v="NA"/>
  </r>
  <r>
    <x v="37"/>
    <s v="S2, No Select, No CC, CPV"/>
    <n v="9190"/>
    <n v="0.995435393258427"/>
    <n v="0.90003009630818598"/>
    <n v="0.995435393258427"/>
    <n v="1.6252006420545698E-2"/>
    <s v="(0.9945,0.99637)"/>
    <s v="(0.89587,0.90419)"/>
    <s v="(0.9945,0.99637)"/>
    <s v="(0.0145,0.01801)"/>
    <n v="129586887"/>
    <s v="0.6479,0.34435"/>
    <n v="8.1739582750532405E-2"/>
    <s v="&gt;&gt;&gt;"/>
    <s v="CombPValue"/>
    <n v="2000"/>
    <n v="2.5000000000000001E-2"/>
    <s v="NA"/>
    <s v="NA"/>
    <s v="UnPooled"/>
    <s v="CombinationTest"/>
    <n v="5"/>
    <n v="2"/>
    <s v="list(EP1 = &quot;Binary&quot;, EP2 = &quot;Binary&quot;)"/>
    <s v="NA"/>
    <s v="NA"/>
    <s v="list(EP1 = c(0.1, 0.1, 0.1, 0.22, 0.22), EP2 = c(0.1, 0.1, 0.1, 0.22, 0.22))"/>
    <s v="c(1,1,1,1,1)"/>
    <s v="matrix(c(1, 0.5, 0.5, 1), byrow = T, nrow = 2)"/>
    <s v="c(0.25,0.25,0.25,0.25, 0, 0, 0, 0)"/>
    <s v="matrix(c(0,1/12,1/12,1/12,3/4,0,0,0,_x000a_              1/12,0,1/12,1/12,0,3/4,0,0,_x000a_              1/12,1/12,0,1/12,0,0,3/4,0,_x000a_              1/12,1/12,1/12,0,0,0,0,3/4,_x000a_              0,1/3,1/3,1/3,0,0,0,0,_x000a_              1/3,0,1/3,1/3,0,0,0,0,_x000a_              1/3,1/3,0,1/3,0,0,0,0,_x000a_              1/3,1/3,1/3,0,0,0,0,0),_x000a_            nrow = nEps*(nArms-1), byrow = T)"/>
    <s v="Partly-Parametric"/>
    <s v="c(0.5, 1)"/>
    <s v="asOF"/>
    <b v="1"/>
    <b v="0"/>
    <s v="NA"/>
    <s v="NA"/>
    <s v="NA"/>
    <s v="NA"/>
    <s v="NA"/>
    <s v="NA"/>
    <s v="None"/>
    <n v="20000"/>
    <n v="500"/>
    <s v="Random"/>
    <b v="0"/>
    <b v="0"/>
    <b v="1"/>
    <b v="0"/>
    <b v="0"/>
    <s v="NA"/>
    <s v="NA"/>
  </r>
  <r>
    <x v="38"/>
    <s v="S2, No Select, No CC, CER"/>
    <n v="240"/>
    <n v="0.99833269999999996"/>
    <n v="0.95884100000000005"/>
    <n v="0.99833269999999996"/>
    <n v="2.3877900000000001E-2"/>
    <s v="(0.99818,0.99849)"/>
    <s v="(0.95776,0.95992)"/>
    <s v="(0.99818,0.99849)"/>
    <s v="(0.023,0.02475)"/>
    <n v="131946769"/>
    <s v="0.6597,0.33845"/>
    <n v="1.1529785283406599"/>
    <s v="&gt;&gt;&gt;"/>
    <s v="CER"/>
    <n v="2000"/>
    <n v="2.5000000000000001E-2"/>
    <s v="NA"/>
    <s v="NA"/>
    <s v="UnPooled"/>
    <s v="CombinationTest"/>
    <n v="5"/>
    <n v="2"/>
    <s v="list(EP1 = &quot;Binary&quot;, EP2 = &quot;Binary&quot;)"/>
    <s v="NA"/>
    <s v="NA"/>
    <s v="list(EP1 = c(0.1, 0.1, 0.1, 0.22, 0.22), EP2 = c(0.1, 0.1, 0.1, 0.22, 0.22))"/>
    <s v="c(1,1,1,1,1)"/>
    <s v="matrix(c(1, 0.5, 0.5, 1), byrow = T, nrow = 2)"/>
    <s v="c(0.25,0.25,0.25,0.25, 0, 0, 0, 0)"/>
    <s v="matrix(c(0,1/12,1/12,1/12,3/4,0,0,0,_x000a_              1/12,0,1/12,1/12,0,3/4,0,0,_x000a_              1/12,1/12,0,1/12,0,0,3/4,0,_x000a_              1/12,1/12,1/12,0,0,0,0,3/4,_x000a_              0,1/3,1/3,1/3,0,0,0,0,_x000a_              1/3,0,1/3,1/3,0,0,0,0,_x000a_              1/3,1/3,0,1/3,0,0,0,0,_x000a_              1/3,1/3,1/3,0,0,0,0,0),_x000a_            nrow = nEps*(nArms-1), byrow = T)"/>
    <s v="Partly-Parametric"/>
    <s v="c(0.5, 1)"/>
    <s v="asOF"/>
    <b v="1"/>
    <b v="0"/>
    <s v="NA"/>
    <s v="NA"/>
    <s v="NA"/>
    <s v="NA"/>
    <s v="NA"/>
    <s v="NA"/>
    <s v="None"/>
    <n v="20000"/>
    <n v="500"/>
    <s v="Random"/>
    <b v="0"/>
    <b v="0"/>
    <b v="1"/>
    <b v="0"/>
    <b v="0"/>
    <s v="NA"/>
    <s v="NA"/>
  </r>
  <r>
    <x v="39"/>
    <s v="S2, Conservative, No CC, CPV"/>
    <n v="3545"/>
    <n v="0.99854716697560197"/>
    <n v="0.93677671459345702"/>
    <n v="0.99854716697560197"/>
    <n v="1.55803817444016E-2"/>
    <s v="(0.99802,0.99908)"/>
    <s v="(0.9334,0.94015)"/>
    <s v="(0.99802,0.99908)"/>
    <s v="(0.01386,0.0173)"/>
    <n v="130896843"/>
    <s v="0.65445,0.34215"/>
    <n v="7.9247044987148699E-2"/>
    <s v="&gt;&gt;&gt;"/>
    <s v="CombPValue"/>
    <n v="2000"/>
    <n v="2.5000000000000001E-2"/>
    <s v="NA"/>
    <s v="NA"/>
    <s v="UnPooled"/>
    <s v="CombinationTest"/>
    <n v="5"/>
    <n v="2"/>
    <s v="list(EP1 = &quot;Binary&quot;, EP2 = &quot;Binary&quot;)"/>
    <s v="NA"/>
    <s v="NA"/>
    <s v="list(EP1 = c(0.1, 0.1, 0.1, 0.22, 0.22), EP2 = c(0.1, 0.1, 0.1,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75"/>
    <b v="1"/>
    <s v="Selection"/>
    <n v="20000"/>
    <n v="500"/>
    <s v="Random"/>
    <b v="0"/>
    <b v="0"/>
    <b v="1"/>
    <b v="0"/>
    <b v="0"/>
    <s v="NA"/>
    <s v="NA"/>
  </r>
  <r>
    <x v="40"/>
    <s v="S2, Conservative, No CC, CER"/>
    <n v="4604"/>
    <n v="0.99959100000000001"/>
    <n v="0.97481549999999995"/>
    <n v="0.99959100000000001"/>
    <n v="2.36063E-2"/>
    <s v="(0.99955,0.99963)"/>
    <s v="(0.97403,0.9756)"/>
    <s v="(0.99955,0.99963)"/>
    <s v="(0.02274,0.02447)"/>
    <n v="131996793"/>
    <s v="0.65995,0.33965"/>
    <n v="0.97285817166169497"/>
    <s v="&gt;&gt;&gt;"/>
    <s v="CER"/>
    <n v="2000"/>
    <n v="2.5000000000000001E-2"/>
    <s v="NA"/>
    <s v="NA"/>
    <s v="UnPooled"/>
    <s v="CombinationTest"/>
    <n v="5"/>
    <n v="2"/>
    <s v="list(EP1 = &quot;Binary&quot;, EP2 = &quot;Binary&quot;)"/>
    <s v="NA"/>
    <s v="NA"/>
    <s v="list(EP1 = c(0.1, 0.1, 0.1, 0.22, 0.22), EP2 = c(0.1, 0.1, 0.1,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75"/>
    <b v="1"/>
    <s v="Selection"/>
    <n v="20000"/>
    <n v="500"/>
    <s v="Random"/>
    <b v="0"/>
    <b v="0"/>
    <b v="1"/>
    <b v="0"/>
    <b v="0"/>
    <s v="NA"/>
    <s v="NA"/>
  </r>
  <r>
    <x v="41"/>
    <s v="S2, Normal, No CC, CPV"/>
    <n v="1483"/>
    <n v="0.999349186483104"/>
    <n v="0.95659574468085096"/>
    <n v="0.999349186483104"/>
    <n v="1.63204005006258E-2"/>
    <s v="(0.999,0.9997)"/>
    <s v="(0.95377,0.95942)"/>
    <s v="(0.999,0.9997)"/>
    <s v="(0.01456,0.01808)"/>
    <n v="130826880"/>
    <s v="0.6541,0.344"/>
    <n v="7.76279513703452E-2"/>
    <s v="&gt;&gt;&gt;"/>
    <s v="CombPValue"/>
    <n v="2000"/>
    <n v="2.5000000000000001E-2"/>
    <s v="NA"/>
    <s v="NA"/>
    <s v="UnPooled"/>
    <s v="CombinationTest"/>
    <n v="5"/>
    <n v="2"/>
    <s v="list(EP1 = &quot;Binary&quot;, EP2 = &quot;Binary&quot;)"/>
    <s v="NA"/>
    <s v="NA"/>
    <s v="list(EP1 = c(0.1, 0.1, 0.1, 0.22, 0.22), EP2 = c(0.1, 0.1, 0.1,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5"/>
    <b v="1"/>
    <s v="Selection"/>
    <n v="20000"/>
    <n v="500"/>
    <s v="Random"/>
    <b v="0"/>
    <b v="0"/>
    <b v="1"/>
    <b v="0"/>
    <b v="0"/>
    <s v="NA"/>
    <s v="NA"/>
  </r>
  <r>
    <x v="42"/>
    <s v="S2, Normal, No CC, CER"/>
    <n v="8422"/>
    <n v="0.99981469999999995"/>
    <n v="0.98281510000000005"/>
    <n v="0.99981469999999995"/>
    <n v="2.3739699999999999E-2"/>
    <s v="(0.99979,0.99984)"/>
    <s v="(0.98213,0.9835)"/>
    <s v="(0.99979,0.99984)"/>
    <s v="(0.02287,0.02461)"/>
    <n v="130996898"/>
    <s v="0.65495,0.3449"/>
    <n v="0.909783743355009"/>
    <s v="&gt;&gt;&gt;"/>
    <s v="CER"/>
    <n v="2000"/>
    <n v="2.5000000000000001E-2"/>
    <s v="NA"/>
    <s v="NA"/>
    <s v="UnPooled"/>
    <s v="CombinationTest"/>
    <n v="5"/>
    <n v="2"/>
    <s v="list(EP1 = &quot;Binary&quot;, EP2 = &quot;Binary&quot;)"/>
    <s v="NA"/>
    <s v="NA"/>
    <s v="list(EP1 = c(0.1, 0.1, 0.1, 0.22, 0.22), EP2 = c(0.1, 0.1, 0.1,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5"/>
    <b v="1"/>
    <s v="Selection"/>
    <n v="20000"/>
    <n v="500"/>
    <s v="Random"/>
    <b v="0"/>
    <b v="0"/>
    <b v="1"/>
    <b v="0"/>
    <b v="0"/>
    <s v="NA"/>
    <s v="NA"/>
  </r>
  <r>
    <x v="43"/>
    <s v="S2, Aggressive, No CC, CPV"/>
    <n v="6918"/>
    <n v="0.99969984992496297"/>
    <n v="0.971785892946473"/>
    <n v="0.99969984992496297"/>
    <n v="1.84092046023012E-2"/>
    <s v="(0.99946,0.99994)"/>
    <s v="(0.96949,0.97408)"/>
    <s v="(0.99946,0.99994)"/>
    <s v="(0.01655,0.02027)"/>
    <n v="130166968"/>
    <s v="0.6508,0.3484"/>
    <n v="7.5362641943825595E-2"/>
    <s v="&gt;&gt;&gt;"/>
    <s v="CombPValue"/>
    <n v="2000"/>
    <n v="2.5000000000000001E-2"/>
    <s v="NA"/>
    <s v="NA"/>
    <s v="UnPooled"/>
    <s v="CombinationTest"/>
    <n v="5"/>
    <n v="2"/>
    <s v="list(EP1 = &quot;Binary&quot;, EP2 = &quot;Binary&quot;)"/>
    <s v="NA"/>
    <s v="NA"/>
    <s v="list(EP1 = c(0.1, 0.1, 0.1, 0.22, 0.22), EP2 = c(0.1, 0.1, 0.1,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25"/>
    <b v="1"/>
    <s v="Selection"/>
    <n v="20000"/>
    <n v="500"/>
    <s v="Random"/>
    <b v="0"/>
    <b v="0"/>
    <b v="1"/>
    <b v="0"/>
    <b v="0"/>
    <s v="NA"/>
    <s v="NA"/>
  </r>
  <r>
    <x v="44"/>
    <s v="S2, Aggressive, No CC, CER"/>
    <n v="1996"/>
    <n v="0.99968800000000002"/>
    <n v="0.98433210000000004"/>
    <n v="0.99968800000000002"/>
    <n v="2.2850700000000002E-2"/>
    <s v="(0.99947,0.99991)"/>
    <s v="(0.98312,0.98555)"/>
    <s v="(0.99947,0.99991)"/>
    <s v="(0.02197,0.02373)"/>
    <n v="132216774"/>
    <s v="0.66105,0.3387"/>
    <n v="0.80560642447736497"/>
    <s v="&gt;&gt;&gt;"/>
    <s v="CER"/>
    <n v="2000"/>
    <n v="2.5000000000000001E-2"/>
    <s v="NA"/>
    <s v="NA"/>
    <s v="UnPooled"/>
    <s v="CombinationTest"/>
    <n v="5"/>
    <n v="2"/>
    <s v="list(EP1 = &quot;Binary&quot;, EP2 = &quot;Binary&quot;)"/>
    <s v="NA"/>
    <s v="NA"/>
    <s v="list(EP1 = c(0.1, 0.1, 0.1, 0.22, 0.22), EP2 = c(0.1, 0.1, 0.1,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25"/>
    <b v="1"/>
    <s v="Selection"/>
    <n v="20000"/>
    <n v="500"/>
    <s v="Random"/>
    <b v="0"/>
    <b v="0"/>
    <b v="1"/>
    <b v="0"/>
    <b v="0"/>
    <s v="NA"/>
    <s v="NA"/>
  </r>
  <r>
    <x v="45"/>
    <s v="S2, Ultra Aggressive, No CC, CPV"/>
    <n v="8740"/>
    <n v="0.99979992997549105"/>
    <n v="0.40994348021807597"/>
    <n v="0.99974991246936395"/>
    <n v="8.6030110538688493E-3"/>
    <s v="(0.9996,1)"/>
    <s v="(0.40313,0.41676)"/>
    <s v="(0.99953,0.99997)"/>
    <s v="(0.00732,0.00988)"/>
    <n v="129757014"/>
    <s v="0.64875,0.3507"/>
    <n v="6.9120148022969605E-2"/>
    <s v="&gt;&gt;&gt;"/>
    <s v="CombPValue"/>
    <n v="2000"/>
    <n v="2.5000000000000001E-2"/>
    <s v="NA"/>
    <s v="NA"/>
    <s v="UnPooled"/>
    <s v="CombinationTest"/>
    <n v="5"/>
    <n v="2"/>
    <s v="list(EP1 = &quot;Binary&quot;, EP2 = &quot;Binary&quot;)"/>
    <s v="NA"/>
    <s v="NA"/>
    <s v="list(EP1 = c(0.1, 0.1, 0.1, 0.22, 0.22), EP2 = c(0.1, 0.1, 0.1,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best"/>
    <n v="1"/>
    <b v="1"/>
    <s v="Selection"/>
    <n v="20000"/>
    <n v="500"/>
    <s v="Random"/>
    <b v="0"/>
    <b v="0"/>
    <b v="1"/>
    <b v="0"/>
    <b v="0"/>
    <s v="NA"/>
    <s v="NA"/>
  </r>
  <r>
    <x v="46"/>
    <s v="S2, Ultra Aggressive, No CC, CER"/>
    <n v="5181"/>
    <n v="0.99998370000000003"/>
    <n v="0.41699789999999998"/>
    <n v="0.99998370000000003"/>
    <n v="8.8701000000000006E-3"/>
    <s v="(0.99998,0.99999)"/>
    <s v="(0.41017,0.42383)"/>
    <s v="(0.99998,0.99999)"/>
    <s v="(0.00819,0.00955)"/>
    <n v="131966802"/>
    <s v="0.6598,0.3401"/>
    <n v="0.69413866274886704"/>
    <s v="&gt;&gt;&gt;"/>
    <s v="CER"/>
    <n v="2000"/>
    <n v="2.5000000000000001E-2"/>
    <s v="NA"/>
    <s v="NA"/>
    <s v="UnPooled"/>
    <s v="CombinationTest"/>
    <n v="5"/>
    <n v="2"/>
    <s v="list(EP1 = &quot;Binary&quot;, EP2 = &quot;Binary&quot;)"/>
    <s v="NA"/>
    <s v="NA"/>
    <s v="list(EP1 = c(0.1, 0.1, 0.1, 0.22, 0.22), EP2 = c(0.1, 0.1, 0.1,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best"/>
    <n v="1"/>
    <b v="1"/>
    <s v="Selection"/>
    <n v="20000"/>
    <n v="500"/>
    <s v="Random"/>
    <b v="0"/>
    <b v="0"/>
    <b v="1"/>
    <b v="0"/>
    <b v="0"/>
    <s v="NA"/>
    <s v="NA"/>
  </r>
  <r>
    <x v="47"/>
    <s v="S3, No Select, No CC, CPV"/>
    <n v="6177"/>
    <n v="0.99894610057211697"/>
    <n v="0.92457091237579003"/>
    <n v="0.99894610057211697"/>
    <n v="2.32359731004717E-2"/>
    <s v="(0.9985,0.9994)"/>
    <s v="(0.9209,0.92824)"/>
    <s v="(0.9985,0.9994)"/>
    <s v="(0.02114,0.02533)"/>
    <n v="147145191"/>
    <s v="0.7357,0.25955"/>
    <n v="7.6760367751121494E-2"/>
    <s v="&gt;&gt;&gt;"/>
    <s v="CombPValue"/>
    <n v="2000"/>
    <n v="2.5000000000000001E-2"/>
    <s v="NA"/>
    <s v="NA"/>
    <s v="UnPooled"/>
    <s v="CombinationTest"/>
    <n v="5"/>
    <n v="2"/>
    <s v="list(EP1 = &quot;Binary&quot;, EP2 = &quot;Binary&quot;)"/>
    <s v="NA"/>
    <s v="NA"/>
    <s v="list(EP1 = c(0.1, 0.1, 0.22, 0.22, 0.22), EP2 = c(0.1, 0.1, 0.22, 0.22, 0.22))"/>
    <s v="c(1,1,1,1,1)"/>
    <s v="matrix(c(1, 0.5, 0.5, 1), byrow = T, nrow = 2)"/>
    <s v="c(0.25,0.25,0.25,0.25, 0, 0, 0, 0)"/>
    <s v="matrix(c(0,1/12,1/12,1/12,3/4,0,0,0,_x000a_              1/12,0,1/12,1/12,0,3/4,0,0,_x000a_              1/12,1/12,0,1/12,0,0,3/4,0,_x000a_              1/12,1/12,1/12,0,0,0,0,3/4,_x000a_              0,1/3,1/3,1/3,0,0,0,0,_x000a_              1/3,0,1/3,1/3,0,0,0,0,_x000a_              1/3,1/3,0,1/3,0,0,0,0,_x000a_              1/3,1/3,1/3,0,0,0,0,0),_x000a_            nrow = nEps*(nArms-1), byrow = T)"/>
    <s v="Partly-Parametric"/>
    <s v="c(0.5, 1)"/>
    <s v="asOF"/>
    <b v="1"/>
    <b v="0"/>
    <s v="NA"/>
    <s v="NA"/>
    <s v="NA"/>
    <s v="NA"/>
    <s v="NA"/>
    <s v="NA"/>
    <s v="None"/>
    <n v="20000"/>
    <n v="500"/>
    <s v="Random"/>
    <b v="0"/>
    <b v="0"/>
    <b v="1"/>
    <b v="0"/>
    <b v="0"/>
    <s v="NA"/>
    <s v="NA"/>
  </r>
  <r>
    <x v="48"/>
    <s v="S3, No Select, No CC, CER"/>
    <n v="7849"/>
    <n v="0.99954900000000002"/>
    <n v="0.96036429999999995"/>
    <n v="0.99954900000000002"/>
    <n v="2.4811400000000001E-2"/>
    <s v="(0.99949,0.99961)"/>
    <s v="(0.95934,0.96138)"/>
    <s v="(0.99949,0.99961)"/>
    <s v="(0.02392,0.0257)"/>
    <n v="147625228"/>
    <s v="0.7381,0.2614"/>
    <n v="1.0933921141756899"/>
    <s v="&gt;&gt;&gt;"/>
    <s v="CER"/>
    <n v="2000"/>
    <n v="2.5000000000000001E-2"/>
    <s v="NA"/>
    <s v="NA"/>
    <s v="UnPooled"/>
    <s v="CombinationTest"/>
    <n v="5"/>
    <n v="2"/>
    <s v="list(EP1 = &quot;Binary&quot;, EP2 = &quot;Binary&quot;)"/>
    <s v="NA"/>
    <s v="NA"/>
    <s v="list(EP1 = c(0.1, 0.1, 0.22, 0.22, 0.22), EP2 = c(0.1, 0.1, 0.22, 0.22, 0.22))"/>
    <s v="c(1,1,1,1,1)"/>
    <s v="matrix(c(1, 0.5, 0.5, 1), byrow = T, nrow = 2)"/>
    <s v="c(0.25,0.25,0.25,0.25, 0, 0, 0, 0)"/>
    <s v="matrix(c(0,1/12,1/12,1/12,3/4,0,0,0,_x000a_              1/12,0,1/12,1/12,0,3/4,0,0,_x000a_              1/12,1/12,0,1/12,0,0,3/4,0,_x000a_              1/12,1/12,1/12,0,0,0,0,3/4,_x000a_              0,1/3,1/3,1/3,0,0,0,0,_x000a_              1/3,0,1/3,1/3,0,0,0,0,_x000a_              1/3,1/3,0,1/3,0,0,0,0,_x000a_              1/3,1/3,1/3,0,0,0,0,0),_x000a_            nrow = nEps*(nArms-1), byrow = T)"/>
    <s v="Partly-Parametric"/>
    <s v="c(0.5, 1)"/>
    <s v="asOF"/>
    <b v="1"/>
    <b v="0"/>
    <s v="NA"/>
    <s v="NA"/>
    <s v="NA"/>
    <s v="NA"/>
    <s v="NA"/>
    <s v="NA"/>
    <s v="None"/>
    <n v="20000"/>
    <n v="500"/>
    <s v="Random"/>
    <b v="0"/>
    <b v="0"/>
    <b v="1"/>
    <b v="0"/>
    <b v="0"/>
    <s v="NA"/>
    <s v="NA"/>
  </r>
  <r>
    <x v="49"/>
    <s v="S3, Conservative, No CC, CPV"/>
    <n v="8310"/>
    <n v="0.99964921072412904"/>
    <n v="0.94572788774743199"/>
    <n v="0.99964921072412904"/>
    <n v="2.4004009020295699E-2"/>
    <s v="(0.99939,0.99991)"/>
    <s v="(0.94258,0.94887)"/>
    <s v="(0.99939,0.99991)"/>
    <s v="(0.02188,0.02613)"/>
    <n v="146685280"/>
    <s v="0.7334,0.264"/>
    <n v="7.7149390512042601E-2"/>
    <s v="&gt;&gt;&gt;"/>
    <s v="CombPValue"/>
    <n v="2000"/>
    <n v="2.5000000000000001E-2"/>
    <s v="NA"/>
    <s v="NA"/>
    <s v="UnPooled"/>
    <s v="CombinationTest"/>
    <n v="5"/>
    <n v="2"/>
    <s v="list(EP1 = &quot;Binary&quot;, EP2 = &quot;Binary&quot;)"/>
    <s v="NA"/>
    <s v="NA"/>
    <s v="list(EP1 = c(0.1, 0.1, 0.22, 0.22, 0.22), EP2 = c(0.1, 0.1, 0.22,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75"/>
    <b v="1"/>
    <s v="Selection"/>
    <n v="20000"/>
    <n v="500"/>
    <s v="Random"/>
    <b v="0"/>
    <b v="0"/>
    <b v="1"/>
    <b v="0"/>
    <b v="0"/>
    <s v="NA"/>
    <s v="NA"/>
  </r>
  <r>
    <x v="50"/>
    <s v="S3, Conservative, No CC, CER"/>
    <n v="2180"/>
    <n v="0.99980440000000004"/>
    <n v="0.96845729999999997"/>
    <n v="0.99980440000000004"/>
    <n v="2.4976600000000002E-2"/>
    <s v="(0.99978,0.99983)"/>
    <s v="(0.9676,0.96932)"/>
    <s v="(0.99978,0.99983)"/>
    <s v="(0.02407,0.02588)"/>
    <n v="148905106"/>
    <s v="0.7445,0.2553"/>
    <n v="0.951737356384595"/>
    <s v="&gt;&gt;&gt;"/>
    <s v="CER"/>
    <n v="2000"/>
    <n v="2.5000000000000001E-2"/>
    <s v="NA"/>
    <s v="NA"/>
    <s v="UnPooled"/>
    <s v="CombinationTest"/>
    <n v="5"/>
    <n v="2"/>
    <s v="list(EP1 = &quot;Binary&quot;, EP2 = &quot;Binary&quot;)"/>
    <s v="NA"/>
    <s v="NA"/>
    <s v="list(EP1 = c(0.1, 0.1, 0.22, 0.22, 0.22), EP2 = c(0.1, 0.1, 0.22,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75"/>
    <b v="1"/>
    <s v="Selection"/>
    <n v="20000"/>
    <n v="500"/>
    <s v="Random"/>
    <b v="0"/>
    <b v="0"/>
    <b v="1"/>
    <b v="0"/>
    <b v="0"/>
    <s v="NA"/>
    <s v="NA"/>
  </r>
  <r>
    <x v="51"/>
    <s v="S3, Normal, No CC, CPV"/>
    <n v="5355"/>
    <n v="0.99969953427813096"/>
    <n v="0.95608192698683003"/>
    <n v="0.99969953427813096"/>
    <n v="2.27352396214132E-2"/>
    <s v="(0.99946,0.99994)"/>
    <s v="(0.95324,0.95892)"/>
    <s v="(0.99946,0.99994)"/>
    <s v="(0.02067,0.0248)"/>
    <n v="147715192"/>
    <s v="0.73855,0.2596"/>
    <n v="7.5564260217878598E-2"/>
    <s v="&gt;&gt;&gt;"/>
    <s v="CombPValue"/>
    <n v="2000"/>
    <n v="2.5000000000000001E-2"/>
    <s v="NA"/>
    <s v="NA"/>
    <s v="UnPooled"/>
    <s v="CombinationTest"/>
    <n v="5"/>
    <n v="2"/>
    <s v="list(EP1 = &quot;Binary&quot;, EP2 = &quot;Binary&quot;)"/>
    <s v="NA"/>
    <s v="NA"/>
    <s v="list(EP1 = c(0.1, 0.1, 0.22, 0.22, 0.22), EP2 = c(0.1, 0.1, 0.22,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5"/>
    <b v="1"/>
    <s v="Selection"/>
    <n v="20000"/>
    <n v="500"/>
    <s v="Random"/>
    <b v="0"/>
    <b v="0"/>
    <b v="1"/>
    <b v="0"/>
    <b v="0"/>
    <s v="NA"/>
    <s v="NA"/>
  </r>
  <r>
    <x v="52"/>
    <s v="S3, Normal, No CC, CER"/>
    <n v="5870"/>
    <n v="0.99985380000000001"/>
    <n v="0.9731301"/>
    <n v="0.99985380000000001"/>
    <n v="2.4628400000000002E-2"/>
    <s v="(0.99983,0.99988)"/>
    <s v="(0.97226,0.974)"/>
    <s v="(0.99983,0.99988)"/>
    <s v="(0.02375,0.02551)"/>
    <n v="148275168"/>
    <s v="0.74135,0.2584"/>
    <n v="0.89403144333097695"/>
    <s v="&gt;&gt;&gt;"/>
    <s v="CER"/>
    <n v="2000"/>
    <n v="2.5000000000000001E-2"/>
    <s v="NA"/>
    <s v="NA"/>
    <s v="UnPooled"/>
    <s v="CombinationTest"/>
    <n v="5"/>
    <n v="2"/>
    <s v="list(EP1 = &quot;Binary&quot;, EP2 = &quot;Binary&quot;)"/>
    <s v="NA"/>
    <s v="NA"/>
    <s v="list(EP1 = c(0.1, 0.1, 0.22, 0.22, 0.22), EP2 = c(0.1, 0.1, 0.22,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5"/>
    <b v="1"/>
    <s v="Selection"/>
    <n v="20000"/>
    <n v="500"/>
    <s v="Random"/>
    <b v="0"/>
    <b v="0"/>
    <b v="1"/>
    <b v="0"/>
    <b v="0"/>
    <s v="NA"/>
    <s v="NA"/>
  </r>
  <r>
    <x v="53"/>
    <s v="S3, Aggressive, No CC, CPV"/>
    <n v="296"/>
    <n v="0.99984985736449605"/>
    <n v="0.96441619538561596"/>
    <n v="0.99984985736449605"/>
    <n v="2.1120064060857799E-2"/>
    <s v="(0.99968,1)"/>
    <s v="(0.96185,0.96698)"/>
    <s v="(0.99968,1)"/>
    <s v="(0.01913,0.02311)"/>
    <n v="147735205"/>
    <s v="0.73865,0.26025"/>
    <n v="7.5946622225973301E-2"/>
    <s v="&gt;&gt;&gt;"/>
    <s v="CombPValue"/>
    <n v="2000"/>
    <n v="2.5000000000000001E-2"/>
    <s v="NA"/>
    <s v="NA"/>
    <s v="UnPooled"/>
    <s v="CombinationTest"/>
    <n v="5"/>
    <n v="2"/>
    <s v="list(EP1 = &quot;Binary&quot;, EP2 = &quot;Binary&quot;)"/>
    <s v="NA"/>
    <s v="NA"/>
    <s v="list(EP1 = c(0.1, 0.1, 0.22, 0.22, 0.22), EP2 = c(0.1, 0.1, 0.22,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25"/>
    <b v="1"/>
    <s v="Selection"/>
    <n v="20000"/>
    <n v="500"/>
    <s v="Random"/>
    <b v="0"/>
    <b v="0"/>
    <b v="1"/>
    <b v="0"/>
    <b v="0"/>
    <s v="NA"/>
    <s v="NA"/>
  </r>
  <r>
    <x v="54"/>
    <s v="S3, Aggressive, No CC, CER"/>
    <n v="9299"/>
    <n v="0.99986779999999997"/>
    <n v="0.9716148"/>
    <n v="0.99986779999999997"/>
    <n v="2.2990199999999999E-2"/>
    <s v="(0.99977,0.99997)"/>
    <s v="(0.97014,0.97309)"/>
    <s v="(0.99977,0.99997)"/>
    <s v="(0.02207,0.02391)"/>
    <n v="147255272"/>
    <s v="0.73625,0.2636"/>
    <n v="0.85344227141804196"/>
    <s v="&gt;&gt;&gt;"/>
    <s v="CER"/>
    <n v="2000"/>
    <n v="2.5000000000000001E-2"/>
    <s v="NA"/>
    <s v="NA"/>
    <s v="UnPooled"/>
    <s v="CombinationTest"/>
    <n v="5"/>
    <n v="2"/>
    <s v="list(EP1 = &quot;Binary&quot;, EP2 = &quot;Binary&quot;)"/>
    <s v="NA"/>
    <s v="NA"/>
    <s v="list(EP1 = c(0.1, 0.1, 0.22, 0.22, 0.22), EP2 = c(0.1, 0.1, 0.22,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25"/>
    <b v="1"/>
    <s v="Selection"/>
    <n v="20000"/>
    <n v="500"/>
    <s v="Random"/>
    <b v="0"/>
    <b v="0"/>
    <b v="1"/>
    <b v="0"/>
    <b v="0"/>
    <s v="NA"/>
    <s v="NA"/>
  </r>
  <r>
    <x v="55"/>
    <s v="S3, Ultra Aggressive, No CC, CPV"/>
    <n v="3722"/>
    <n v="1"/>
    <n v="0.27305922368947599"/>
    <n v="1"/>
    <n v="7.0528211284513797E-3"/>
    <s v="(1,1)"/>
    <s v="(0.26688,0.27924)"/>
    <s v="(1,1)"/>
    <s v="(0.00589,0.00821)"/>
    <n v="148035189"/>
    <s v="0.74015,0.25945"/>
    <n v="6.7445993887053607E-2"/>
    <s v="&gt;&gt;&gt;"/>
    <s v="CombPValue"/>
    <n v="2000"/>
    <n v="2.5000000000000001E-2"/>
    <s v="NA"/>
    <s v="NA"/>
    <s v="UnPooled"/>
    <s v="CombinationTest"/>
    <n v="5"/>
    <n v="2"/>
    <s v="list(EP1 = &quot;Binary&quot;, EP2 = &quot;Binary&quot;)"/>
    <s v="NA"/>
    <s v="NA"/>
    <s v="list(EP1 = c(0.1, 0.1, 0.22, 0.22, 0.22), EP2 = c(0.1, 0.1, 0.22,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best"/>
    <n v="1"/>
    <b v="1"/>
    <s v="Selection"/>
    <n v="20000"/>
    <n v="500"/>
    <s v="Random"/>
    <b v="0"/>
    <b v="0"/>
    <b v="1"/>
    <b v="0"/>
    <b v="0"/>
    <s v="NA"/>
    <s v="NA"/>
  </r>
  <r>
    <x v="56"/>
    <s v="S3, Ultra Aggressive, No CC, CER"/>
    <n v="2651"/>
    <n v="0.99999579999999999"/>
    <n v="0.27312259999999999"/>
    <n v="0.99999579999999999"/>
    <n v="7.8817999999999996E-3"/>
    <s v="(0.99999,1)"/>
    <s v="(0.26695,0.2793)"/>
    <s v="(0.99999,1)"/>
    <s v="(0.00723,0.00854)"/>
    <n v="148875113"/>
    <s v="0.74435,0.25565"/>
    <n v="0.68146824439366704"/>
    <s v="&gt;&gt;&gt;"/>
    <s v="CER"/>
    <n v="2000"/>
    <n v="2.5000000000000001E-2"/>
    <s v="NA"/>
    <s v="NA"/>
    <s v="UnPooled"/>
    <s v="CombinationTest"/>
    <n v="5"/>
    <n v="2"/>
    <s v="list(EP1 = &quot;Binary&quot;, EP2 = &quot;Binary&quot;)"/>
    <s v="NA"/>
    <s v="NA"/>
    <s v="list(EP1 = c(0.1, 0.1, 0.22, 0.22, 0.22), EP2 = c(0.1, 0.1, 0.22,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best"/>
    <n v="1"/>
    <b v="1"/>
    <s v="Selection"/>
    <n v="20000"/>
    <n v="500"/>
    <s v="Random"/>
    <b v="0"/>
    <b v="0"/>
    <b v="1"/>
    <b v="0"/>
    <b v="0"/>
    <s v="NA"/>
    <s v="NA"/>
  </r>
  <r>
    <x v="57"/>
    <s v="S4, No Select, No CC, CPV"/>
    <n v="658"/>
    <n v="0.99969849246231202"/>
    <n v="0.97703517587939703"/>
    <n v="0.99969849246231202"/>
    <n v="0"/>
    <s v="(0.99946,0.99994)"/>
    <s v="(0.97495,0.97912)"/>
    <s v="(0.99946,0.99994)"/>
    <s v="(0,0)"/>
    <n v="157614133"/>
    <s v="0.78805,0.20665"/>
    <n v="7.7078182829750902E-2"/>
    <s v="&gt;&gt;&gt;"/>
    <s v="CombPValue"/>
    <n v="2000"/>
    <n v="2.5000000000000001E-2"/>
    <s v="NA"/>
    <s v="NA"/>
    <s v="UnPooled"/>
    <s v="CombinationTest"/>
    <n v="5"/>
    <n v="2"/>
    <s v="list(EP1 = &quot;Binary&quot;, EP2 = &quot;Binary&quot;)"/>
    <s v="NA"/>
    <s v="NA"/>
    <s v="list(EP1 = c(0.1, 0.22, 0.22, 0.22, 0.22), EP2 = c(0.1, 0.22, 0.22, 0.22, 0.22))"/>
    <s v="c(1,1,1,1,1)"/>
    <s v="matrix(c(1, 0.5, 0.5, 1), byrow = T, nrow = 2)"/>
    <s v="c(0.25,0.25,0.25,0.25, 0, 0, 0, 0)"/>
    <s v="matrix(c(0,1/12,1/12,1/12,3/4,0,0,0,_x000a_              1/12,0,1/12,1/12,0,3/4,0,0,_x000a_              1/12,1/12,0,1/12,0,0,3/4,0,_x000a_              1/12,1/12,1/12,0,0,0,0,3/4,_x000a_              0,1/3,1/3,1/3,0,0,0,0,_x000a_              1/3,0,1/3,1/3,0,0,0,0,_x000a_              1/3,1/3,0,1/3,0,0,0,0,_x000a_              1/3,1/3,1/3,0,0,0,0,0),_x000a_            nrow = nEps*(nArms-1), byrow = T)"/>
    <s v="Partly-Parametric"/>
    <s v="c(0.5, 1)"/>
    <s v="asOF"/>
    <b v="1"/>
    <b v="0"/>
    <s v="NA"/>
    <s v="NA"/>
    <s v="NA"/>
    <s v="NA"/>
    <s v="NA"/>
    <s v="NA"/>
    <s v="None"/>
    <n v="20000"/>
    <n v="500"/>
    <s v="Random"/>
    <b v="0"/>
    <b v="0"/>
    <b v="1"/>
    <b v="0"/>
    <b v="0"/>
    <s v="NA"/>
    <s v="NA"/>
  </r>
  <r>
    <x v="58"/>
    <s v="S4, No Select, No CC, CER"/>
    <n v="5364"/>
    <n v="0.99981880000000001"/>
    <n v="0.97731349999999995"/>
    <n v="0.99981880000000001"/>
    <n v="0"/>
    <s v="(0.99979,0.99985)"/>
    <s v="(0.9766,0.97803)"/>
    <s v="(0.99979,0.99985)"/>
    <s v="(0,0)"/>
    <n v="158374157"/>
    <s v="0.79185,0.20785"/>
    <n v="0.92514598502053202"/>
    <s v="&gt;&gt;&gt;"/>
    <s v="CER"/>
    <n v="2000"/>
    <n v="2.5000000000000001E-2"/>
    <s v="NA"/>
    <s v="NA"/>
    <s v="UnPooled"/>
    <s v="CombinationTest"/>
    <n v="5"/>
    <n v="2"/>
    <s v="list(EP1 = &quot;Binary&quot;, EP2 = &quot;Binary&quot;)"/>
    <s v="NA"/>
    <s v="NA"/>
    <s v="list(EP1 = c(0.1, 0.22, 0.22, 0.22, 0.22), EP2 = c(0.1, 0.22, 0.22, 0.22, 0.22))"/>
    <s v="c(1,1,1,1,1)"/>
    <s v="matrix(c(1, 0.5, 0.5, 1), byrow = T, nrow = 2)"/>
    <s v="c(0.25,0.25,0.25,0.25, 0, 0, 0, 0)"/>
    <s v="matrix(c(0,1/12,1/12,1/12,3/4,0,0,0,_x000a_              1/12,0,1/12,1/12,0,3/4,0,0,_x000a_              1/12,1/12,0,1/12,0,0,3/4,0,_x000a_              1/12,1/12,1/12,0,0,0,0,3/4,_x000a_              0,1/3,1/3,1/3,0,0,0,0,_x000a_              1/3,0,1/3,1/3,0,0,0,0,_x000a_              1/3,1/3,0,1/3,0,0,0,0,_x000a_              1/3,1/3,1/3,0,0,0,0,0),_x000a_            nrow = nEps*(nArms-1), byrow = T)"/>
    <s v="Partly-Parametric"/>
    <s v="c(0.5, 1)"/>
    <s v="asOF"/>
    <b v="1"/>
    <b v="0"/>
    <s v="NA"/>
    <s v="NA"/>
    <s v="NA"/>
    <s v="NA"/>
    <s v="NA"/>
    <s v="NA"/>
    <s v="None"/>
    <n v="20000"/>
    <n v="500"/>
    <s v="Random"/>
    <b v="0"/>
    <b v="0"/>
    <b v="1"/>
    <b v="0"/>
    <b v="0"/>
    <s v="NA"/>
    <s v="NA"/>
  </r>
  <r>
    <x v="59"/>
    <s v="S4, Conservative, No CC, CPV"/>
    <n v="6787"/>
    <n v="0.99964832956543603"/>
    <n v="0.97734237628736498"/>
    <n v="0.99964832956543603"/>
    <n v="0"/>
    <s v="(0.99939,0.99991)"/>
    <s v="(0.97528,0.97941)"/>
    <s v="(0.99939,0.99991)"/>
    <s v="(0,0)"/>
    <n v="157354163"/>
    <s v="0.78675,0.20815"/>
    <n v="7.6900141371621003E-2"/>
    <s v="&gt;&gt;&gt;"/>
    <s v="CombPValue"/>
    <n v="2000"/>
    <n v="2.5000000000000001E-2"/>
    <s v="NA"/>
    <s v="NA"/>
    <s v="UnPooled"/>
    <s v="CombinationTest"/>
    <n v="5"/>
    <n v="2"/>
    <s v="list(EP1 = &quot;Binary&quot;, EP2 = &quot;Binary&quot;)"/>
    <s v="NA"/>
    <s v="NA"/>
    <s v="list(EP1 = c(0.1, 0.22, 0.22, 0.22, 0.22), EP2 = c(0.1, 0.22, 0.22,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75"/>
    <b v="1"/>
    <s v="Selection"/>
    <n v="20000"/>
    <n v="500"/>
    <s v="Random"/>
    <b v="0"/>
    <b v="0"/>
    <b v="1"/>
    <b v="0"/>
    <b v="0"/>
    <s v="NA"/>
    <s v="NA"/>
  </r>
  <r>
    <x v="60"/>
    <s v="S4, Conservative, No CC, CER"/>
    <n v="8945"/>
    <n v="0.99982519999999997"/>
    <n v="0.97730059999999996"/>
    <n v="0.99982519999999997"/>
    <n v="0"/>
    <s v="(0.9998,0.99985)"/>
    <s v="(0.97658,0.97802)"/>
    <s v="(0.9998,0.99985)"/>
    <s v="(0,0)"/>
    <n v="157314264"/>
    <s v="0.78655,0.2132"/>
    <n v="0.834732086393568"/>
    <s v="&gt;&gt;&gt;"/>
    <s v="CER"/>
    <n v="2000"/>
    <n v="2.5000000000000001E-2"/>
    <s v="NA"/>
    <s v="NA"/>
    <s v="UnPooled"/>
    <s v="CombinationTest"/>
    <n v="5"/>
    <n v="2"/>
    <s v="list(EP1 = &quot;Binary&quot;, EP2 = &quot;Binary&quot;)"/>
    <s v="NA"/>
    <s v="NA"/>
    <s v="list(EP1 = c(0.1, 0.22, 0.22, 0.22, 0.22), EP2 = c(0.1, 0.22, 0.22,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75"/>
    <b v="1"/>
    <s v="Selection"/>
    <n v="20000"/>
    <n v="500"/>
    <s v="Random"/>
    <b v="0"/>
    <b v="0"/>
    <b v="1"/>
    <b v="0"/>
    <b v="0"/>
    <s v="NA"/>
    <s v="NA"/>
  </r>
  <r>
    <x v="61"/>
    <s v="S4, Normal, No CC, CPV"/>
    <n v="9519"/>
    <n v="0.99964827655512001"/>
    <n v="0.977590191940508"/>
    <n v="0.99964827655512001"/>
    <n v="0"/>
    <s v="(0.99939,0.99991)"/>
    <s v="(0.97553,0.97965)"/>
    <s v="(0.99939,0.99991)"/>
    <s v="(0,0)"/>
    <n v="156704225"/>
    <s v="0.7835,0.21125"/>
    <n v="7.3850835296842804E-2"/>
    <s v="&gt;&gt;&gt;"/>
    <s v="CombPValue"/>
    <n v="2000"/>
    <n v="2.5000000000000001E-2"/>
    <s v="NA"/>
    <s v="NA"/>
    <s v="UnPooled"/>
    <s v="CombinationTest"/>
    <n v="5"/>
    <n v="2"/>
    <s v="list(EP1 = &quot;Binary&quot;, EP2 = &quot;Binary&quot;)"/>
    <s v="NA"/>
    <s v="NA"/>
    <s v="list(EP1 = c(0.1, 0.22, 0.22, 0.22, 0.22), EP2 = c(0.1, 0.22, 0.22,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5"/>
    <b v="1"/>
    <s v="Selection"/>
    <n v="20000"/>
    <n v="500"/>
    <s v="Random"/>
    <b v="0"/>
    <b v="0"/>
    <b v="1"/>
    <b v="0"/>
    <b v="0"/>
    <s v="NA"/>
    <s v="NA"/>
  </r>
  <r>
    <x v="62"/>
    <s v="S4, Normal, No CC, CER"/>
    <n v="2252"/>
    <n v="0.99983429999999995"/>
    <n v="0.97634900000000002"/>
    <n v="0.99983429999999995"/>
    <n v="0"/>
    <s v="(0.9998,0.99986)"/>
    <s v="(0.97548,0.97722)"/>
    <s v="(0.9998,0.99986)"/>
    <s v="(0,0)"/>
    <n v="158584136"/>
    <s v="0.7929,0.2068"/>
    <n v="0.81635628779729197"/>
    <s v="&gt;&gt;&gt;"/>
    <s v="CER"/>
    <n v="2000"/>
    <n v="2.5000000000000001E-2"/>
    <s v="NA"/>
    <s v="NA"/>
    <s v="UnPooled"/>
    <s v="CombinationTest"/>
    <n v="5"/>
    <n v="2"/>
    <s v="list(EP1 = &quot;Binary&quot;, EP2 = &quot;Binary&quot;)"/>
    <s v="NA"/>
    <s v="NA"/>
    <s v="list(EP1 = c(0.1, 0.22, 0.22, 0.22, 0.22), EP2 = c(0.1, 0.22, 0.22,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5"/>
    <b v="1"/>
    <s v="Selection"/>
    <n v="20000"/>
    <n v="500"/>
    <s v="Random"/>
    <b v="0"/>
    <b v="0"/>
    <b v="1"/>
    <b v="0"/>
    <b v="0"/>
    <s v="NA"/>
    <s v="NA"/>
  </r>
  <r>
    <x v="63"/>
    <s v="S4, Aggressive, No CC, CPV"/>
    <n v="1654"/>
    <n v="0.99974886991461598"/>
    <n v="0.967805123053742"/>
    <n v="0.99974886991461598"/>
    <n v="0"/>
    <s v="(0.99953,0.99997)"/>
    <s v="(0.96535,0.97026)"/>
    <s v="(0.99953,0.99997)"/>
    <s v="(0,0)"/>
    <n v="157904115"/>
    <s v="0.7895,0.20575"/>
    <n v="7.3886440263854103E-2"/>
    <s v="&gt;&gt;&gt;"/>
    <s v="CombPValue"/>
    <n v="2000"/>
    <n v="2.5000000000000001E-2"/>
    <s v="NA"/>
    <s v="NA"/>
    <s v="UnPooled"/>
    <s v="CombinationTest"/>
    <n v="5"/>
    <n v="2"/>
    <s v="list(EP1 = &quot;Binary&quot;, EP2 = &quot;Binary&quot;)"/>
    <s v="NA"/>
    <s v="NA"/>
    <s v="list(EP1 = c(0.1, 0.22, 0.22, 0.22, 0.22), EP2 = c(0.1, 0.22, 0.22,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25"/>
    <b v="1"/>
    <s v="Selection"/>
    <n v="20000"/>
    <n v="500"/>
    <s v="Random"/>
    <b v="0"/>
    <b v="0"/>
    <b v="1"/>
    <b v="0"/>
    <b v="0"/>
    <s v="NA"/>
    <s v="NA"/>
  </r>
  <r>
    <x v="64"/>
    <s v="S4, Aggressive, No CC, CER"/>
    <n v="5403"/>
    <n v="0.99984450000000002"/>
    <n v="0.96767110000000001"/>
    <n v="0.99984450000000002"/>
    <n v="0"/>
    <s v="(0.99975,0.99994)"/>
    <s v="(0.96603,0.96931)"/>
    <s v="(0.99975,0.99994)"/>
    <s v="(0,0)"/>
    <n v="158374159"/>
    <s v="0.79185,0.20795"/>
    <n v="0.83003212054570497"/>
    <s v="&gt;&gt;&gt;"/>
    <s v="CER"/>
    <n v="2000"/>
    <n v="2.5000000000000001E-2"/>
    <s v="NA"/>
    <s v="NA"/>
    <s v="UnPooled"/>
    <s v="CombinationTest"/>
    <n v="5"/>
    <n v="2"/>
    <s v="list(EP1 = &quot;Binary&quot;, EP2 = &quot;Binary&quot;)"/>
    <s v="NA"/>
    <s v="NA"/>
    <s v="list(EP1 = c(0.1, 0.22, 0.22, 0.22, 0.22), EP2 = c(0.1, 0.22, 0.22,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25"/>
    <b v="1"/>
    <s v="Selection"/>
    <n v="20000"/>
    <n v="500"/>
    <s v="Random"/>
    <b v="0"/>
    <b v="0"/>
    <b v="1"/>
    <b v="0"/>
    <b v="0"/>
    <s v="NA"/>
    <s v="NA"/>
  </r>
  <r>
    <x v="65"/>
    <s v="S4, Ultra Aggressive, No CC, CPV"/>
    <n v="4189"/>
    <n v="1"/>
    <n v="0.23231615807903999"/>
    <n v="1"/>
    <n v="0"/>
    <s v="(1,1)"/>
    <s v="(0.22646,0.23817)"/>
    <s v="(1,1)"/>
    <s v="(0,0)"/>
    <n v="158024188"/>
    <s v="0.7901,0.2094"/>
    <n v="6.7960408065054198E-2"/>
    <s v="&gt;&gt;&gt;"/>
    <s v="CombPValue"/>
    <n v="2000"/>
    <n v="2.5000000000000001E-2"/>
    <s v="NA"/>
    <s v="NA"/>
    <s v="UnPooled"/>
    <s v="CombinationTest"/>
    <n v="5"/>
    <n v="2"/>
    <s v="list(EP1 = &quot;Binary&quot;, EP2 = &quot;Binary&quot;)"/>
    <s v="NA"/>
    <s v="NA"/>
    <s v="list(EP1 = c(0.1, 0.22, 0.22, 0.22, 0.22), EP2 = c(0.1, 0.22, 0.22,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best"/>
    <n v="1"/>
    <b v="1"/>
    <s v="Selection"/>
    <n v="20000"/>
    <n v="500"/>
    <s v="Random"/>
    <b v="0"/>
    <b v="0"/>
    <b v="1"/>
    <b v="0"/>
    <b v="0"/>
    <s v="NA"/>
    <s v="NA"/>
  </r>
  <r>
    <x v="66"/>
    <s v="S4, Ultra Aggressive, No CC, CER"/>
    <n v="8646"/>
    <n v="0.9999981"/>
    <n v="0.22942489999999999"/>
    <n v="0.9999981"/>
    <n v="0"/>
    <s v="(1,1)"/>
    <s v="(0.2236,0.23525)"/>
    <s v="(1,1)"/>
    <s v="(0,0)"/>
    <n v="157464254"/>
    <s v="0.7873,0.2127"/>
    <n v="0.58662872665458299"/>
    <s v="&gt;&gt;&gt;"/>
    <s v="CER"/>
    <n v="2000"/>
    <n v="2.5000000000000001E-2"/>
    <s v="NA"/>
    <s v="NA"/>
    <s v="UnPooled"/>
    <s v="CombinationTest"/>
    <n v="5"/>
    <n v="2"/>
    <s v="list(EP1 = &quot;Binary&quot;, EP2 = &quot;Binary&quot;)"/>
    <s v="NA"/>
    <s v="NA"/>
    <s v="list(EP1 = c(0.1, 0.22, 0.22, 0.22, 0.22), EP2 = c(0.1, 0.22, 0.22,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best"/>
    <n v="1"/>
    <b v="1"/>
    <s v="Selection"/>
    <n v="20000"/>
    <n v="500"/>
    <s v="Random"/>
    <b v="0"/>
    <b v="0"/>
    <b v="1"/>
    <b v="0"/>
    <b v="0"/>
    <s v="NA"/>
    <s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2B99D5-901D-44E3-9995-6368D8677CE2}"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B4" firstHeaderRow="0" firstDataRow="0" firstDataCol="0" rowPageCount="1" colPageCount="1"/>
  <pivotFields count="54">
    <pivotField axis="axisPage" compact="0" outline="0" multipleItemSelectionAllowed="1" showAll="0" defaultSubtotal="0">
      <items count="67">
        <item h="1" x="0"/>
        <item h="1" x="1"/>
        <item h="1" x="2"/>
        <item h="1" x="3"/>
        <item h="1" x="4"/>
        <item h="1" x="5"/>
        <item h="1" x="6"/>
        <item h="1" x="7"/>
        <item h="1" x="8"/>
        <item h="1" x="9"/>
        <item h="1" x="10"/>
        <item h="1" x="11"/>
        <item h="1" x="12"/>
        <item h="1" x="13"/>
        <item h="1" x="14"/>
        <item h="1" x="15"/>
        <item h="1"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3"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pageFields count="1">
    <pageField fld="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90D623-76F9-4005-9D07-4E6B5DE05D71}" name="Table1" displayName="Table1" ref="A2:BS177" totalsRowShown="0">
  <autoFilter ref="A2:BS177" xr:uid="{AE90D623-76F9-4005-9D07-4E6B5DE05D71}"/>
  <tableColumns count="71">
    <tableColumn id="1" xr3:uid="{0DDFED8B-F141-4052-9257-AFE099CA8DEB}" name="ModelID"/>
    <tableColumn id="2" xr3:uid="{F15FF0B4-EAD1-4DE2-A1B6-E164E9E2C05C}" name="Scenario"/>
    <tableColumn id="3" xr3:uid="{0D6F7ABB-E1B9-4E42-80A7-C398C920A538}" name="seed"/>
    <tableColumn id="4" xr3:uid="{2B73FF73-4426-494E-8E78-865C38635C82}" name="Global.Power"/>
    <tableColumn id="5" xr3:uid="{85FA93E9-52FE-44BA-9A0F-BC117D5CF5AD}" name="Conjunctive.Power"/>
    <tableColumn id="6" xr3:uid="{6BFBF69D-8C52-4D9C-8CE7-89441674AEFA}" name="Disjunctive.Power"/>
    <tableColumn id="7" xr3:uid="{E667B40E-6B6A-4929-A55A-66AB9C464842}" name="FWER"/>
    <tableColumn id="8" xr3:uid="{9FD24C19-27F4-48BD-A37A-EAD5CDDF13BD}" name="CI_95perc_Global.Power"/>
    <tableColumn id="9" xr3:uid="{3044590C-92BD-4240-B439-B55EBCC117F6}" name="CI_95perc_Conjunctive.Power"/>
    <tableColumn id="10" xr3:uid="{21688E10-B22F-46B9-AEEB-156BDA8831D0}" name="CI_95perc_Disjunctive.Power"/>
    <tableColumn id="11" xr3:uid="{2AE7226A-6F5D-4500-90D4-FE537A1E1661}" name="CI_95perc_FWER"/>
    <tableColumn id="12" xr3:uid="{0C4828DB-C426-4826-9EC2-671C1EE31412}" name="StagewiseRejection_Count" dataDxfId="110"/>
    <tableColumn id="13" xr3:uid="{26B7D323-0F6A-4547-97D0-E40D2720EF0F}" name="StagewiseRejection_Percentage"/>
    <tableColumn id="14" xr3:uid="{EBA40C73-0021-4AC8-AFF5-EFCB48B85E61}" name="HoursTaken"/>
    <tableColumn id="15" xr3:uid="{014417B7-36F2-4F3D-9A32-227575CE0065}" name="Input"/>
    <tableColumn id="16" xr3:uid="{F7970432-1BFA-48E9-B8C5-4494DE31CB01}" name="Method"/>
    <tableColumn id="17" xr3:uid="{B9043772-D4C9-44DC-A442-EEA06B9775B4}" name="SampleSize"/>
    <tableColumn id="18" xr3:uid="{7D85706E-052B-4FDA-AAC3-698C0E4529DE}" name="alpha"/>
    <tableColumn id="19" xr3:uid="{BEFD2E8D-E2A0-47F0-B582-C5C5FA0B7117}" name="TestStatCont"/>
    <tableColumn id="20" xr3:uid="{9307BED4-01E5-4352-96AA-306ED30F8245}" name="CommonStdDev"/>
    <tableColumn id="21" xr3:uid="{67D26E03-417E-423B-BC64-CEAAC6177A51}" name="TestStatBin"/>
    <tableColumn id="22" xr3:uid="{9B02476F-9C0A-4D81-B4AC-1511F792D2CD}" name="FWERControl"/>
    <tableColumn id="23" xr3:uid="{0A4831FD-AED6-4765-A0F1-1E22C2CF23DA}" name="nArms"/>
    <tableColumn id="24" xr3:uid="{884E5FFE-DACA-461F-8484-76C7E329101A}" name="nEps"/>
    <tableColumn id="25" xr3:uid="{BE6B9DE0-8B29-4188-BB29-8038D6225570}" name="lEpType"/>
    <tableColumn id="26" xr3:uid="{D85DABCC-BE15-4957-9652-E1D0F351E148}" name="Arms.Mean"/>
    <tableColumn id="27" xr3:uid="{222BA05F-C432-4DDD-BF2B-A55077D2F769}" name="Arms.std.dev"/>
    <tableColumn id="28" xr3:uid="{CAA6A772-CADE-4802-A207-FFBCFA23BC06}" name="Arms.Prop"/>
    <tableColumn id="29" xr3:uid="{50A18323-2C2E-4F9A-984B-563D60467CB1}" name="Arms.alloc.ratio"/>
    <tableColumn id="30" xr3:uid="{55CB1752-F970-4B6D-AF88-3647ADDF27CF}" name="EP.Corr"/>
    <tableColumn id="31" xr3:uid="{D38034B5-358F-45DF-AE5F-032859474859}" name="WI"/>
    <tableColumn id="32" xr3:uid="{8E98BA8E-C9A3-4338-A6BF-9C59B4634329}" name="G"/>
    <tableColumn id="33" xr3:uid="{F7AE6748-00CF-4382-848E-CA47CF2B4FD7}" name="test.type"/>
    <tableColumn id="34" xr3:uid="{BBE6138C-0717-4476-9895-0F4CDFC9F711}" name="info_frac"/>
    <tableColumn id="35" xr3:uid="{21A25778-3362-4AF8-BF3C-BAEBA8264965}" name="typeOfDesign"/>
    <tableColumn id="36" xr3:uid="{C4B40778-866D-4EF5-9D04-C92D13A175E4}" name="MultipleWinners"/>
    <tableColumn id="37" xr3:uid="{A65AC8EF-82E8-4A07-BFF5-489E5FE61E1F}" name="Selection"/>
    <tableColumn id="38" xr3:uid="{889E0A8F-E715-4109-88E7-36528C635D8E}" name="SelectionLook"/>
    <tableColumn id="39" xr3:uid="{0CCC6E0D-97BF-4DA7-9ECE-21F33B065506}" name="SelectEndPoint"/>
    <tableColumn id="40" xr3:uid="{9AD217B9-5AAC-4B2E-97B2-1A8A929A5DAF}" name="SelectionScale"/>
    <tableColumn id="41" xr3:uid="{94ED714C-C163-4F82-A0EC-E1E3BDF0C5B1}" name="SelectionCriterion"/>
    <tableColumn id="42" xr3:uid="{18A4BD64-3AF0-4FE3-BDA8-1BA858C55EBB}" name="SelectionParmeter"/>
    <tableColumn id="43" xr3:uid="{7D8E5922-A84B-4ADE-B2DF-CAC5B083B279}" name="KeepAssosiatedEps"/>
    <tableColumn id="44" xr3:uid="{97576E5B-5619-426B-90DB-10D7F5FCE8D2}" name="ImplicitSSR"/>
    <tableColumn id="45" xr3:uid="{3862261D-234F-45CE-AF42-5B00DF56DF8E}" name="nSimulation"/>
    <tableColumn id="46" xr3:uid="{1E1D3A9D-782A-43CC-BC9D-D83573B572D6}" name="nSimulation_Stage2"/>
    <tableColumn id="47" xr3:uid="{CE79B982-FACC-47BD-9B60-2DCCB8E89547}" name="Seed2"/>
    <tableColumn id="48" xr3:uid="{74D60596-A4D6-4759-B15B-E4C27422AB7C}" name="SummaryStat"/>
    <tableColumn id="49" xr3:uid="{FEDE086F-7B49-4302-B2B0-D2BABE837996}" name="plotGraphs"/>
    <tableColumn id="50" xr3:uid="{92694CE0-5A79-443B-A2C1-B03306167568}" name="Parallel"/>
    <tableColumn id="51" xr3:uid="{5BD956B3-38D2-4612-A5FA-378A3DE262AE}" name="UseCC"/>
    <tableColumn id="52" xr3:uid="{DE640DBA-6DA6-475D-96A7-A45FA064F19D}" name="Matching.Pair"/>
    <tableColumn id="53" xr3:uid="{D40E6E8F-1903-4736-A9EE-E7438CE3E02C}" name="Test.Suite" dataDxfId="109">
      <calculatedColumnFormula>INDEX(Inp_CER_Bin_2eps3arms!$AN$2:$AN$176,MATCH(Table1[[#This Row],[ModelID]],Inp_CER_Bin_2eps3arms!$A$2:$A$176,0))</calculatedColumnFormula>
    </tableColumn>
    <tableColumn id="54" xr3:uid="{2AC51571-129A-4022-AA42-89EEC89C5230}" name="Compare.Set"/>
    <tableColumn id="55" xr3:uid="{AEC00EA1-0B04-4713-803B-B9293C51F215}" name="Treat.Sel.Rule"/>
    <tableColumn id="56" xr3:uid="{AB21E6E1-78A7-48A7-B8F0-76F36A761CD9}" name="Alt.Scen"/>
    <tableColumn id="57" xr3:uid="{634898CD-E1B1-4B21-A7D2-286159F9C30A}" name="Glob.Pow%" dataDxfId="108" dataCellStyle="Percent">
      <calculatedColumnFormula>Table1[[#This Row],[Global.Power]]</calculatedColumnFormula>
    </tableColumn>
    <tableColumn id="58" xr3:uid="{287EE983-B74E-4FD5-AD30-68C491E80EAF}" name="Conj.Pow%" dataDxfId="107" dataCellStyle="Percent">
      <calculatedColumnFormula>Table1[[#This Row],[Conjunctive.Power]]</calculatedColumnFormula>
    </tableColumn>
    <tableColumn id="59" xr3:uid="{5387389D-993A-4253-BEB4-F6738E46059B}" name="Disj.Pow%" dataDxfId="106" dataCellStyle="Percent">
      <calculatedColumnFormula>Table1[[#This Row],[Disjunctive.Power]]</calculatedColumnFormula>
    </tableColumn>
    <tableColumn id="60" xr3:uid="{E981562D-5B8D-4BE6-8AD3-64A31026AFF3}" name="FWER%" dataDxfId="105" dataCellStyle="Percent">
      <calculatedColumnFormula>Table1[[#This Row],[FWER]]</calculatedColumnFormula>
    </tableColumn>
    <tableColumn id="61" xr3:uid="{0489A869-C38B-4967-A3ED-61437A6987AA}" name="LCL_Glob.Pow%" dataDxfId="104" dataCellStyle="Percent">
      <calculatedColumnFormula>_xlfn.NUMBERVALUE(MID(Table1[[#This Row],[CI_95perc_Global.Power]],2,FIND(",",Table1[[#This Row],[CI_95perc_Global.Power]])-2))</calculatedColumnFormula>
    </tableColumn>
    <tableColumn id="62" xr3:uid="{8D98CAF4-7B09-42D4-BAE0-B5C710F5A944}" name="UCL_Glob.Pow%" dataDxfId="103" dataCellStyle="Percent">
      <calculatedColumnFormula>_xlfn.NUMBERVALUE(MID(Table1[[#This Row],[CI_95perc_Global.Power]],FIND(",",Table1[[#This Row],[CI_95perc_Global.Power]])+1,LEN(Table1[[#This Row],[CI_95perc_Global.Power]])-FIND(",",Table1[[#This Row],[CI_95perc_Global.Power]])-1))</calculatedColumnFormula>
    </tableColumn>
    <tableColumn id="63" xr3:uid="{51DB70B1-124D-4ACB-8C9C-8AB7B2945019}" name="LCL_Conj.Pow%" dataDxfId="102" dataCellStyle="Percent">
      <calculatedColumnFormula>_xlfn.NUMBERVALUE(MID(Table1[[#This Row],[CI_95perc_Conjunctive.Power]],2,FIND(",",Table1[[#This Row],[CI_95perc_Conjunctive.Power]])-2))</calculatedColumnFormula>
    </tableColumn>
    <tableColumn id="64" xr3:uid="{5B3FC551-CF1F-4BD6-AB16-9A806798B758}" name="UCL_Conj.Pow%" dataDxfId="101" dataCellStyle="Percent">
      <calculatedColumnFormula>_xlfn.NUMBERVALUE(MID(Table1[[#This Row],[CI_95perc_Conjunctive.Power]],FIND(",",Table1[[#This Row],[CI_95perc_Conjunctive.Power]])+1,LEN(Table1[[#This Row],[CI_95perc_Conjunctive.Power]])-FIND(",",Table1[[#This Row],[CI_95perc_Conjunctive.Power]])-1))</calculatedColumnFormula>
    </tableColumn>
    <tableColumn id="65" xr3:uid="{117FE52F-7F81-4300-8909-1EFFD6BDC899}" name="LCL_Disj.Pow%" dataDxfId="100" dataCellStyle="Percent">
      <calculatedColumnFormula>_xlfn.NUMBERVALUE(MID(Table1[[#This Row],[CI_95perc_Disjunctive.Power]],2,FIND(",",Table1[[#This Row],[CI_95perc_Disjunctive.Power]])-2))</calculatedColumnFormula>
    </tableColumn>
    <tableColumn id="66" xr3:uid="{5FB11405-3EFC-453E-B499-C2D489E46768}" name="UCL_Disj.Pow%" dataDxfId="99" dataCellStyle="Percent">
      <calculatedColumnFormula>_xlfn.NUMBERVALUE(MID(Table1[[#This Row],[CI_95perc_Disjunctive.Power]],FIND(",",Table1[[#This Row],[CI_95perc_Disjunctive.Power]])+1,LEN(Table1[[#This Row],[CI_95perc_Disjunctive.Power]])-FIND(",",Table1[[#This Row],[CI_95perc_Disjunctive.Power]])-1))</calculatedColumnFormula>
    </tableColumn>
    <tableColumn id="67" xr3:uid="{BEDFE317-486C-4864-9C85-2EB3C087D38B}" name="LCL_FWER%" dataDxfId="98" dataCellStyle="Percent">
      <calculatedColumnFormula>_xlfn.NUMBERVALUE(MID(Table1[[#This Row],[CI_95perc_FWER]],2,FIND(",",Table1[[#This Row],[CI_95perc_FWER]])-2))</calculatedColumnFormula>
    </tableColumn>
    <tableColumn id="68" xr3:uid="{CCE1C6A6-C1A8-472A-9568-C1A727F9D01A}" name="UCL_FWER%" dataDxfId="97" dataCellStyle="Percent">
      <calculatedColumnFormula>_xlfn.NUMBERVALUE(MID(Table1[[#This Row],[CI_95perc_FWER]],FIND(",",Table1[[#This Row],[CI_95perc_FWER]])+1,LEN(Table1[[#This Row],[CI_95perc_FWER]])-FIND(",",Table1[[#This Row],[CI_95perc_FWER]])-1))</calculatedColumnFormula>
    </tableColumn>
    <tableColumn id="69" xr3:uid="{AA64B6B7-D7B1-4928-A6E4-00274B50D9E0}" name="DP.CI" dataDxfId="96" dataCellStyle="Percent">
      <calculatedColumnFormula>_xlfn.CONCAT("(",TEXT(Table1[[#This Row],[LCL_Disj.Pow%]],"0.00%"), ", ",TEXT(Table1[[#This Row],[UCL_Disj.Pow%]],"0.00%"),")")</calculatedColumnFormula>
    </tableColumn>
    <tableColumn id="70" xr3:uid="{654F2D10-784B-4903-BB35-B78F71BF4DA1}" name="CP.CI" dataDxfId="95" dataCellStyle="Percent">
      <calculatedColumnFormula>_xlfn.CONCAT("(",TEXT(Table1[[#This Row],[LCL_Conj.Pow%]],"0.00%"),", ",TEXT(Table1[[#This Row],[UCL_Conj.Pow%]],"0.00%"),")")</calculatedColumnFormula>
    </tableColumn>
    <tableColumn id="71" xr3:uid="{6D6A622D-493C-4451-84BC-FAFDB97099AD}" name="FW.CI" dataDxfId="94" dataCellStyle="Percent">
      <calculatedColumnFormula>_xlfn.CONCAT("(",TEXT(Table1[[#This Row],[LCL_FWER%]],"0.00%"),", ",TEXT(Table1[[#This Row],[UCL_FWER%]],"0.00%"),")")</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DF9F3CE-3EF5-48B4-86F0-988D66EC0344}" name="Table3" displayName="Table3" ref="BX2:CC14" totalsRowShown="0" headerRowDxfId="1" dataDxfId="2" tableBorderDxfId="9">
  <autoFilter ref="BX2:CC14" xr:uid="{FDF9F3CE-3EF5-48B4-86F0-988D66EC0344}"/>
  <tableColumns count="6">
    <tableColumn id="1" xr3:uid="{E0C05574-5566-4B52-9F61-EA218C8F5C3F}" name="ModelID" dataDxfId="8"/>
    <tableColumn id="2" xr3:uid="{6B6D99D4-F68F-4F81-A2FD-96BCFE4D158D}" name="Scenario" dataDxfId="7"/>
    <tableColumn id="3" xr3:uid="{65C9CC1B-0BCE-4AF9-961F-373BB924ECE5}" name="Stage 1 Sims" dataDxfId="6"/>
    <tableColumn id="4" xr3:uid="{5B14EF4D-DF4E-4262-B6DC-FDDBB5683FBC}" name="Stage 2 Sims" dataDxfId="5"/>
    <tableColumn id="5" xr3:uid="{59083B8B-BD2A-49E7-B899-1BA0D7172813}" name="FWER.adagraph" dataDxfId="4"/>
    <tableColumn id="6" xr3:uid="{9DDF4761-CD5E-4E65-A463-7E8D309964EF}" name="FWER.AdaptGMCP" dataDxfId="3">
      <calculatedColumnFormula>Table2[[#This Row],[FWER5]]</calculatedColumnFormula>
    </tableColumn>
  </tableColumns>
  <tableStyleInfo name="TableStyleLight1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DEBFC1-A656-4AF6-BC6D-479248DE964D}" name="Table2" displayName="Table2" ref="A2:CD30" totalsRowShown="0" headerRowDxfId="93" dataDxfId="92">
  <autoFilter ref="A2:CD30" xr:uid="{3CDEBFC1-A656-4AF6-BC6D-479248DE964D}"/>
  <tableColumns count="82">
    <tableColumn id="1" xr3:uid="{76F4D687-8D0E-4B73-ABE4-4B99D9DA1BF2}" name="ModelID" dataDxfId="91"/>
    <tableColumn id="2" xr3:uid="{F3694A38-2467-4DAD-9A96-DE49C739DD69}" name="Scenario" dataDxfId="90"/>
    <tableColumn id="3" xr3:uid="{5225DAD3-4E0A-44F0-B0F9-871DAFBBCEF8}" name="seed" dataDxfId="89"/>
    <tableColumn id="4" xr3:uid="{D8BDCD20-9FE8-432F-92CE-5C473CADF1F0}" name="Global.Power" dataDxfId="88"/>
    <tableColumn id="5" xr3:uid="{3C0A62F1-2608-47A0-A0D6-447553DD345B}" name="Conjunctive.Power" dataDxfId="87"/>
    <tableColumn id="6" xr3:uid="{B0A5CC21-19FB-4AE7-9371-B6CFB7771EA9}" name="Disjunctive.Power" dataDxfId="86"/>
    <tableColumn id="7" xr3:uid="{E16223BB-716C-474A-A406-4D3531D65A4C}" name="FWER" dataDxfId="85"/>
    <tableColumn id="8" xr3:uid="{EC343781-A08B-44EE-9934-9ACBCAB1348A}" name="CI_95perc_Global.Power" dataDxfId="84"/>
    <tableColumn id="9" xr3:uid="{AE542080-7FEF-4419-A320-4CE464EDD2AE}" name="CI_95perc_Conjunctive.Power" dataDxfId="83"/>
    <tableColumn id="10" xr3:uid="{FE599FB5-5796-4E8D-9B02-731B05A639B7}" name="CI_95perc_Disjunctive.Power" dataDxfId="82"/>
    <tableColumn id="11" xr3:uid="{AA1A2916-AF22-48AF-998A-D5F81B12DBC3}" name="CI_95perc_FWER" dataDxfId="81"/>
    <tableColumn id="12" xr3:uid="{898BC80A-78EA-4C10-BACE-105AD65BFCCF}" name="StagewiseRejection_Count" dataDxfId="80"/>
    <tableColumn id="13" xr3:uid="{F076082A-7854-46B6-BE7F-31E8DB56E426}" name="StagewiseRejection_Percentage" dataDxfId="79"/>
    <tableColumn id="14" xr3:uid="{4304A85B-2BED-4BAC-B977-13DE4B88559F}" name="HoursTaken" dataDxfId="78"/>
    <tableColumn id="15" xr3:uid="{CAC46E0A-40A1-4623-93E3-FD9B63B2D339}" name="Input" dataDxfId="77"/>
    <tableColumn id="16" xr3:uid="{ABC5737B-B951-4672-B8AC-33B86F1674C6}" name="Method" dataDxfId="76"/>
    <tableColumn id="17" xr3:uid="{967D173C-94C3-4026-9C7F-247A3D2760FA}" name="SampleSize" dataDxfId="75"/>
    <tableColumn id="18" xr3:uid="{23B34A1E-8F74-45AA-84BB-C889D8127809}" name="alpha" dataDxfId="74"/>
    <tableColumn id="19" xr3:uid="{C5439E97-24E6-4B7F-8D46-97C2723CA124}" name="TestStatCont" dataDxfId="73"/>
    <tableColumn id="20" xr3:uid="{E645B069-0006-47E7-B074-808401F3A67A}" name="CommonStdDev" dataDxfId="72"/>
    <tableColumn id="21" xr3:uid="{78C15B02-AA33-4E4C-A90B-AC4866ECA989}" name="TestStatBin" dataDxfId="71"/>
    <tableColumn id="22" xr3:uid="{28030BD8-E6F9-47F1-B9F2-AB4670102ADA}" name="FWERControl" dataDxfId="70"/>
    <tableColumn id="23" xr3:uid="{93FBDF93-1E4E-4BC1-996B-5482791A9E21}" name="nArms" dataDxfId="69"/>
    <tableColumn id="24" xr3:uid="{877F71B9-542F-46D0-BF5D-A5FA946452BF}" name="nEps" dataDxfId="68"/>
    <tableColumn id="25" xr3:uid="{DD822B78-F12C-420C-AB40-D50A2E83849F}" name="lEpType" dataDxfId="67"/>
    <tableColumn id="26" xr3:uid="{3B909186-6603-4503-B49E-B36776DBEF8D}" name="Arms.Mean" dataDxfId="66"/>
    <tableColumn id="27" xr3:uid="{187FF371-460A-42E5-96A4-C63AE6CA6F76}" name="Arms.std.dev" dataDxfId="65"/>
    <tableColumn id="28" xr3:uid="{7AC77173-DE40-451B-8E6F-F403BE54CA9F}" name="Arms.Prop" dataDxfId="64"/>
    <tableColumn id="29" xr3:uid="{9F626636-5150-461A-BE94-11639754EAB6}" name="Arms.alloc.ratio" dataDxfId="63"/>
    <tableColumn id="30" xr3:uid="{32C201E3-EC3F-425F-8B8B-6AEC94C7ABF4}" name="EP.Corr" dataDxfId="62"/>
    <tableColumn id="31" xr3:uid="{6BDFDF86-6B5B-4E26-8325-4AD8590F32FA}" name="WI" dataDxfId="61"/>
    <tableColumn id="32" xr3:uid="{300734B6-E60C-428C-8A83-57429A3D6245}" name="G" dataDxfId="60"/>
    <tableColumn id="33" xr3:uid="{7952BCE4-1A7E-46B9-8C29-85482A882E37}" name="test.type" dataDxfId="59"/>
    <tableColumn id="34" xr3:uid="{B1517897-F8D9-420F-90CE-F543E157381B}" name="info_frac" dataDxfId="58"/>
    <tableColumn id="35" xr3:uid="{2E46F5FC-2401-4BFC-BB89-3D9DCFDA4EEC}" name="typeOfDesign" dataDxfId="57"/>
    <tableColumn id="36" xr3:uid="{1AF2E7A0-F297-4465-AA16-84CFA6671885}" name="MultipleWinners" dataDxfId="56"/>
    <tableColumn id="37" xr3:uid="{D7F9C323-66CD-46C2-94F4-71E2BF1060D6}" name="Selection" dataDxfId="55"/>
    <tableColumn id="38" xr3:uid="{CF55BE0C-C00C-453B-91DE-49E4C8F48D67}" name="SelectionLook" dataDxfId="54"/>
    <tableColumn id="39" xr3:uid="{639E642D-EDCE-43BE-BC6B-DDCEDF0F80F8}" name="SelectEndPoint" dataDxfId="53"/>
    <tableColumn id="40" xr3:uid="{4A38F8C7-E0C1-4AB9-BD8D-BBEFEDB5739A}" name="SelectionScale" dataDxfId="52"/>
    <tableColumn id="41" xr3:uid="{CA0D20A6-38ED-4303-998A-67371FD833A8}" name="SelectionCriterion" dataDxfId="51"/>
    <tableColumn id="42" xr3:uid="{9B3E7C92-9319-4ECB-BDF7-83FD7B15E4F6}" name="SelectionParmeter" dataDxfId="50"/>
    <tableColumn id="43" xr3:uid="{49E0D577-EB72-422E-8BAF-E92E7843DF7E}" name="KeepAssosiatedEps" dataDxfId="49"/>
    <tableColumn id="44" xr3:uid="{5F7DE739-2688-4458-82C6-EA1942D6D5CB}" name="ImplicitSSR" dataDxfId="48"/>
    <tableColumn id="45" xr3:uid="{2042477D-AF79-4CA4-A96D-75E37252646E}" name="nSimulation" dataDxfId="47"/>
    <tableColumn id="46" xr3:uid="{8E18BFB9-31DD-44BF-9AAB-F99C54B760EC}" name="nSimulation_Stage2" dataDxfId="46"/>
    <tableColumn id="47" xr3:uid="{06FB4972-C624-49B4-9B04-A21D26546A1C}" name="Seed2" dataDxfId="45"/>
    <tableColumn id="48" xr3:uid="{AF416773-10BF-4A48-BA42-E297E7E42E5C}" name="SummaryStat" dataDxfId="44"/>
    <tableColumn id="49" xr3:uid="{76999F58-4A65-48FC-931D-62FE9DCEB101}" name="plotGraphs" dataDxfId="43"/>
    <tableColumn id="50" xr3:uid="{5E2A99B7-8408-4CCA-AC9D-948427E1575D}" name="Parallel" dataDxfId="42"/>
    <tableColumn id="51" xr3:uid="{05E3FCFB-A32A-44AF-A792-8302BDA473E5}" name="UseCC" dataDxfId="41"/>
    <tableColumn id="52" xr3:uid="{0992AC0A-D432-4660-A9AC-D1BBE8B80C6D}" name="Matching.Pair" dataDxfId="40"/>
    <tableColumn id="53" xr3:uid="{67F4D050-DF32-417D-9F03-AD511CF64233}" name="Test.Suite" dataDxfId="39"/>
    <tableColumn id="54" xr3:uid="{CF46433A-3E30-4A8D-A800-9B137643CEC8}" name="Compare.Set" dataDxfId="38"/>
    <tableColumn id="55" xr3:uid="{B2A7A3BC-B4C3-41E3-85E2-71576CAF60E2}" name="Column3" dataDxfId="37"/>
    <tableColumn id="56" xr3:uid="{BFB06DA0-F83C-4A81-88D7-C09BDCC58703}" name="FWER.old" dataDxfId="36" dataCellStyle="Percent">
      <calculatedColumnFormula>INDEX(Table1[Global.Power],MATCH(Table2[[#This Row],[ModelID]],Table1[ModelID],0))</calculatedColumnFormula>
    </tableColumn>
    <tableColumn id="57" xr3:uid="{C4F3D53E-F78A-4383-A101-96A3F5EE3256}" name="FWER.New" dataDxfId="35" dataCellStyle="Percent">
      <calculatedColumnFormula>Table2[[#This Row],[FWER]]</calculatedColumnFormula>
    </tableColumn>
    <tableColumn id="58" xr3:uid="{CBFB2503-5C06-4591-AD4E-651ED4845612}" name="FWER.Martin" dataDxfId="34"/>
    <tableColumn id="59" xr3:uid="{A25C7693-8350-43E4-8A1E-0A2F5FBEA612}" name="CI.FWER.Martin" dataDxfId="33"/>
    <tableColumn id="60" xr3:uid="{81C2D00F-6EA9-490D-99B3-40762E7235DA}" name="Disj.Old" dataDxfId="32"/>
    <tableColumn id="61" xr3:uid="{22B6C7D0-3D6C-4710-B60E-84BEAD5269F1}" name="Disj.New" dataDxfId="31"/>
    <tableColumn id="62" xr3:uid="{BCEFC187-DE56-4773-B59F-8E78BC7EA4C9}" name="Disj.Martin" dataDxfId="30"/>
    <tableColumn id="63" xr3:uid="{2CE42E42-1B5E-46CD-B8B7-8A2E934202B6}" name="CI.Disj.Martin" dataDxfId="29"/>
    <tableColumn id="64" xr3:uid="{A5205A45-9C1D-4992-8F46-D82E2268DA73}" name="Conj.Old" dataDxfId="28"/>
    <tableColumn id="65" xr3:uid="{BFDF2D49-A3CD-4572-9318-57AC269F3D16}" name="Conj.New" dataDxfId="27"/>
    <tableColumn id="66" xr3:uid="{59F69C77-143C-446A-9528-D95F599CA2AC}" name="Conj.Martin" dataDxfId="26"/>
    <tableColumn id="67" xr3:uid="{0836B037-23C6-4573-A384-55F159DC0C7E}" name="CI.Conj.Martin" dataDxfId="25"/>
    <tableColumn id="68" xr3:uid="{1817169F-4452-4DA4-957E-79D8FE14D0EB}" name="HoursTaken2" dataDxfId="24"/>
    <tableColumn id="69" xr3:uid="{F0191B18-A8F1-4A13-B539-49BBECE732F1}" name="Global.Power2" dataDxfId="23"/>
    <tableColumn id="70" xr3:uid="{50857129-B9E5-4F23-A0F2-6AAE26A5C22A}" name="Conjunctive.Power3" dataDxfId="22"/>
    <tableColumn id="71" xr3:uid="{9576732F-C6F5-4BEB-ABD7-137529486176}" name="Disjunctive.Power4" dataDxfId="21"/>
    <tableColumn id="72" xr3:uid="{F80C0BDC-411A-41D9-874A-CB50C955180E}" name="FWER5" dataDxfId="20"/>
    <tableColumn id="73" xr3:uid="{EED3AAE3-55BB-4658-B804-946DEAB0D3C0}" name="CI_95perc_Global.Power6" dataDxfId="19"/>
    <tableColumn id="74" xr3:uid="{FA226751-B172-4066-BD3D-5A94B5B94F63}" name="CI_95perc_Conjunctive.Power7" dataDxfId="18"/>
    <tableColumn id="75" xr3:uid="{4BC92279-3921-4BCB-92DF-566A8051E1FD}" name="CI_95perc_Disjunctive.Power8" dataDxfId="17"/>
    <tableColumn id="76" xr3:uid="{8E08E4B1-91E5-45CA-8620-C118CBA05F69}" name="CI_95perc_FWER9" dataDxfId="16"/>
    <tableColumn id="77" xr3:uid="{72B39713-4BE4-4F39-B8CF-757DFD4A044E}" name="FWER.Martin2" dataDxfId="14"/>
    <tableColumn id="80" xr3:uid="{A30D7D91-FD48-42BC-8756-D853BD71ACE2}" name="FWER.New.100k" dataDxfId="12">
      <calculatedColumnFormula>Table2[[#This Row],[FWER5]]</calculatedColumnFormula>
    </tableColumn>
    <tableColumn id="78" xr3:uid="{1411BCDD-CBCE-477D-915D-B90B7EDB818D}" name="Disj.Martin2" dataDxfId="13"/>
    <tableColumn id="81" xr3:uid="{F9ED6FDD-66E6-4280-BDF7-5390C1285C71}" name="Disj.New.100k" dataDxfId="11" dataCellStyle="Percent">
      <calculatedColumnFormula>Table2[[#This Row],[Disjunctive.Power4]]</calculatedColumnFormula>
    </tableColumn>
    <tableColumn id="79" xr3:uid="{82418BCE-8DC7-410D-8BE8-5BE230C7FA9C}" name="Conj.Martin2" dataDxfId="15"/>
    <tableColumn id="82" xr3:uid="{089FCF41-36DA-4274-9866-F9126AF393ED}" name="Conj.New.100k" dataDxfId="10">
      <calculatedColumnFormula>Table2[[#This Row],[Conjunctive.Power3]]</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80" dT="2025-12-14T12:16:18.26" personId="{A826EFC0-A8C0-4FFD-BCE9-32E98E7B2A15}" id="{C8C4571C-2E73-43B9-A875-393F305C248A}">
    <text>This run had hanged on the HCP. Unfortunately, we don’t know what seed was used as the input seed was “Random”.
I ran it again on my laptop (again with “Random” seed) and got these results.</text>
  </threadedComment>
</ThreadedComments>
</file>

<file path=xl/threadedComments/threadedComment2.xml><?xml version="1.0" encoding="utf-8"?>
<ThreadedComments xmlns="http://schemas.microsoft.com/office/spreadsheetml/2018/threadedcomments" xmlns:x="http://schemas.openxmlformats.org/spreadsheetml/2006/main">
  <threadedComment ref="G2" dT="2025-12-15T06:09:46.99" personId="{A826EFC0-A8C0-4FFD-BCE9-32E98E7B2A15}" id="{D699D116-46C8-4051-8DED-C7C5EB9509AF}">
    <text>CER method has greater disjunctive power than Combo in all considered scenarios.</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7" Type="http://schemas.microsoft.com/office/2017/10/relationships/threadedComment" Target="../threadedComments/threadedComment2.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comments" Target="../comments2.xml"/><Relationship Id="rId5" Type="http://schemas.openxmlformats.org/officeDocument/2006/relationships/table" Target="../tables/table2.xml"/><Relationship Id="rId4"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3D3EE-8D9B-4D5E-9C06-DB49DF3FC6E4}">
  <sheetPr filterMode="1"/>
  <dimension ref="A1:AO176"/>
  <sheetViews>
    <sheetView workbookViewId="0"/>
  </sheetViews>
  <sheetFormatPr defaultRowHeight="15" x14ac:dyDescent="0.25"/>
  <cols>
    <col min="1" max="1" width="8.28515625" bestFit="1" customWidth="1"/>
    <col min="2" max="2" width="64.28515625" bestFit="1" customWidth="1"/>
    <col min="3" max="3" width="12.28515625" bestFit="1" customWidth="1"/>
    <col min="4" max="4" width="11" bestFit="1" customWidth="1"/>
    <col min="5" max="5" width="7.85546875" customWidth="1"/>
    <col min="6" max="6" width="14.140625" bestFit="1" customWidth="1"/>
    <col min="7" max="7" width="2.5703125" customWidth="1"/>
    <col min="8" max="8" width="10.7109375" bestFit="1" customWidth="1"/>
    <col min="9" max="9" width="16.140625" bestFit="1" customWidth="1"/>
    <col min="10" max="10" width="6.7109375" bestFit="1" customWidth="1"/>
    <col min="11" max="11" width="5.28515625" bestFit="1" customWidth="1"/>
    <col min="12" max="12" width="35.5703125" bestFit="1" customWidth="1"/>
    <col min="13" max="14" width="30.85546875" bestFit="1" customWidth="1"/>
    <col min="15" max="15" width="61.42578125" bestFit="1" customWidth="1"/>
    <col min="16" max="16" width="15.42578125" bestFit="1" customWidth="1"/>
    <col min="17" max="17" width="39" bestFit="1" customWidth="1"/>
    <col min="18" max="18" width="25.85546875" bestFit="1" customWidth="1"/>
    <col min="19" max="19" width="35.7109375" customWidth="1"/>
    <col min="20" max="20" width="16.7109375" bestFit="1" customWidth="1"/>
    <col min="21" max="21" width="8.7109375" bestFit="1" customWidth="1"/>
    <col min="22" max="22" width="12.5703125" bestFit="1" customWidth="1"/>
    <col min="23" max="23" width="15.5703125" bestFit="1" customWidth="1"/>
    <col min="24" max="24" width="9" bestFit="1" customWidth="1"/>
    <col min="25" max="25" width="13.28515625" bestFit="1" customWidth="1"/>
    <col min="26" max="26" width="14.140625" bestFit="1" customWidth="1"/>
    <col min="27" max="27" width="13.85546875" bestFit="1" customWidth="1"/>
    <col min="28" max="28" width="16.7109375" bestFit="1" customWidth="1"/>
    <col min="29" max="29" width="17.28515625" bestFit="1" customWidth="1"/>
    <col min="30" max="30" width="25.28515625" customWidth="1"/>
    <col min="31" max="31" width="10.85546875" bestFit="1" customWidth="1"/>
    <col min="32" max="32" width="11.7109375" bestFit="1" customWidth="1"/>
    <col min="33" max="33" width="18.5703125" bestFit="1" customWidth="1"/>
    <col min="34" max="34" width="8.42578125" bestFit="1" customWidth="1"/>
    <col min="35" max="35" width="12.5703125" bestFit="1" customWidth="1"/>
    <col min="36" max="36" width="10.85546875" bestFit="1" customWidth="1"/>
    <col min="37" max="37" width="7.85546875" bestFit="1" customWidth="1"/>
    <col min="38" max="38" width="8.85546875" bestFit="1" customWidth="1"/>
    <col min="39" max="39" width="13.42578125" bestFit="1" customWidth="1"/>
    <col min="40" max="40" width="23.5703125" bestFit="1" customWidth="1"/>
    <col min="41" max="41" width="12.140625" bestFit="1" customWidth="1"/>
  </cols>
  <sheetData>
    <row r="1" spans="1:4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1066</v>
      </c>
      <c r="AO1" t="s">
        <v>39</v>
      </c>
    </row>
    <row r="2" spans="1:41" hidden="1" x14ac:dyDescent="0.25">
      <c r="A2">
        <v>1</v>
      </c>
      <c r="B2" t="s">
        <v>40</v>
      </c>
      <c r="C2" t="s">
        <v>41</v>
      </c>
      <c r="D2">
        <v>600</v>
      </c>
      <c r="E2">
        <v>2.5000000000000001E-2</v>
      </c>
      <c r="F2" t="s">
        <v>42</v>
      </c>
      <c r="G2" t="s">
        <v>42</v>
      </c>
      <c r="H2" t="s">
        <v>43</v>
      </c>
      <c r="I2" t="s">
        <v>44</v>
      </c>
      <c r="J2">
        <v>3</v>
      </c>
      <c r="K2">
        <v>2</v>
      </c>
      <c r="L2" t="s">
        <v>45</v>
      </c>
      <c r="M2" t="s">
        <v>42</v>
      </c>
      <c r="N2" t="s">
        <v>42</v>
      </c>
      <c r="O2" t="s">
        <v>46</v>
      </c>
      <c r="P2" t="s">
        <v>47</v>
      </c>
      <c r="Q2" t="s">
        <v>348</v>
      </c>
      <c r="R2" t="s">
        <v>49</v>
      </c>
      <c r="S2" t="s">
        <v>50</v>
      </c>
      <c r="T2" t="s">
        <v>51</v>
      </c>
      <c r="U2" t="s">
        <v>52</v>
      </c>
      <c r="V2" t="s">
        <v>53</v>
      </c>
      <c r="W2" t="b">
        <v>0</v>
      </c>
      <c r="X2" t="b">
        <v>0</v>
      </c>
      <c r="Y2" t="s">
        <v>42</v>
      </c>
      <c r="Z2" t="s">
        <v>42</v>
      </c>
      <c r="AA2" t="s">
        <v>42</v>
      </c>
      <c r="AB2" t="s">
        <v>42</v>
      </c>
      <c r="AC2" t="s">
        <v>42</v>
      </c>
      <c r="AD2" t="s">
        <v>42</v>
      </c>
      <c r="AE2" t="s">
        <v>54</v>
      </c>
      <c r="AF2">
        <v>20000</v>
      </c>
      <c r="AG2">
        <v>2000</v>
      </c>
      <c r="AH2">
        <v>1234</v>
      </c>
      <c r="AI2" t="b">
        <v>1</v>
      </c>
      <c r="AJ2" t="b">
        <v>0</v>
      </c>
      <c r="AK2" t="b">
        <v>1</v>
      </c>
      <c r="AL2" t="b">
        <v>1</v>
      </c>
    </row>
    <row r="3" spans="1:41" hidden="1" x14ac:dyDescent="0.25">
      <c r="A3">
        <v>2</v>
      </c>
      <c r="B3" t="s">
        <v>40</v>
      </c>
      <c r="C3" t="s">
        <v>41</v>
      </c>
      <c r="D3">
        <v>1500</v>
      </c>
      <c r="E3">
        <v>2.5000000000000001E-2</v>
      </c>
      <c r="F3" t="s">
        <v>42</v>
      </c>
      <c r="G3" t="s">
        <v>42</v>
      </c>
      <c r="H3" t="s">
        <v>43</v>
      </c>
      <c r="I3" t="s">
        <v>44</v>
      </c>
      <c r="J3">
        <v>3</v>
      </c>
      <c r="K3">
        <v>2</v>
      </c>
      <c r="L3" t="s">
        <v>45</v>
      </c>
      <c r="M3" t="s">
        <v>42</v>
      </c>
      <c r="N3" t="s">
        <v>42</v>
      </c>
      <c r="O3" t="s">
        <v>46</v>
      </c>
      <c r="P3" t="s">
        <v>47</v>
      </c>
      <c r="Q3" t="s">
        <v>348</v>
      </c>
      <c r="R3" t="s">
        <v>49</v>
      </c>
      <c r="S3" t="s">
        <v>50</v>
      </c>
      <c r="T3" t="s">
        <v>51</v>
      </c>
      <c r="U3" t="s">
        <v>52</v>
      </c>
      <c r="V3" t="s">
        <v>53</v>
      </c>
      <c r="W3" t="b">
        <v>0</v>
      </c>
      <c r="X3" t="b">
        <v>0</v>
      </c>
      <c r="Y3" t="s">
        <v>42</v>
      </c>
      <c r="Z3" t="s">
        <v>42</v>
      </c>
      <c r="AA3" t="s">
        <v>42</v>
      </c>
      <c r="AB3" t="s">
        <v>42</v>
      </c>
      <c r="AC3" t="s">
        <v>42</v>
      </c>
      <c r="AD3" t="s">
        <v>42</v>
      </c>
      <c r="AE3" t="s">
        <v>54</v>
      </c>
      <c r="AF3">
        <v>20000</v>
      </c>
      <c r="AG3">
        <v>2000</v>
      </c>
      <c r="AH3">
        <v>1234</v>
      </c>
      <c r="AI3" t="b">
        <v>1</v>
      </c>
      <c r="AJ3" t="b">
        <v>0</v>
      </c>
      <c r="AK3" t="b">
        <v>1</v>
      </c>
      <c r="AL3" t="b">
        <v>1</v>
      </c>
    </row>
    <row r="4" spans="1:41" hidden="1" x14ac:dyDescent="0.25">
      <c r="A4">
        <v>3</v>
      </c>
      <c r="B4" t="s">
        <v>40</v>
      </c>
      <c r="C4" t="s">
        <v>41</v>
      </c>
      <c r="D4">
        <v>3000</v>
      </c>
      <c r="E4">
        <v>2.5000000000000001E-2</v>
      </c>
      <c r="F4" t="s">
        <v>42</v>
      </c>
      <c r="G4" t="s">
        <v>42</v>
      </c>
      <c r="H4" t="s">
        <v>43</v>
      </c>
      <c r="I4" t="s">
        <v>44</v>
      </c>
      <c r="J4">
        <v>3</v>
      </c>
      <c r="K4">
        <v>2</v>
      </c>
      <c r="L4" t="s">
        <v>45</v>
      </c>
      <c r="M4" t="s">
        <v>42</v>
      </c>
      <c r="N4" t="s">
        <v>42</v>
      </c>
      <c r="O4" t="s">
        <v>46</v>
      </c>
      <c r="P4" t="s">
        <v>47</v>
      </c>
      <c r="Q4" t="s">
        <v>348</v>
      </c>
      <c r="R4" t="s">
        <v>49</v>
      </c>
      <c r="S4" t="s">
        <v>50</v>
      </c>
      <c r="T4" t="s">
        <v>51</v>
      </c>
      <c r="U4" t="s">
        <v>52</v>
      </c>
      <c r="V4" t="s">
        <v>53</v>
      </c>
      <c r="W4" t="b">
        <v>0</v>
      </c>
      <c r="X4" t="b">
        <v>0</v>
      </c>
      <c r="Y4" t="s">
        <v>42</v>
      </c>
      <c r="Z4" t="s">
        <v>42</v>
      </c>
      <c r="AA4" t="s">
        <v>42</v>
      </c>
      <c r="AB4" t="s">
        <v>42</v>
      </c>
      <c r="AC4" t="s">
        <v>42</v>
      </c>
      <c r="AD4" t="s">
        <v>42</v>
      </c>
      <c r="AE4" t="s">
        <v>54</v>
      </c>
      <c r="AF4">
        <v>20000</v>
      </c>
      <c r="AG4">
        <v>2000</v>
      </c>
      <c r="AH4">
        <v>1234</v>
      </c>
      <c r="AI4" t="b">
        <v>1</v>
      </c>
      <c r="AJ4" t="b">
        <v>0</v>
      </c>
      <c r="AK4" t="b">
        <v>1</v>
      </c>
      <c r="AL4" t="b">
        <v>1</v>
      </c>
    </row>
    <row r="5" spans="1:41" hidden="1" x14ac:dyDescent="0.25">
      <c r="A5">
        <v>4</v>
      </c>
      <c r="B5" t="s">
        <v>40</v>
      </c>
      <c r="C5" t="s">
        <v>41</v>
      </c>
      <c r="D5">
        <v>5000</v>
      </c>
      <c r="E5">
        <v>2.5000000000000001E-2</v>
      </c>
      <c r="F5" t="s">
        <v>42</v>
      </c>
      <c r="G5" t="s">
        <v>42</v>
      </c>
      <c r="H5" t="s">
        <v>43</v>
      </c>
      <c r="I5" t="s">
        <v>44</v>
      </c>
      <c r="J5">
        <v>3</v>
      </c>
      <c r="K5">
        <v>2</v>
      </c>
      <c r="L5" t="s">
        <v>45</v>
      </c>
      <c r="M5" t="s">
        <v>42</v>
      </c>
      <c r="N5" t="s">
        <v>42</v>
      </c>
      <c r="O5" t="s">
        <v>46</v>
      </c>
      <c r="P5" t="s">
        <v>47</v>
      </c>
      <c r="Q5" t="s">
        <v>348</v>
      </c>
      <c r="R5" t="s">
        <v>49</v>
      </c>
      <c r="S5" t="s">
        <v>50</v>
      </c>
      <c r="T5" t="s">
        <v>51</v>
      </c>
      <c r="U5" t="s">
        <v>52</v>
      </c>
      <c r="V5" t="s">
        <v>53</v>
      </c>
      <c r="W5" t="b">
        <v>0</v>
      </c>
      <c r="X5" t="b">
        <v>0</v>
      </c>
      <c r="Y5" t="s">
        <v>42</v>
      </c>
      <c r="Z5" t="s">
        <v>42</v>
      </c>
      <c r="AA5" t="s">
        <v>42</v>
      </c>
      <c r="AB5" t="s">
        <v>42</v>
      </c>
      <c r="AC5" t="s">
        <v>42</v>
      </c>
      <c r="AD5" t="s">
        <v>42</v>
      </c>
      <c r="AE5" t="s">
        <v>54</v>
      </c>
      <c r="AF5">
        <v>20000</v>
      </c>
      <c r="AG5">
        <v>2000</v>
      </c>
      <c r="AH5">
        <v>1234</v>
      </c>
      <c r="AI5" t="b">
        <v>1</v>
      </c>
      <c r="AJ5" t="b">
        <v>0</v>
      </c>
      <c r="AK5" t="b">
        <v>1</v>
      </c>
      <c r="AL5" t="b">
        <v>1</v>
      </c>
    </row>
    <row r="6" spans="1:41" hidden="1" x14ac:dyDescent="0.25">
      <c r="A6">
        <v>5</v>
      </c>
      <c r="B6" t="s">
        <v>55</v>
      </c>
      <c r="C6" t="s">
        <v>41</v>
      </c>
      <c r="D6">
        <v>600</v>
      </c>
      <c r="E6">
        <v>2.5000000000000001E-2</v>
      </c>
      <c r="F6" t="s">
        <v>42</v>
      </c>
      <c r="G6" t="s">
        <v>42</v>
      </c>
      <c r="H6" t="s">
        <v>43</v>
      </c>
      <c r="I6" t="s">
        <v>44</v>
      </c>
      <c r="J6">
        <v>3</v>
      </c>
      <c r="K6">
        <v>2</v>
      </c>
      <c r="L6" t="s">
        <v>45</v>
      </c>
      <c r="M6" t="s">
        <v>42</v>
      </c>
      <c r="N6" t="s">
        <v>42</v>
      </c>
      <c r="O6" t="s">
        <v>46</v>
      </c>
      <c r="P6" t="s">
        <v>47</v>
      </c>
      <c r="Q6" t="s">
        <v>348</v>
      </c>
      <c r="R6" t="s">
        <v>49</v>
      </c>
      <c r="S6" t="s">
        <v>50</v>
      </c>
      <c r="T6" t="s">
        <v>51</v>
      </c>
      <c r="U6" t="s">
        <v>52</v>
      </c>
      <c r="V6" t="s">
        <v>53</v>
      </c>
      <c r="W6" t="b">
        <v>0</v>
      </c>
      <c r="X6" t="b">
        <v>1</v>
      </c>
      <c r="Y6">
        <v>1</v>
      </c>
      <c r="Z6">
        <v>1</v>
      </c>
      <c r="AA6" t="s">
        <v>56</v>
      </c>
      <c r="AB6" t="s">
        <v>57</v>
      </c>
      <c r="AC6">
        <v>0.25</v>
      </c>
      <c r="AD6" t="b">
        <v>1</v>
      </c>
      <c r="AE6" t="s">
        <v>23</v>
      </c>
      <c r="AF6">
        <v>20000</v>
      </c>
      <c r="AG6">
        <v>2000</v>
      </c>
      <c r="AH6">
        <v>745664</v>
      </c>
      <c r="AI6" t="b">
        <v>1</v>
      </c>
      <c r="AJ6" t="b">
        <v>0</v>
      </c>
      <c r="AK6" t="b">
        <v>1</v>
      </c>
      <c r="AL6" t="b">
        <v>1</v>
      </c>
    </row>
    <row r="7" spans="1:41" hidden="1" x14ac:dyDescent="0.25">
      <c r="A7">
        <v>6</v>
      </c>
      <c r="B7" t="s">
        <v>349</v>
      </c>
      <c r="C7" t="s">
        <v>41</v>
      </c>
      <c r="D7">
        <v>2000</v>
      </c>
      <c r="E7">
        <v>2.5000000000000001E-2</v>
      </c>
      <c r="F7" t="s">
        <v>42</v>
      </c>
      <c r="G7" t="s">
        <v>42</v>
      </c>
      <c r="H7" t="s">
        <v>43</v>
      </c>
      <c r="I7" t="s">
        <v>44</v>
      </c>
      <c r="J7">
        <v>3</v>
      </c>
      <c r="K7">
        <v>2</v>
      </c>
      <c r="L7" t="s">
        <v>45</v>
      </c>
      <c r="M7" t="s">
        <v>42</v>
      </c>
      <c r="N7" t="s">
        <v>42</v>
      </c>
      <c r="O7" t="s">
        <v>46</v>
      </c>
      <c r="P7" t="s">
        <v>47</v>
      </c>
      <c r="Q7" t="s">
        <v>348</v>
      </c>
      <c r="R7" t="s">
        <v>49</v>
      </c>
      <c r="S7" t="s">
        <v>50</v>
      </c>
      <c r="T7" t="s">
        <v>51</v>
      </c>
      <c r="U7" t="s">
        <v>52</v>
      </c>
      <c r="V7" t="s">
        <v>53</v>
      </c>
      <c r="W7" t="b">
        <v>0</v>
      </c>
      <c r="X7" t="b">
        <v>1</v>
      </c>
      <c r="Y7">
        <v>1</v>
      </c>
      <c r="Z7">
        <v>1</v>
      </c>
      <c r="AA7" t="s">
        <v>56</v>
      </c>
      <c r="AB7" t="s">
        <v>57</v>
      </c>
      <c r="AC7">
        <v>0.25</v>
      </c>
      <c r="AD7" t="b">
        <v>1</v>
      </c>
      <c r="AE7" t="s">
        <v>23</v>
      </c>
      <c r="AF7">
        <v>20000</v>
      </c>
      <c r="AG7">
        <v>2000</v>
      </c>
      <c r="AH7">
        <v>745664</v>
      </c>
      <c r="AI7" t="b">
        <v>1</v>
      </c>
      <c r="AJ7" t="b">
        <v>0</v>
      </c>
      <c r="AK7" t="b">
        <v>1</v>
      </c>
      <c r="AL7" t="b">
        <v>1</v>
      </c>
    </row>
    <row r="8" spans="1:41" hidden="1" x14ac:dyDescent="0.25">
      <c r="A8">
        <v>7</v>
      </c>
      <c r="B8" t="s">
        <v>59</v>
      </c>
      <c r="C8" t="s">
        <v>41</v>
      </c>
      <c r="D8">
        <v>600</v>
      </c>
      <c r="E8">
        <v>2.5000000000000001E-2</v>
      </c>
      <c r="F8" t="s">
        <v>42</v>
      </c>
      <c r="G8" t="s">
        <v>42</v>
      </c>
      <c r="H8" t="s">
        <v>43</v>
      </c>
      <c r="I8" t="s">
        <v>44</v>
      </c>
      <c r="J8">
        <v>3</v>
      </c>
      <c r="K8">
        <v>2</v>
      </c>
      <c r="L8" t="s">
        <v>45</v>
      </c>
      <c r="M8" t="s">
        <v>42</v>
      </c>
      <c r="N8" t="s">
        <v>42</v>
      </c>
      <c r="O8" t="s">
        <v>46</v>
      </c>
      <c r="P8" t="s">
        <v>47</v>
      </c>
      <c r="Q8" t="s">
        <v>348</v>
      </c>
      <c r="R8" t="s">
        <v>49</v>
      </c>
      <c r="S8" t="s">
        <v>50</v>
      </c>
      <c r="T8" t="s">
        <v>51</v>
      </c>
      <c r="U8" t="s">
        <v>52</v>
      </c>
      <c r="V8" t="s">
        <v>53</v>
      </c>
      <c r="W8" t="b">
        <v>0</v>
      </c>
      <c r="X8" t="b">
        <v>1</v>
      </c>
      <c r="Y8">
        <v>1</v>
      </c>
      <c r="Z8">
        <v>1</v>
      </c>
      <c r="AA8" t="s">
        <v>56</v>
      </c>
      <c r="AB8" t="s">
        <v>60</v>
      </c>
      <c r="AC8">
        <v>1</v>
      </c>
      <c r="AD8" t="b">
        <v>1</v>
      </c>
      <c r="AE8" t="s">
        <v>23</v>
      </c>
      <c r="AF8">
        <v>20000</v>
      </c>
      <c r="AG8">
        <v>2000</v>
      </c>
      <c r="AH8">
        <v>745664</v>
      </c>
      <c r="AI8" t="b">
        <v>1</v>
      </c>
      <c r="AJ8" t="b">
        <v>0</v>
      </c>
      <c r="AK8" t="b">
        <v>1</v>
      </c>
      <c r="AL8" t="b">
        <v>1</v>
      </c>
    </row>
    <row r="9" spans="1:41" hidden="1" x14ac:dyDescent="0.25">
      <c r="A9">
        <v>8</v>
      </c>
      <c r="B9" t="s">
        <v>350</v>
      </c>
      <c r="C9" t="s">
        <v>41</v>
      </c>
      <c r="D9">
        <v>2000</v>
      </c>
      <c r="E9">
        <v>2.5000000000000001E-2</v>
      </c>
      <c r="F9" t="s">
        <v>42</v>
      </c>
      <c r="G9" t="s">
        <v>42</v>
      </c>
      <c r="H9" t="s">
        <v>43</v>
      </c>
      <c r="I9" t="s">
        <v>44</v>
      </c>
      <c r="J9">
        <v>3</v>
      </c>
      <c r="K9">
        <v>2</v>
      </c>
      <c r="L9" t="s">
        <v>45</v>
      </c>
      <c r="M9" t="s">
        <v>42</v>
      </c>
      <c r="N9" t="s">
        <v>42</v>
      </c>
      <c r="O9" t="s">
        <v>46</v>
      </c>
      <c r="P9" t="s">
        <v>47</v>
      </c>
      <c r="Q9" t="s">
        <v>348</v>
      </c>
      <c r="R9" t="s">
        <v>49</v>
      </c>
      <c r="S9" t="s">
        <v>50</v>
      </c>
      <c r="T9" t="s">
        <v>51</v>
      </c>
      <c r="U9" t="s">
        <v>52</v>
      </c>
      <c r="V9" t="s">
        <v>53</v>
      </c>
      <c r="W9" t="b">
        <v>0</v>
      </c>
      <c r="X9" t="b">
        <v>1</v>
      </c>
      <c r="Y9">
        <v>1</v>
      </c>
      <c r="Z9">
        <v>1</v>
      </c>
      <c r="AA9" t="s">
        <v>56</v>
      </c>
      <c r="AB9" t="s">
        <v>60</v>
      </c>
      <c r="AC9">
        <v>1</v>
      </c>
      <c r="AD9" t="b">
        <v>1</v>
      </c>
      <c r="AE9" t="s">
        <v>23</v>
      </c>
      <c r="AF9">
        <v>20000</v>
      </c>
      <c r="AG9">
        <v>2000</v>
      </c>
      <c r="AH9">
        <v>745664</v>
      </c>
      <c r="AI9" t="b">
        <v>1</v>
      </c>
      <c r="AJ9" t="b">
        <v>0</v>
      </c>
      <c r="AK9" t="b">
        <v>1</v>
      </c>
      <c r="AL9" t="b">
        <v>1</v>
      </c>
    </row>
    <row r="10" spans="1:41" hidden="1" x14ac:dyDescent="0.25">
      <c r="A10">
        <v>9</v>
      </c>
      <c r="B10" t="s">
        <v>351</v>
      </c>
      <c r="C10" t="s">
        <v>41</v>
      </c>
      <c r="D10">
        <v>2000</v>
      </c>
      <c r="E10">
        <v>2.5000000000000001E-2</v>
      </c>
      <c r="F10" t="s">
        <v>42</v>
      </c>
      <c r="G10" t="s">
        <v>42</v>
      </c>
      <c r="H10" t="s">
        <v>43</v>
      </c>
      <c r="I10" t="s">
        <v>44</v>
      </c>
      <c r="J10">
        <v>3</v>
      </c>
      <c r="K10">
        <v>2</v>
      </c>
      <c r="L10" t="s">
        <v>45</v>
      </c>
      <c r="M10" t="s">
        <v>42</v>
      </c>
      <c r="N10" t="s">
        <v>42</v>
      </c>
      <c r="O10" t="s">
        <v>46</v>
      </c>
      <c r="P10" t="s">
        <v>47</v>
      </c>
      <c r="Q10" t="s">
        <v>348</v>
      </c>
      <c r="R10" t="s">
        <v>49</v>
      </c>
      <c r="S10" t="s">
        <v>50</v>
      </c>
      <c r="T10" t="s">
        <v>51</v>
      </c>
      <c r="U10" t="s">
        <v>52</v>
      </c>
      <c r="V10" t="s">
        <v>53</v>
      </c>
      <c r="W10" t="b">
        <v>1</v>
      </c>
      <c r="X10" t="b">
        <v>0</v>
      </c>
      <c r="Y10" t="s">
        <v>42</v>
      </c>
      <c r="Z10" t="s">
        <v>42</v>
      </c>
      <c r="AA10" t="s">
        <v>42</v>
      </c>
      <c r="AB10" t="s">
        <v>42</v>
      </c>
      <c r="AC10" t="s">
        <v>42</v>
      </c>
      <c r="AD10" t="s">
        <v>42</v>
      </c>
      <c r="AE10" t="s">
        <v>54</v>
      </c>
      <c r="AF10">
        <v>20000</v>
      </c>
      <c r="AG10">
        <v>2000</v>
      </c>
      <c r="AH10">
        <v>6534</v>
      </c>
      <c r="AI10" t="b">
        <v>1</v>
      </c>
      <c r="AJ10" t="b">
        <v>0</v>
      </c>
      <c r="AK10" t="b">
        <v>1</v>
      </c>
      <c r="AL10" t="b">
        <v>1</v>
      </c>
    </row>
    <row r="11" spans="1:41" hidden="1" x14ac:dyDescent="0.25">
      <c r="A11">
        <v>10</v>
      </c>
      <c r="B11" t="s">
        <v>352</v>
      </c>
      <c r="C11" t="s">
        <v>41</v>
      </c>
      <c r="D11">
        <v>2000</v>
      </c>
      <c r="E11">
        <v>2.5000000000000001E-2</v>
      </c>
      <c r="F11" t="s">
        <v>42</v>
      </c>
      <c r="G11" t="s">
        <v>42</v>
      </c>
      <c r="H11" t="s">
        <v>43</v>
      </c>
      <c r="I11" t="s">
        <v>44</v>
      </c>
      <c r="J11">
        <v>3</v>
      </c>
      <c r="K11">
        <v>2</v>
      </c>
      <c r="L11" t="s">
        <v>45</v>
      </c>
      <c r="M11" t="s">
        <v>42</v>
      </c>
      <c r="N11" t="s">
        <v>42</v>
      </c>
      <c r="O11" t="s">
        <v>46</v>
      </c>
      <c r="P11" t="s">
        <v>47</v>
      </c>
      <c r="Q11" t="s">
        <v>348</v>
      </c>
      <c r="R11" t="s">
        <v>49</v>
      </c>
      <c r="S11" t="s">
        <v>50</v>
      </c>
      <c r="T11" t="s">
        <v>51</v>
      </c>
      <c r="U11" t="s">
        <v>52</v>
      </c>
      <c r="V11" t="s">
        <v>53</v>
      </c>
      <c r="W11" t="b">
        <v>1</v>
      </c>
      <c r="X11" t="b">
        <v>1</v>
      </c>
      <c r="Y11">
        <v>1</v>
      </c>
      <c r="Z11">
        <v>1</v>
      </c>
      <c r="AA11" t="s">
        <v>56</v>
      </c>
      <c r="AB11" t="s">
        <v>57</v>
      </c>
      <c r="AC11">
        <v>0.25</v>
      </c>
      <c r="AD11" t="b">
        <v>1</v>
      </c>
      <c r="AE11" t="s">
        <v>23</v>
      </c>
      <c r="AF11">
        <v>20000</v>
      </c>
      <c r="AG11">
        <v>2000</v>
      </c>
      <c r="AH11">
        <v>6534</v>
      </c>
      <c r="AI11" t="b">
        <v>1</v>
      </c>
      <c r="AJ11" t="b">
        <v>0</v>
      </c>
      <c r="AK11" t="b">
        <v>1</v>
      </c>
      <c r="AL11" t="b">
        <v>1</v>
      </c>
    </row>
    <row r="12" spans="1:41" hidden="1" x14ac:dyDescent="0.25">
      <c r="A12">
        <v>11</v>
      </c>
      <c r="B12" t="s">
        <v>353</v>
      </c>
      <c r="C12" t="s">
        <v>41</v>
      </c>
      <c r="D12">
        <v>2000</v>
      </c>
      <c r="E12">
        <v>2.5000000000000001E-2</v>
      </c>
      <c r="F12" t="s">
        <v>42</v>
      </c>
      <c r="G12" t="s">
        <v>42</v>
      </c>
      <c r="H12" t="s">
        <v>43</v>
      </c>
      <c r="I12" t="s">
        <v>44</v>
      </c>
      <c r="J12">
        <v>3</v>
      </c>
      <c r="K12">
        <v>2</v>
      </c>
      <c r="L12" t="s">
        <v>45</v>
      </c>
      <c r="M12" t="s">
        <v>42</v>
      </c>
      <c r="N12" t="s">
        <v>42</v>
      </c>
      <c r="O12" t="s">
        <v>46</v>
      </c>
      <c r="P12" t="s">
        <v>47</v>
      </c>
      <c r="Q12" t="s">
        <v>348</v>
      </c>
      <c r="R12" t="s">
        <v>49</v>
      </c>
      <c r="S12" t="s">
        <v>50</v>
      </c>
      <c r="T12" t="s">
        <v>51</v>
      </c>
      <c r="U12" t="s">
        <v>52</v>
      </c>
      <c r="V12" t="s">
        <v>53</v>
      </c>
      <c r="W12" t="b">
        <v>1</v>
      </c>
      <c r="X12" t="b">
        <v>1</v>
      </c>
      <c r="Y12">
        <v>1</v>
      </c>
      <c r="Z12">
        <v>1</v>
      </c>
      <c r="AA12" t="s">
        <v>56</v>
      </c>
      <c r="AB12" t="s">
        <v>60</v>
      </c>
      <c r="AC12">
        <v>1</v>
      </c>
      <c r="AD12" t="b">
        <v>1</v>
      </c>
      <c r="AE12" t="s">
        <v>23</v>
      </c>
      <c r="AF12">
        <v>20000</v>
      </c>
      <c r="AG12">
        <v>2000</v>
      </c>
      <c r="AH12">
        <v>6534</v>
      </c>
      <c r="AI12" t="b">
        <v>1</v>
      </c>
      <c r="AJ12" t="b">
        <v>0</v>
      </c>
      <c r="AK12" t="b">
        <v>1</v>
      </c>
      <c r="AL12" t="b">
        <v>1</v>
      </c>
    </row>
    <row r="13" spans="1:41" hidden="1" x14ac:dyDescent="0.25">
      <c r="A13">
        <v>12</v>
      </c>
      <c r="B13" t="s">
        <v>354</v>
      </c>
      <c r="C13" t="s">
        <v>41</v>
      </c>
      <c r="D13">
        <v>2000</v>
      </c>
      <c r="E13">
        <v>2.5000000000000001E-2</v>
      </c>
      <c r="F13" t="s">
        <v>42</v>
      </c>
      <c r="G13" t="s">
        <v>42</v>
      </c>
      <c r="H13" t="s">
        <v>64</v>
      </c>
      <c r="I13" t="s">
        <v>44</v>
      </c>
      <c r="J13">
        <v>3</v>
      </c>
      <c r="K13">
        <v>2</v>
      </c>
      <c r="L13" t="s">
        <v>45</v>
      </c>
      <c r="M13" t="s">
        <v>42</v>
      </c>
      <c r="N13" t="s">
        <v>42</v>
      </c>
      <c r="O13" t="s">
        <v>46</v>
      </c>
      <c r="P13" t="s">
        <v>47</v>
      </c>
      <c r="Q13" t="s">
        <v>348</v>
      </c>
      <c r="R13" t="s">
        <v>49</v>
      </c>
      <c r="S13" t="s">
        <v>50</v>
      </c>
      <c r="T13" t="s">
        <v>51</v>
      </c>
      <c r="U13" t="s">
        <v>52</v>
      </c>
      <c r="V13" t="s">
        <v>53</v>
      </c>
      <c r="W13" t="b">
        <v>0</v>
      </c>
      <c r="X13" t="b">
        <v>0</v>
      </c>
      <c r="Y13" t="s">
        <v>42</v>
      </c>
      <c r="Z13" t="s">
        <v>42</v>
      </c>
      <c r="AA13" t="s">
        <v>42</v>
      </c>
      <c r="AB13" t="s">
        <v>42</v>
      </c>
      <c r="AC13" t="s">
        <v>42</v>
      </c>
      <c r="AD13" t="s">
        <v>42</v>
      </c>
      <c r="AE13" t="s">
        <v>54</v>
      </c>
      <c r="AF13">
        <v>20000</v>
      </c>
      <c r="AG13">
        <v>2000</v>
      </c>
      <c r="AH13">
        <v>6534</v>
      </c>
      <c r="AI13" t="b">
        <v>1</v>
      </c>
      <c r="AJ13" t="b">
        <v>0</v>
      </c>
      <c r="AK13" t="b">
        <v>1</v>
      </c>
      <c r="AL13" t="b">
        <v>1</v>
      </c>
    </row>
    <row r="14" spans="1:41" hidden="1" x14ac:dyDescent="0.25">
      <c r="A14">
        <v>13</v>
      </c>
      <c r="B14" t="s">
        <v>355</v>
      </c>
      <c r="C14" t="s">
        <v>41</v>
      </c>
      <c r="D14">
        <v>2000</v>
      </c>
      <c r="E14">
        <v>2.5000000000000001E-2</v>
      </c>
      <c r="F14" t="s">
        <v>42</v>
      </c>
      <c r="G14" t="s">
        <v>42</v>
      </c>
      <c r="H14" t="s">
        <v>64</v>
      </c>
      <c r="I14" t="s">
        <v>44</v>
      </c>
      <c r="J14">
        <v>3</v>
      </c>
      <c r="K14">
        <v>2</v>
      </c>
      <c r="L14" t="s">
        <v>45</v>
      </c>
      <c r="M14" t="s">
        <v>42</v>
      </c>
      <c r="N14" t="s">
        <v>42</v>
      </c>
      <c r="O14" t="s">
        <v>46</v>
      </c>
      <c r="P14" t="s">
        <v>47</v>
      </c>
      <c r="Q14" t="s">
        <v>348</v>
      </c>
      <c r="R14" t="s">
        <v>49</v>
      </c>
      <c r="S14" t="s">
        <v>50</v>
      </c>
      <c r="T14" t="s">
        <v>51</v>
      </c>
      <c r="U14" t="s">
        <v>52</v>
      </c>
      <c r="V14" t="s">
        <v>53</v>
      </c>
      <c r="W14" t="b">
        <v>0</v>
      </c>
      <c r="X14" t="b">
        <v>1</v>
      </c>
      <c r="Y14">
        <v>1</v>
      </c>
      <c r="Z14">
        <v>1</v>
      </c>
      <c r="AA14" t="s">
        <v>56</v>
      </c>
      <c r="AB14" t="s">
        <v>57</v>
      </c>
      <c r="AC14">
        <v>0.25</v>
      </c>
      <c r="AD14" t="b">
        <v>1</v>
      </c>
      <c r="AE14" t="s">
        <v>23</v>
      </c>
      <c r="AF14">
        <v>20000</v>
      </c>
      <c r="AG14">
        <v>2000</v>
      </c>
      <c r="AH14">
        <v>6534</v>
      </c>
      <c r="AI14" t="b">
        <v>1</v>
      </c>
      <c r="AJ14" t="b">
        <v>0</v>
      </c>
      <c r="AK14" t="b">
        <v>1</v>
      </c>
      <c r="AL14" t="b">
        <v>1</v>
      </c>
    </row>
    <row r="15" spans="1:41" hidden="1" x14ac:dyDescent="0.25">
      <c r="A15">
        <v>14</v>
      </c>
      <c r="B15" t="s">
        <v>356</v>
      </c>
      <c r="C15" t="s">
        <v>41</v>
      </c>
      <c r="D15">
        <v>2000</v>
      </c>
      <c r="E15">
        <v>2.5000000000000001E-2</v>
      </c>
      <c r="F15" t="s">
        <v>42</v>
      </c>
      <c r="G15" t="s">
        <v>42</v>
      </c>
      <c r="H15" t="s">
        <v>64</v>
      </c>
      <c r="I15" t="s">
        <v>44</v>
      </c>
      <c r="J15">
        <v>3</v>
      </c>
      <c r="K15">
        <v>2</v>
      </c>
      <c r="L15" t="s">
        <v>45</v>
      </c>
      <c r="M15" t="s">
        <v>42</v>
      </c>
      <c r="N15" t="s">
        <v>42</v>
      </c>
      <c r="O15" t="s">
        <v>46</v>
      </c>
      <c r="P15" t="s">
        <v>47</v>
      </c>
      <c r="Q15" t="s">
        <v>348</v>
      </c>
      <c r="R15" t="s">
        <v>49</v>
      </c>
      <c r="S15" t="s">
        <v>50</v>
      </c>
      <c r="T15" t="s">
        <v>51</v>
      </c>
      <c r="U15" t="s">
        <v>52</v>
      </c>
      <c r="V15" t="s">
        <v>53</v>
      </c>
      <c r="W15" t="b">
        <v>0</v>
      </c>
      <c r="X15" t="b">
        <v>1</v>
      </c>
      <c r="Y15">
        <v>1</v>
      </c>
      <c r="Z15">
        <v>1</v>
      </c>
      <c r="AA15" t="s">
        <v>56</v>
      </c>
      <c r="AB15" t="s">
        <v>60</v>
      </c>
      <c r="AC15">
        <v>1</v>
      </c>
      <c r="AD15" t="b">
        <v>1</v>
      </c>
      <c r="AE15" t="s">
        <v>23</v>
      </c>
      <c r="AF15">
        <v>20000</v>
      </c>
      <c r="AG15">
        <v>2000</v>
      </c>
      <c r="AH15">
        <v>6534</v>
      </c>
      <c r="AI15" t="b">
        <v>1</v>
      </c>
      <c r="AJ15" t="b">
        <v>0</v>
      </c>
      <c r="AK15" t="b">
        <v>1</v>
      </c>
      <c r="AL15" t="b">
        <v>1</v>
      </c>
    </row>
    <row r="16" spans="1:41" hidden="1" x14ac:dyDescent="0.25">
      <c r="A16">
        <v>15</v>
      </c>
      <c r="B16" t="s">
        <v>357</v>
      </c>
      <c r="C16" t="s">
        <v>41</v>
      </c>
      <c r="D16">
        <v>2000</v>
      </c>
      <c r="E16">
        <v>2.5000000000000001E-2</v>
      </c>
      <c r="F16" t="s">
        <v>42</v>
      </c>
      <c r="G16" t="s">
        <v>42</v>
      </c>
      <c r="H16" t="s">
        <v>43</v>
      </c>
      <c r="I16" t="s">
        <v>54</v>
      </c>
      <c r="J16">
        <v>3</v>
      </c>
      <c r="K16">
        <v>2</v>
      </c>
      <c r="L16" t="s">
        <v>45</v>
      </c>
      <c r="M16" t="s">
        <v>42</v>
      </c>
      <c r="N16" t="s">
        <v>42</v>
      </c>
      <c r="O16" t="s">
        <v>46</v>
      </c>
      <c r="P16" t="s">
        <v>47</v>
      </c>
      <c r="Q16" t="s">
        <v>348</v>
      </c>
      <c r="R16" t="s">
        <v>49</v>
      </c>
      <c r="S16" t="s">
        <v>50</v>
      </c>
      <c r="T16" t="s">
        <v>51</v>
      </c>
      <c r="U16" t="s">
        <v>52</v>
      </c>
      <c r="V16" t="s">
        <v>53</v>
      </c>
      <c r="W16" t="b">
        <v>0</v>
      </c>
      <c r="X16" t="b">
        <v>0</v>
      </c>
      <c r="Y16" t="s">
        <v>42</v>
      </c>
      <c r="Z16" t="s">
        <v>42</v>
      </c>
      <c r="AA16" t="s">
        <v>42</v>
      </c>
      <c r="AB16" t="s">
        <v>42</v>
      </c>
      <c r="AC16" t="s">
        <v>42</v>
      </c>
      <c r="AD16" t="s">
        <v>42</v>
      </c>
      <c r="AE16" t="s">
        <v>54</v>
      </c>
      <c r="AF16">
        <v>20000</v>
      </c>
      <c r="AG16">
        <v>2000</v>
      </c>
      <c r="AH16">
        <v>6534</v>
      </c>
      <c r="AI16" t="b">
        <v>1</v>
      </c>
      <c r="AJ16" t="b">
        <v>0</v>
      </c>
      <c r="AK16" t="b">
        <v>1</v>
      </c>
      <c r="AL16" t="b">
        <v>1</v>
      </c>
    </row>
    <row r="17" spans="1:38" hidden="1" x14ac:dyDescent="0.25">
      <c r="A17">
        <v>16</v>
      </c>
      <c r="B17" t="s">
        <v>358</v>
      </c>
      <c r="C17" t="s">
        <v>41</v>
      </c>
      <c r="D17">
        <v>2000</v>
      </c>
      <c r="E17">
        <v>2.5000000000000001E-2</v>
      </c>
      <c r="F17" t="s">
        <v>42</v>
      </c>
      <c r="G17" t="s">
        <v>42</v>
      </c>
      <c r="H17" t="s">
        <v>43</v>
      </c>
      <c r="I17" t="s">
        <v>54</v>
      </c>
      <c r="J17">
        <v>3</v>
      </c>
      <c r="K17">
        <v>2</v>
      </c>
      <c r="L17" t="s">
        <v>45</v>
      </c>
      <c r="M17" t="s">
        <v>42</v>
      </c>
      <c r="N17" t="s">
        <v>42</v>
      </c>
      <c r="O17" t="s">
        <v>46</v>
      </c>
      <c r="P17" t="s">
        <v>47</v>
      </c>
      <c r="Q17" t="s">
        <v>348</v>
      </c>
      <c r="R17" t="s">
        <v>49</v>
      </c>
      <c r="S17" t="s">
        <v>50</v>
      </c>
      <c r="T17" t="s">
        <v>51</v>
      </c>
      <c r="U17" t="s">
        <v>52</v>
      </c>
      <c r="V17" t="s">
        <v>53</v>
      </c>
      <c r="W17" t="b">
        <v>0</v>
      </c>
      <c r="X17" t="b">
        <v>1</v>
      </c>
      <c r="Y17">
        <v>1</v>
      </c>
      <c r="Z17">
        <v>1</v>
      </c>
      <c r="AA17" t="s">
        <v>56</v>
      </c>
      <c r="AB17" t="s">
        <v>57</v>
      </c>
      <c r="AC17">
        <v>0.25</v>
      </c>
      <c r="AD17" t="b">
        <v>1</v>
      </c>
      <c r="AE17" t="s">
        <v>23</v>
      </c>
      <c r="AF17">
        <v>20000</v>
      </c>
      <c r="AG17">
        <v>2000</v>
      </c>
      <c r="AH17">
        <v>6534</v>
      </c>
      <c r="AI17" t="b">
        <v>1</v>
      </c>
      <c r="AJ17" t="b">
        <v>0</v>
      </c>
      <c r="AK17" t="b">
        <v>1</v>
      </c>
      <c r="AL17" t="b">
        <v>1</v>
      </c>
    </row>
    <row r="18" spans="1:38" hidden="1" x14ac:dyDescent="0.25">
      <c r="A18">
        <v>17</v>
      </c>
      <c r="B18" t="s">
        <v>359</v>
      </c>
      <c r="C18" t="s">
        <v>41</v>
      </c>
      <c r="D18">
        <v>2000</v>
      </c>
      <c r="E18">
        <v>2.5000000000000001E-2</v>
      </c>
      <c r="F18" t="s">
        <v>42</v>
      </c>
      <c r="G18" t="s">
        <v>42</v>
      </c>
      <c r="H18" t="s">
        <v>43</v>
      </c>
      <c r="I18" t="s">
        <v>54</v>
      </c>
      <c r="J18">
        <v>3</v>
      </c>
      <c r="K18">
        <v>2</v>
      </c>
      <c r="L18" t="s">
        <v>45</v>
      </c>
      <c r="M18" t="s">
        <v>42</v>
      </c>
      <c r="N18" t="s">
        <v>42</v>
      </c>
      <c r="O18" t="s">
        <v>46</v>
      </c>
      <c r="P18" t="s">
        <v>47</v>
      </c>
      <c r="Q18" t="s">
        <v>348</v>
      </c>
      <c r="R18" t="s">
        <v>49</v>
      </c>
      <c r="S18" t="s">
        <v>50</v>
      </c>
      <c r="T18" t="s">
        <v>51</v>
      </c>
      <c r="U18" t="s">
        <v>52</v>
      </c>
      <c r="V18" t="s">
        <v>53</v>
      </c>
      <c r="W18" t="b">
        <v>0</v>
      </c>
      <c r="X18" t="b">
        <v>1</v>
      </c>
      <c r="Y18">
        <v>1</v>
      </c>
      <c r="Z18">
        <v>1</v>
      </c>
      <c r="AA18" t="s">
        <v>56</v>
      </c>
      <c r="AB18" t="s">
        <v>60</v>
      </c>
      <c r="AC18">
        <v>1</v>
      </c>
      <c r="AD18" t="b">
        <v>1</v>
      </c>
      <c r="AE18" t="s">
        <v>23</v>
      </c>
      <c r="AF18">
        <v>20000</v>
      </c>
      <c r="AG18">
        <v>2000</v>
      </c>
      <c r="AH18">
        <v>6534</v>
      </c>
      <c r="AI18" t="b">
        <v>1</v>
      </c>
      <c r="AJ18" t="b">
        <v>0</v>
      </c>
      <c r="AK18" t="b">
        <v>1</v>
      </c>
      <c r="AL18" t="b">
        <v>1</v>
      </c>
    </row>
    <row r="19" spans="1:38" hidden="1" x14ac:dyDescent="0.25">
      <c r="A19" s="3">
        <v>18</v>
      </c>
      <c r="B19" t="s">
        <v>131</v>
      </c>
      <c r="C19" t="s">
        <v>117</v>
      </c>
      <c r="D19" s="2">
        <v>2000</v>
      </c>
      <c r="E19" s="2">
        <v>2.5000000000000001E-2</v>
      </c>
      <c r="F19" s="2" t="s">
        <v>42</v>
      </c>
      <c r="G19" s="2" t="s">
        <v>42</v>
      </c>
      <c r="H19" s="2" t="s">
        <v>43</v>
      </c>
      <c r="I19" s="2" t="s">
        <v>44</v>
      </c>
      <c r="J19" s="2">
        <v>5</v>
      </c>
      <c r="K19" s="2">
        <v>2</v>
      </c>
      <c r="L19" s="2" t="s">
        <v>118</v>
      </c>
      <c r="M19" s="2" t="s">
        <v>42</v>
      </c>
      <c r="N19" s="2" t="s">
        <v>42</v>
      </c>
      <c r="O19" s="2" t="s">
        <v>119</v>
      </c>
      <c r="P19" t="s">
        <v>122</v>
      </c>
      <c r="Q19" s="2" t="s">
        <v>120</v>
      </c>
      <c r="R19" t="s">
        <v>124</v>
      </c>
      <c r="S19" t="s">
        <v>125</v>
      </c>
      <c r="T19" s="2" t="s">
        <v>51</v>
      </c>
      <c r="U19" t="s">
        <v>52</v>
      </c>
      <c r="V19" t="s">
        <v>53</v>
      </c>
      <c r="W19" t="b">
        <v>1</v>
      </c>
      <c r="X19" t="b">
        <v>0</v>
      </c>
      <c r="Y19" t="s">
        <v>42</v>
      </c>
      <c r="Z19" t="s">
        <v>42</v>
      </c>
      <c r="AA19" t="s">
        <v>42</v>
      </c>
      <c r="AB19" t="s">
        <v>42</v>
      </c>
      <c r="AC19" t="s">
        <v>42</v>
      </c>
      <c r="AD19" t="s">
        <v>42</v>
      </c>
      <c r="AE19" t="s">
        <v>54</v>
      </c>
      <c r="AF19">
        <v>20000</v>
      </c>
      <c r="AG19">
        <v>500</v>
      </c>
      <c r="AH19" t="s">
        <v>121</v>
      </c>
      <c r="AI19" t="b">
        <v>0</v>
      </c>
      <c r="AJ19" t="b">
        <v>0</v>
      </c>
      <c r="AK19" t="b">
        <v>1</v>
      </c>
      <c r="AL19" t="b">
        <v>0</v>
      </c>
    </row>
    <row r="20" spans="1:38" hidden="1" x14ac:dyDescent="0.25">
      <c r="A20">
        <v>19</v>
      </c>
      <c r="B20" t="s">
        <v>132</v>
      </c>
      <c r="C20" t="s">
        <v>41</v>
      </c>
      <c r="D20" s="2">
        <v>2000</v>
      </c>
      <c r="E20" s="2">
        <v>2.5000000000000001E-2</v>
      </c>
      <c r="F20" s="2" t="s">
        <v>42</v>
      </c>
      <c r="G20" s="2" t="s">
        <v>42</v>
      </c>
      <c r="H20" s="2" t="s">
        <v>43</v>
      </c>
      <c r="I20" s="2" t="s">
        <v>44</v>
      </c>
      <c r="J20" s="2">
        <v>5</v>
      </c>
      <c r="K20" s="2">
        <v>2</v>
      </c>
      <c r="L20" s="2" t="s">
        <v>118</v>
      </c>
      <c r="M20" s="2" t="s">
        <v>42</v>
      </c>
      <c r="N20" s="2" t="s">
        <v>42</v>
      </c>
      <c r="O20" s="2" t="s">
        <v>119</v>
      </c>
      <c r="P20" t="s">
        <v>122</v>
      </c>
      <c r="Q20" s="2" t="s">
        <v>120</v>
      </c>
      <c r="R20" t="s">
        <v>124</v>
      </c>
      <c r="S20" t="s">
        <v>125</v>
      </c>
      <c r="T20" s="2" t="s">
        <v>51</v>
      </c>
      <c r="U20" t="s">
        <v>52</v>
      </c>
      <c r="V20" t="s">
        <v>53</v>
      </c>
      <c r="W20" t="b">
        <v>1</v>
      </c>
      <c r="X20" t="b">
        <v>0</v>
      </c>
      <c r="Y20" t="s">
        <v>42</v>
      </c>
      <c r="Z20" t="s">
        <v>42</v>
      </c>
      <c r="AA20" t="s">
        <v>42</v>
      </c>
      <c r="AB20" t="s">
        <v>42</v>
      </c>
      <c r="AC20" t="s">
        <v>42</v>
      </c>
      <c r="AD20" t="s">
        <v>42</v>
      </c>
      <c r="AE20" t="s">
        <v>54</v>
      </c>
      <c r="AF20">
        <v>20000</v>
      </c>
      <c r="AG20">
        <v>500</v>
      </c>
      <c r="AH20" t="s">
        <v>121</v>
      </c>
      <c r="AI20" t="b">
        <v>0</v>
      </c>
      <c r="AJ20" t="b">
        <v>0</v>
      </c>
      <c r="AK20" t="b">
        <v>1</v>
      </c>
      <c r="AL20" t="b">
        <v>0</v>
      </c>
    </row>
    <row r="21" spans="1:38" hidden="1" x14ac:dyDescent="0.25">
      <c r="A21">
        <v>20</v>
      </c>
      <c r="B21" t="s">
        <v>169</v>
      </c>
      <c r="C21" t="s">
        <v>117</v>
      </c>
      <c r="D21" s="2">
        <v>2000</v>
      </c>
      <c r="E21">
        <v>2.5000000000000001E-2</v>
      </c>
      <c r="F21" t="s">
        <v>42</v>
      </c>
      <c r="G21" t="s">
        <v>42</v>
      </c>
      <c r="H21" t="s">
        <v>43</v>
      </c>
      <c r="I21" s="2" t="s">
        <v>44</v>
      </c>
      <c r="J21">
        <v>5</v>
      </c>
      <c r="K21">
        <v>2</v>
      </c>
      <c r="L21" s="2" t="s">
        <v>118</v>
      </c>
      <c r="M21" s="2" t="s">
        <v>42</v>
      </c>
      <c r="N21" s="2" t="s">
        <v>42</v>
      </c>
      <c r="O21" s="2" t="s">
        <v>119</v>
      </c>
      <c r="P21" t="s">
        <v>122</v>
      </c>
      <c r="Q21" t="s">
        <v>123</v>
      </c>
      <c r="R21" t="s">
        <v>124</v>
      </c>
      <c r="S21" t="s">
        <v>125</v>
      </c>
      <c r="T21" t="s">
        <v>51</v>
      </c>
      <c r="U21" t="s">
        <v>126</v>
      </c>
      <c r="V21" t="s">
        <v>53</v>
      </c>
      <c r="W21" t="b">
        <v>1</v>
      </c>
      <c r="X21" t="b">
        <v>1</v>
      </c>
      <c r="Y21">
        <v>1</v>
      </c>
      <c r="Z21">
        <v>1</v>
      </c>
      <c r="AA21" t="s">
        <v>56</v>
      </c>
      <c r="AB21" t="s">
        <v>57</v>
      </c>
      <c r="AC21">
        <v>0.75</v>
      </c>
      <c r="AD21" t="b">
        <v>1</v>
      </c>
      <c r="AE21" t="s">
        <v>23</v>
      </c>
      <c r="AF21">
        <v>20000</v>
      </c>
      <c r="AG21">
        <v>500</v>
      </c>
      <c r="AH21" t="s">
        <v>121</v>
      </c>
      <c r="AI21" t="b">
        <v>0</v>
      </c>
      <c r="AJ21" t="b">
        <v>0</v>
      </c>
      <c r="AK21" t="b">
        <v>1</v>
      </c>
      <c r="AL21" t="b">
        <v>0</v>
      </c>
    </row>
    <row r="22" spans="1:38" hidden="1" x14ac:dyDescent="0.25">
      <c r="A22">
        <v>21</v>
      </c>
      <c r="B22" t="s">
        <v>170</v>
      </c>
      <c r="C22" t="s">
        <v>41</v>
      </c>
      <c r="D22" s="2">
        <v>2000</v>
      </c>
      <c r="E22">
        <v>2.5000000000000001E-2</v>
      </c>
      <c r="F22" t="s">
        <v>42</v>
      </c>
      <c r="G22" t="s">
        <v>42</v>
      </c>
      <c r="H22" t="s">
        <v>43</v>
      </c>
      <c r="I22" s="2" t="s">
        <v>44</v>
      </c>
      <c r="J22">
        <v>5</v>
      </c>
      <c r="K22">
        <v>2</v>
      </c>
      <c r="L22" s="2" t="s">
        <v>118</v>
      </c>
      <c r="M22" s="2" t="s">
        <v>42</v>
      </c>
      <c r="N22" s="2" t="s">
        <v>42</v>
      </c>
      <c r="O22" s="2" t="s">
        <v>119</v>
      </c>
      <c r="P22" t="s">
        <v>122</v>
      </c>
      <c r="Q22" t="s">
        <v>123</v>
      </c>
      <c r="R22" t="s">
        <v>124</v>
      </c>
      <c r="S22" t="s">
        <v>125</v>
      </c>
      <c r="T22" t="s">
        <v>51</v>
      </c>
      <c r="U22" t="s">
        <v>126</v>
      </c>
      <c r="V22" t="s">
        <v>53</v>
      </c>
      <c r="W22" t="b">
        <v>1</v>
      </c>
      <c r="X22" t="b">
        <v>1</v>
      </c>
      <c r="Y22">
        <v>1</v>
      </c>
      <c r="Z22">
        <v>1</v>
      </c>
      <c r="AA22" t="s">
        <v>56</v>
      </c>
      <c r="AB22" t="s">
        <v>57</v>
      </c>
      <c r="AC22">
        <v>0.75</v>
      </c>
      <c r="AD22" t="b">
        <v>1</v>
      </c>
      <c r="AE22" t="s">
        <v>23</v>
      </c>
      <c r="AF22">
        <v>20000</v>
      </c>
      <c r="AG22">
        <v>500</v>
      </c>
      <c r="AH22" t="s">
        <v>121</v>
      </c>
      <c r="AI22" t="b">
        <v>0</v>
      </c>
      <c r="AJ22" t="b">
        <v>0</v>
      </c>
      <c r="AK22" t="b">
        <v>1</v>
      </c>
      <c r="AL22" t="b">
        <v>0</v>
      </c>
    </row>
    <row r="23" spans="1:38" hidden="1" x14ac:dyDescent="0.25">
      <c r="A23">
        <v>22</v>
      </c>
      <c r="B23" t="s">
        <v>171</v>
      </c>
      <c r="C23" t="s">
        <v>117</v>
      </c>
      <c r="D23" s="2">
        <v>2000</v>
      </c>
      <c r="E23">
        <v>2.5000000000000001E-2</v>
      </c>
      <c r="F23" t="s">
        <v>42</v>
      </c>
      <c r="G23" t="s">
        <v>42</v>
      </c>
      <c r="H23" t="s">
        <v>43</v>
      </c>
      <c r="I23" s="2" t="s">
        <v>44</v>
      </c>
      <c r="J23">
        <v>5</v>
      </c>
      <c r="K23">
        <v>2</v>
      </c>
      <c r="L23" s="2" t="s">
        <v>118</v>
      </c>
      <c r="M23" s="2" t="s">
        <v>42</v>
      </c>
      <c r="N23" s="2" t="s">
        <v>42</v>
      </c>
      <c r="O23" s="2" t="s">
        <v>119</v>
      </c>
      <c r="P23" t="s">
        <v>122</v>
      </c>
      <c r="Q23" t="s">
        <v>123</v>
      </c>
      <c r="R23" t="s">
        <v>124</v>
      </c>
      <c r="S23" t="s">
        <v>125</v>
      </c>
      <c r="T23" t="s">
        <v>51</v>
      </c>
      <c r="U23" t="s">
        <v>126</v>
      </c>
      <c r="V23" t="s">
        <v>53</v>
      </c>
      <c r="W23" t="b">
        <v>1</v>
      </c>
      <c r="X23" t="b">
        <v>1</v>
      </c>
      <c r="Y23">
        <v>1</v>
      </c>
      <c r="Z23">
        <v>1</v>
      </c>
      <c r="AA23" t="s">
        <v>56</v>
      </c>
      <c r="AB23" t="s">
        <v>57</v>
      </c>
      <c r="AC23">
        <v>0.5</v>
      </c>
      <c r="AD23" t="b">
        <v>1</v>
      </c>
      <c r="AE23" t="s">
        <v>23</v>
      </c>
      <c r="AF23">
        <v>20000</v>
      </c>
      <c r="AG23">
        <v>500</v>
      </c>
      <c r="AH23" t="s">
        <v>121</v>
      </c>
      <c r="AI23" t="b">
        <v>0</v>
      </c>
      <c r="AJ23" t="b">
        <v>0</v>
      </c>
      <c r="AK23" t="b">
        <v>1</v>
      </c>
      <c r="AL23" t="b">
        <v>0</v>
      </c>
    </row>
    <row r="24" spans="1:38" hidden="1" x14ac:dyDescent="0.25">
      <c r="A24">
        <v>23</v>
      </c>
      <c r="B24" t="s">
        <v>172</v>
      </c>
      <c r="C24" t="s">
        <v>41</v>
      </c>
      <c r="D24" s="2">
        <v>2000</v>
      </c>
      <c r="E24">
        <v>2.5000000000000001E-2</v>
      </c>
      <c r="F24" t="s">
        <v>42</v>
      </c>
      <c r="G24" t="s">
        <v>42</v>
      </c>
      <c r="H24" t="s">
        <v>43</v>
      </c>
      <c r="I24" s="2" t="s">
        <v>44</v>
      </c>
      <c r="J24">
        <v>5</v>
      </c>
      <c r="K24">
        <v>2</v>
      </c>
      <c r="L24" s="2" t="s">
        <v>118</v>
      </c>
      <c r="M24" s="2" t="s">
        <v>42</v>
      </c>
      <c r="N24" s="2" t="s">
        <v>42</v>
      </c>
      <c r="O24" s="2" t="s">
        <v>119</v>
      </c>
      <c r="P24" t="s">
        <v>122</v>
      </c>
      <c r="Q24" t="s">
        <v>123</v>
      </c>
      <c r="R24" t="s">
        <v>124</v>
      </c>
      <c r="S24" t="s">
        <v>125</v>
      </c>
      <c r="T24" t="s">
        <v>51</v>
      </c>
      <c r="U24" t="s">
        <v>126</v>
      </c>
      <c r="V24" t="s">
        <v>53</v>
      </c>
      <c r="W24" t="b">
        <v>1</v>
      </c>
      <c r="X24" t="b">
        <v>1</v>
      </c>
      <c r="Y24">
        <v>1</v>
      </c>
      <c r="Z24">
        <v>1</v>
      </c>
      <c r="AA24" t="s">
        <v>56</v>
      </c>
      <c r="AB24" t="s">
        <v>57</v>
      </c>
      <c r="AC24">
        <v>0.5</v>
      </c>
      <c r="AD24" t="b">
        <v>1</v>
      </c>
      <c r="AE24" t="s">
        <v>23</v>
      </c>
      <c r="AF24">
        <v>20000</v>
      </c>
      <c r="AG24">
        <v>500</v>
      </c>
      <c r="AH24" t="s">
        <v>121</v>
      </c>
      <c r="AI24" t="b">
        <v>0</v>
      </c>
      <c r="AJ24" t="b">
        <v>0</v>
      </c>
      <c r="AK24" t="b">
        <v>1</v>
      </c>
      <c r="AL24" t="b">
        <v>0</v>
      </c>
    </row>
    <row r="25" spans="1:38" hidden="1" x14ac:dyDescent="0.25">
      <c r="A25">
        <v>24</v>
      </c>
      <c r="B25" t="s">
        <v>173</v>
      </c>
      <c r="C25" t="s">
        <v>117</v>
      </c>
      <c r="D25" s="2">
        <v>2000</v>
      </c>
      <c r="E25">
        <v>2.5000000000000001E-2</v>
      </c>
      <c r="F25" t="s">
        <v>42</v>
      </c>
      <c r="G25" t="s">
        <v>42</v>
      </c>
      <c r="H25" t="s">
        <v>43</v>
      </c>
      <c r="I25" s="2" t="s">
        <v>44</v>
      </c>
      <c r="J25">
        <v>5</v>
      </c>
      <c r="K25">
        <v>2</v>
      </c>
      <c r="L25" s="2" t="s">
        <v>118</v>
      </c>
      <c r="M25" s="2" t="s">
        <v>42</v>
      </c>
      <c r="N25" s="2" t="s">
        <v>42</v>
      </c>
      <c r="O25" s="2" t="s">
        <v>119</v>
      </c>
      <c r="P25" t="s">
        <v>122</v>
      </c>
      <c r="Q25" t="s">
        <v>123</v>
      </c>
      <c r="R25" t="s">
        <v>124</v>
      </c>
      <c r="S25" t="s">
        <v>125</v>
      </c>
      <c r="T25" t="s">
        <v>51</v>
      </c>
      <c r="U25" t="s">
        <v>126</v>
      </c>
      <c r="V25" t="s">
        <v>53</v>
      </c>
      <c r="W25" t="b">
        <v>1</v>
      </c>
      <c r="X25" t="b">
        <v>1</v>
      </c>
      <c r="Y25">
        <v>1</v>
      </c>
      <c r="Z25">
        <v>1</v>
      </c>
      <c r="AA25" t="s">
        <v>56</v>
      </c>
      <c r="AB25" t="s">
        <v>57</v>
      </c>
      <c r="AC25">
        <v>0.25</v>
      </c>
      <c r="AD25" t="b">
        <v>1</v>
      </c>
      <c r="AE25" t="s">
        <v>23</v>
      </c>
      <c r="AF25">
        <v>20000</v>
      </c>
      <c r="AG25">
        <v>500</v>
      </c>
      <c r="AH25" t="s">
        <v>121</v>
      </c>
      <c r="AI25" t="b">
        <v>0</v>
      </c>
      <c r="AJ25" t="b">
        <v>0</v>
      </c>
      <c r="AK25" t="b">
        <v>1</v>
      </c>
      <c r="AL25" t="b">
        <v>0</v>
      </c>
    </row>
    <row r="26" spans="1:38" hidden="1" x14ac:dyDescent="0.25">
      <c r="A26">
        <v>25</v>
      </c>
      <c r="B26" t="s">
        <v>174</v>
      </c>
      <c r="C26" t="s">
        <v>41</v>
      </c>
      <c r="D26" s="2">
        <v>2000</v>
      </c>
      <c r="E26">
        <v>2.5000000000000001E-2</v>
      </c>
      <c r="F26" t="s">
        <v>42</v>
      </c>
      <c r="G26" t="s">
        <v>42</v>
      </c>
      <c r="H26" t="s">
        <v>43</v>
      </c>
      <c r="I26" s="2" t="s">
        <v>44</v>
      </c>
      <c r="J26">
        <v>5</v>
      </c>
      <c r="K26">
        <v>2</v>
      </c>
      <c r="L26" s="2" t="s">
        <v>118</v>
      </c>
      <c r="M26" s="2" t="s">
        <v>42</v>
      </c>
      <c r="N26" s="2" t="s">
        <v>42</v>
      </c>
      <c r="O26" s="2" t="s">
        <v>119</v>
      </c>
      <c r="P26" t="s">
        <v>122</v>
      </c>
      <c r="Q26" t="s">
        <v>123</v>
      </c>
      <c r="R26" t="s">
        <v>124</v>
      </c>
      <c r="S26" t="s">
        <v>125</v>
      </c>
      <c r="T26" t="s">
        <v>51</v>
      </c>
      <c r="U26" t="s">
        <v>126</v>
      </c>
      <c r="V26" t="s">
        <v>53</v>
      </c>
      <c r="W26" t="b">
        <v>1</v>
      </c>
      <c r="X26" t="b">
        <v>1</v>
      </c>
      <c r="Y26">
        <v>1</v>
      </c>
      <c r="Z26">
        <v>1</v>
      </c>
      <c r="AA26" t="s">
        <v>56</v>
      </c>
      <c r="AB26" t="s">
        <v>57</v>
      </c>
      <c r="AC26">
        <v>0.25</v>
      </c>
      <c r="AD26" t="b">
        <v>1</v>
      </c>
      <c r="AE26" t="s">
        <v>23</v>
      </c>
      <c r="AF26">
        <v>20000</v>
      </c>
      <c r="AG26">
        <v>500</v>
      </c>
      <c r="AH26" t="s">
        <v>121</v>
      </c>
      <c r="AI26" t="b">
        <v>0</v>
      </c>
      <c r="AJ26" t="b">
        <v>0</v>
      </c>
      <c r="AK26" t="b">
        <v>1</v>
      </c>
      <c r="AL26" t="b">
        <v>0</v>
      </c>
    </row>
    <row r="27" spans="1:38" hidden="1" x14ac:dyDescent="0.25">
      <c r="A27">
        <v>26</v>
      </c>
      <c r="B27" t="s">
        <v>175</v>
      </c>
      <c r="C27" t="s">
        <v>117</v>
      </c>
      <c r="D27" s="2">
        <v>2000</v>
      </c>
      <c r="E27">
        <v>2.5000000000000001E-2</v>
      </c>
      <c r="F27" t="s">
        <v>42</v>
      </c>
      <c r="G27" t="s">
        <v>42</v>
      </c>
      <c r="H27" t="s">
        <v>43</v>
      </c>
      <c r="I27" s="2" t="s">
        <v>44</v>
      </c>
      <c r="J27">
        <v>5</v>
      </c>
      <c r="K27">
        <v>2</v>
      </c>
      <c r="L27" s="2" t="s">
        <v>118</v>
      </c>
      <c r="M27" s="2" t="s">
        <v>42</v>
      </c>
      <c r="N27" s="2" t="s">
        <v>42</v>
      </c>
      <c r="O27" s="2" t="s">
        <v>119</v>
      </c>
      <c r="P27" t="s">
        <v>122</v>
      </c>
      <c r="Q27" t="s">
        <v>123</v>
      </c>
      <c r="R27" t="s">
        <v>124</v>
      </c>
      <c r="S27" t="s">
        <v>125</v>
      </c>
      <c r="T27" t="s">
        <v>51</v>
      </c>
      <c r="U27" t="s">
        <v>126</v>
      </c>
      <c r="V27" t="s">
        <v>53</v>
      </c>
      <c r="W27" t="b">
        <v>1</v>
      </c>
      <c r="X27" t="b">
        <v>1</v>
      </c>
      <c r="Y27">
        <v>1</v>
      </c>
      <c r="Z27">
        <v>1</v>
      </c>
      <c r="AA27" t="s">
        <v>56</v>
      </c>
      <c r="AB27" t="s">
        <v>60</v>
      </c>
      <c r="AC27">
        <v>1</v>
      </c>
      <c r="AD27" t="b">
        <v>1</v>
      </c>
      <c r="AE27" t="s">
        <v>23</v>
      </c>
      <c r="AF27">
        <v>20000</v>
      </c>
      <c r="AG27">
        <v>500</v>
      </c>
      <c r="AH27" t="s">
        <v>121</v>
      </c>
      <c r="AI27" t="b">
        <v>0</v>
      </c>
      <c r="AJ27" t="b">
        <v>0</v>
      </c>
      <c r="AK27" t="b">
        <v>1</v>
      </c>
      <c r="AL27" t="b">
        <v>0</v>
      </c>
    </row>
    <row r="28" spans="1:38" hidden="1" x14ac:dyDescent="0.25">
      <c r="A28">
        <v>27</v>
      </c>
      <c r="B28" t="s">
        <v>176</v>
      </c>
      <c r="C28" t="s">
        <v>41</v>
      </c>
      <c r="D28" s="2">
        <v>2000</v>
      </c>
      <c r="E28">
        <v>2.5000000000000001E-2</v>
      </c>
      <c r="F28" t="s">
        <v>42</v>
      </c>
      <c r="G28" t="s">
        <v>42</v>
      </c>
      <c r="H28" t="s">
        <v>43</v>
      </c>
      <c r="I28" s="2" t="s">
        <v>44</v>
      </c>
      <c r="J28">
        <v>5</v>
      </c>
      <c r="K28">
        <v>2</v>
      </c>
      <c r="L28" s="2" t="s">
        <v>118</v>
      </c>
      <c r="M28" s="2" t="s">
        <v>42</v>
      </c>
      <c r="N28" s="2" t="s">
        <v>42</v>
      </c>
      <c r="O28" s="2" t="s">
        <v>119</v>
      </c>
      <c r="P28" t="s">
        <v>122</v>
      </c>
      <c r="Q28" t="s">
        <v>123</v>
      </c>
      <c r="R28" t="s">
        <v>124</v>
      </c>
      <c r="S28" t="s">
        <v>125</v>
      </c>
      <c r="T28" t="s">
        <v>51</v>
      </c>
      <c r="U28" t="s">
        <v>126</v>
      </c>
      <c r="V28" t="s">
        <v>53</v>
      </c>
      <c r="W28" t="b">
        <v>1</v>
      </c>
      <c r="X28" t="b">
        <v>1</v>
      </c>
      <c r="Y28">
        <v>1</v>
      </c>
      <c r="Z28">
        <v>1</v>
      </c>
      <c r="AA28" t="s">
        <v>56</v>
      </c>
      <c r="AB28" t="s">
        <v>60</v>
      </c>
      <c r="AC28">
        <v>1</v>
      </c>
      <c r="AD28" t="b">
        <v>1</v>
      </c>
      <c r="AE28" t="s">
        <v>23</v>
      </c>
      <c r="AF28">
        <v>20000</v>
      </c>
      <c r="AG28">
        <v>500</v>
      </c>
      <c r="AH28" t="s">
        <v>121</v>
      </c>
      <c r="AI28" t="b">
        <v>0</v>
      </c>
      <c r="AJ28" t="b">
        <v>0</v>
      </c>
      <c r="AK28" t="b">
        <v>1</v>
      </c>
      <c r="AL28" t="b">
        <v>0</v>
      </c>
    </row>
    <row r="29" spans="1:38" hidden="1" x14ac:dyDescent="0.25">
      <c r="A29">
        <v>28</v>
      </c>
      <c r="B29" t="s">
        <v>179</v>
      </c>
      <c r="C29" t="s">
        <v>117</v>
      </c>
      <c r="D29" s="2">
        <v>2000</v>
      </c>
      <c r="E29" s="2">
        <v>2.5000000000000001E-2</v>
      </c>
      <c r="F29" s="2" t="s">
        <v>42</v>
      </c>
      <c r="G29" s="2" t="s">
        <v>42</v>
      </c>
      <c r="H29" s="2" t="s">
        <v>43</v>
      </c>
      <c r="I29" s="2" t="s">
        <v>44</v>
      </c>
      <c r="J29" s="2">
        <v>5</v>
      </c>
      <c r="K29" s="2">
        <v>2</v>
      </c>
      <c r="L29" s="2" t="s">
        <v>118</v>
      </c>
      <c r="M29" s="2" t="s">
        <v>42</v>
      </c>
      <c r="N29" s="2" t="s">
        <v>42</v>
      </c>
      <c r="O29" s="2" t="s">
        <v>127</v>
      </c>
      <c r="P29" t="s">
        <v>122</v>
      </c>
      <c r="Q29" s="2" t="s">
        <v>120</v>
      </c>
      <c r="R29" t="s">
        <v>124</v>
      </c>
      <c r="S29" t="s">
        <v>125</v>
      </c>
      <c r="T29" s="2" t="s">
        <v>51</v>
      </c>
      <c r="U29" t="s">
        <v>52</v>
      </c>
      <c r="V29" t="s">
        <v>53</v>
      </c>
      <c r="W29" t="b">
        <v>1</v>
      </c>
      <c r="X29" t="b">
        <v>0</v>
      </c>
      <c r="Y29" t="s">
        <v>42</v>
      </c>
      <c r="Z29" t="s">
        <v>42</v>
      </c>
      <c r="AA29" t="s">
        <v>42</v>
      </c>
      <c r="AB29" t="s">
        <v>42</v>
      </c>
      <c r="AC29" t="s">
        <v>42</v>
      </c>
      <c r="AD29" t="s">
        <v>42</v>
      </c>
      <c r="AE29" t="s">
        <v>54</v>
      </c>
      <c r="AF29">
        <v>20000</v>
      </c>
      <c r="AG29">
        <v>500</v>
      </c>
      <c r="AH29" t="s">
        <v>121</v>
      </c>
      <c r="AI29" t="b">
        <v>0</v>
      </c>
      <c r="AJ29" t="b">
        <v>0</v>
      </c>
      <c r="AK29" t="b">
        <v>1</v>
      </c>
      <c r="AL29" t="b">
        <v>0</v>
      </c>
    </row>
    <row r="30" spans="1:38" hidden="1" x14ac:dyDescent="0.25">
      <c r="A30">
        <v>29</v>
      </c>
      <c r="B30" t="s">
        <v>180</v>
      </c>
      <c r="C30" t="s">
        <v>41</v>
      </c>
      <c r="D30" s="2">
        <v>2000</v>
      </c>
      <c r="E30" s="2">
        <v>2.5000000000000001E-2</v>
      </c>
      <c r="F30" s="2" t="s">
        <v>42</v>
      </c>
      <c r="G30" s="2" t="s">
        <v>42</v>
      </c>
      <c r="H30" s="2" t="s">
        <v>43</v>
      </c>
      <c r="I30" s="2" t="s">
        <v>44</v>
      </c>
      <c r="J30" s="2">
        <v>5</v>
      </c>
      <c r="K30" s="2">
        <v>2</v>
      </c>
      <c r="L30" s="2" t="s">
        <v>118</v>
      </c>
      <c r="M30" s="2" t="s">
        <v>42</v>
      </c>
      <c r="N30" s="2" t="s">
        <v>42</v>
      </c>
      <c r="O30" s="2" t="s">
        <v>127</v>
      </c>
      <c r="P30" t="s">
        <v>122</v>
      </c>
      <c r="Q30" s="2" t="s">
        <v>120</v>
      </c>
      <c r="R30" t="s">
        <v>124</v>
      </c>
      <c r="S30" t="s">
        <v>125</v>
      </c>
      <c r="T30" s="2" t="s">
        <v>51</v>
      </c>
      <c r="U30" t="s">
        <v>52</v>
      </c>
      <c r="V30" t="s">
        <v>53</v>
      </c>
      <c r="W30" t="b">
        <v>1</v>
      </c>
      <c r="X30" t="b">
        <v>0</v>
      </c>
      <c r="Y30" t="s">
        <v>42</v>
      </c>
      <c r="Z30" t="s">
        <v>42</v>
      </c>
      <c r="AA30" t="s">
        <v>42</v>
      </c>
      <c r="AB30" t="s">
        <v>42</v>
      </c>
      <c r="AC30" t="s">
        <v>42</v>
      </c>
      <c r="AD30" t="s">
        <v>42</v>
      </c>
      <c r="AE30" t="s">
        <v>54</v>
      </c>
      <c r="AF30">
        <v>20000</v>
      </c>
      <c r="AG30">
        <v>500</v>
      </c>
      <c r="AH30" t="s">
        <v>121</v>
      </c>
      <c r="AI30" t="b">
        <v>0</v>
      </c>
      <c r="AJ30" t="b">
        <v>0</v>
      </c>
      <c r="AK30" t="b">
        <v>1</v>
      </c>
      <c r="AL30" t="b">
        <v>0</v>
      </c>
    </row>
    <row r="31" spans="1:38" hidden="1" x14ac:dyDescent="0.25">
      <c r="A31">
        <v>30</v>
      </c>
      <c r="B31" t="s">
        <v>133</v>
      </c>
      <c r="C31" t="s">
        <v>117</v>
      </c>
      <c r="D31" s="2">
        <v>2000</v>
      </c>
      <c r="E31">
        <v>2.5000000000000001E-2</v>
      </c>
      <c r="F31" t="s">
        <v>42</v>
      </c>
      <c r="G31" t="s">
        <v>42</v>
      </c>
      <c r="H31" t="s">
        <v>43</v>
      </c>
      <c r="I31" s="2" t="s">
        <v>44</v>
      </c>
      <c r="J31">
        <v>5</v>
      </c>
      <c r="K31">
        <v>2</v>
      </c>
      <c r="L31" s="2" t="s">
        <v>118</v>
      </c>
      <c r="M31" s="2" t="s">
        <v>42</v>
      </c>
      <c r="N31" s="2" t="s">
        <v>42</v>
      </c>
      <c r="O31" s="2" t="s">
        <v>127</v>
      </c>
      <c r="P31" t="s">
        <v>122</v>
      </c>
      <c r="Q31" t="s">
        <v>123</v>
      </c>
      <c r="R31" t="s">
        <v>124</v>
      </c>
      <c r="S31" t="s">
        <v>125</v>
      </c>
      <c r="T31" t="s">
        <v>51</v>
      </c>
      <c r="U31" t="s">
        <v>126</v>
      </c>
      <c r="V31" t="s">
        <v>53</v>
      </c>
      <c r="W31" t="b">
        <v>1</v>
      </c>
      <c r="X31" t="b">
        <v>1</v>
      </c>
      <c r="Y31">
        <v>1</v>
      </c>
      <c r="Z31">
        <v>1</v>
      </c>
      <c r="AA31" t="s">
        <v>56</v>
      </c>
      <c r="AB31" t="s">
        <v>57</v>
      </c>
      <c r="AC31">
        <v>0.75</v>
      </c>
      <c r="AD31" t="b">
        <v>1</v>
      </c>
      <c r="AE31" t="s">
        <v>23</v>
      </c>
      <c r="AF31">
        <v>20000</v>
      </c>
      <c r="AG31">
        <v>500</v>
      </c>
      <c r="AH31" t="s">
        <v>121</v>
      </c>
      <c r="AI31" t="b">
        <v>0</v>
      </c>
      <c r="AJ31" t="b">
        <v>0</v>
      </c>
      <c r="AK31" t="b">
        <v>1</v>
      </c>
      <c r="AL31" t="b">
        <v>0</v>
      </c>
    </row>
    <row r="32" spans="1:38" hidden="1" x14ac:dyDescent="0.25">
      <c r="A32">
        <v>31</v>
      </c>
      <c r="B32" t="s">
        <v>141</v>
      </c>
      <c r="C32" t="s">
        <v>41</v>
      </c>
      <c r="D32" s="2">
        <v>2000</v>
      </c>
      <c r="E32">
        <v>2.5000000000000001E-2</v>
      </c>
      <c r="F32" t="s">
        <v>42</v>
      </c>
      <c r="G32" t="s">
        <v>42</v>
      </c>
      <c r="H32" t="s">
        <v>43</v>
      </c>
      <c r="I32" s="2" t="s">
        <v>44</v>
      </c>
      <c r="J32">
        <v>5</v>
      </c>
      <c r="K32">
        <v>2</v>
      </c>
      <c r="L32" s="2" t="s">
        <v>118</v>
      </c>
      <c r="M32" s="2" t="s">
        <v>42</v>
      </c>
      <c r="N32" s="2" t="s">
        <v>42</v>
      </c>
      <c r="O32" s="2" t="s">
        <v>127</v>
      </c>
      <c r="P32" t="s">
        <v>122</v>
      </c>
      <c r="Q32" t="s">
        <v>123</v>
      </c>
      <c r="R32" t="s">
        <v>124</v>
      </c>
      <c r="S32" t="s">
        <v>125</v>
      </c>
      <c r="T32" t="s">
        <v>51</v>
      </c>
      <c r="U32" t="s">
        <v>126</v>
      </c>
      <c r="V32" t="s">
        <v>53</v>
      </c>
      <c r="W32" t="b">
        <v>1</v>
      </c>
      <c r="X32" t="b">
        <v>1</v>
      </c>
      <c r="Y32">
        <v>1</v>
      </c>
      <c r="Z32">
        <v>1</v>
      </c>
      <c r="AA32" t="s">
        <v>56</v>
      </c>
      <c r="AB32" t="s">
        <v>57</v>
      </c>
      <c r="AC32">
        <v>0.75</v>
      </c>
      <c r="AD32" t="b">
        <v>1</v>
      </c>
      <c r="AE32" t="s">
        <v>23</v>
      </c>
      <c r="AF32">
        <v>20000</v>
      </c>
      <c r="AG32">
        <v>500</v>
      </c>
      <c r="AH32" t="s">
        <v>121</v>
      </c>
      <c r="AI32" t="b">
        <v>0</v>
      </c>
      <c r="AJ32" t="b">
        <v>0</v>
      </c>
      <c r="AK32" t="b">
        <v>1</v>
      </c>
      <c r="AL32" t="b">
        <v>0</v>
      </c>
    </row>
    <row r="33" spans="1:38" hidden="1" x14ac:dyDescent="0.25">
      <c r="A33">
        <v>32</v>
      </c>
      <c r="B33" t="s">
        <v>134</v>
      </c>
      <c r="C33" t="s">
        <v>117</v>
      </c>
      <c r="D33" s="2">
        <v>2000</v>
      </c>
      <c r="E33">
        <v>2.5000000000000001E-2</v>
      </c>
      <c r="F33" t="s">
        <v>42</v>
      </c>
      <c r="G33" t="s">
        <v>42</v>
      </c>
      <c r="H33" t="s">
        <v>43</v>
      </c>
      <c r="I33" s="2" t="s">
        <v>44</v>
      </c>
      <c r="J33">
        <v>5</v>
      </c>
      <c r="K33">
        <v>2</v>
      </c>
      <c r="L33" s="2" t="s">
        <v>118</v>
      </c>
      <c r="M33" s="2" t="s">
        <v>42</v>
      </c>
      <c r="N33" s="2" t="s">
        <v>42</v>
      </c>
      <c r="O33" s="2" t="s">
        <v>127</v>
      </c>
      <c r="P33" t="s">
        <v>122</v>
      </c>
      <c r="Q33" t="s">
        <v>123</v>
      </c>
      <c r="R33" t="s">
        <v>124</v>
      </c>
      <c r="S33" t="s">
        <v>125</v>
      </c>
      <c r="T33" t="s">
        <v>51</v>
      </c>
      <c r="U33" t="s">
        <v>126</v>
      </c>
      <c r="V33" t="s">
        <v>53</v>
      </c>
      <c r="W33" t="b">
        <v>1</v>
      </c>
      <c r="X33" t="b">
        <v>1</v>
      </c>
      <c r="Y33">
        <v>1</v>
      </c>
      <c r="Z33">
        <v>1</v>
      </c>
      <c r="AA33" t="s">
        <v>56</v>
      </c>
      <c r="AB33" t="s">
        <v>57</v>
      </c>
      <c r="AC33">
        <v>0.5</v>
      </c>
      <c r="AD33" t="b">
        <v>1</v>
      </c>
      <c r="AE33" t="s">
        <v>23</v>
      </c>
      <c r="AF33">
        <v>20000</v>
      </c>
      <c r="AG33">
        <v>500</v>
      </c>
      <c r="AH33" t="s">
        <v>121</v>
      </c>
      <c r="AI33" t="b">
        <v>0</v>
      </c>
      <c r="AJ33" t="b">
        <v>0</v>
      </c>
      <c r="AK33" t="b">
        <v>1</v>
      </c>
      <c r="AL33" t="b">
        <v>0</v>
      </c>
    </row>
    <row r="34" spans="1:38" hidden="1" x14ac:dyDescent="0.25">
      <c r="A34">
        <v>33</v>
      </c>
      <c r="B34" t="s">
        <v>142</v>
      </c>
      <c r="C34" t="s">
        <v>41</v>
      </c>
      <c r="D34" s="2">
        <v>2000</v>
      </c>
      <c r="E34">
        <v>2.5000000000000001E-2</v>
      </c>
      <c r="F34" t="s">
        <v>42</v>
      </c>
      <c r="G34" t="s">
        <v>42</v>
      </c>
      <c r="H34" t="s">
        <v>43</v>
      </c>
      <c r="I34" s="2" t="s">
        <v>44</v>
      </c>
      <c r="J34">
        <v>5</v>
      </c>
      <c r="K34">
        <v>2</v>
      </c>
      <c r="L34" s="2" t="s">
        <v>118</v>
      </c>
      <c r="M34" s="2" t="s">
        <v>42</v>
      </c>
      <c r="N34" s="2" t="s">
        <v>42</v>
      </c>
      <c r="O34" s="2" t="s">
        <v>127</v>
      </c>
      <c r="P34" t="s">
        <v>122</v>
      </c>
      <c r="Q34" t="s">
        <v>123</v>
      </c>
      <c r="R34" t="s">
        <v>124</v>
      </c>
      <c r="S34" t="s">
        <v>125</v>
      </c>
      <c r="T34" t="s">
        <v>51</v>
      </c>
      <c r="U34" t="s">
        <v>126</v>
      </c>
      <c r="V34" t="s">
        <v>53</v>
      </c>
      <c r="W34" t="b">
        <v>1</v>
      </c>
      <c r="X34" t="b">
        <v>1</v>
      </c>
      <c r="Y34">
        <v>1</v>
      </c>
      <c r="Z34">
        <v>1</v>
      </c>
      <c r="AA34" t="s">
        <v>56</v>
      </c>
      <c r="AB34" t="s">
        <v>57</v>
      </c>
      <c r="AC34">
        <v>0.5</v>
      </c>
      <c r="AD34" t="b">
        <v>1</v>
      </c>
      <c r="AE34" t="s">
        <v>23</v>
      </c>
      <c r="AF34">
        <v>20000</v>
      </c>
      <c r="AG34">
        <v>500</v>
      </c>
      <c r="AH34" t="s">
        <v>121</v>
      </c>
      <c r="AI34" t="b">
        <v>0</v>
      </c>
      <c r="AJ34" t="b">
        <v>0</v>
      </c>
      <c r="AK34" t="b">
        <v>1</v>
      </c>
      <c r="AL34" t="b">
        <v>0</v>
      </c>
    </row>
    <row r="35" spans="1:38" hidden="1" x14ac:dyDescent="0.25">
      <c r="A35">
        <v>34</v>
      </c>
      <c r="B35" t="s">
        <v>135</v>
      </c>
      <c r="C35" t="s">
        <v>117</v>
      </c>
      <c r="D35" s="2">
        <v>2000</v>
      </c>
      <c r="E35">
        <v>2.5000000000000001E-2</v>
      </c>
      <c r="F35" t="s">
        <v>42</v>
      </c>
      <c r="G35" t="s">
        <v>42</v>
      </c>
      <c r="H35" t="s">
        <v>43</v>
      </c>
      <c r="I35" s="2" t="s">
        <v>44</v>
      </c>
      <c r="J35">
        <v>5</v>
      </c>
      <c r="K35">
        <v>2</v>
      </c>
      <c r="L35" s="2" t="s">
        <v>118</v>
      </c>
      <c r="M35" s="2" t="s">
        <v>42</v>
      </c>
      <c r="N35" s="2" t="s">
        <v>42</v>
      </c>
      <c r="O35" s="2" t="s">
        <v>127</v>
      </c>
      <c r="P35" t="s">
        <v>122</v>
      </c>
      <c r="Q35" t="s">
        <v>123</v>
      </c>
      <c r="R35" t="s">
        <v>124</v>
      </c>
      <c r="S35" t="s">
        <v>125</v>
      </c>
      <c r="T35" t="s">
        <v>51</v>
      </c>
      <c r="U35" t="s">
        <v>126</v>
      </c>
      <c r="V35" t="s">
        <v>53</v>
      </c>
      <c r="W35" t="b">
        <v>1</v>
      </c>
      <c r="X35" t="b">
        <v>1</v>
      </c>
      <c r="Y35">
        <v>1</v>
      </c>
      <c r="Z35">
        <v>1</v>
      </c>
      <c r="AA35" t="s">
        <v>56</v>
      </c>
      <c r="AB35" t="s">
        <v>57</v>
      </c>
      <c r="AC35">
        <v>0.25</v>
      </c>
      <c r="AD35" t="b">
        <v>1</v>
      </c>
      <c r="AE35" t="s">
        <v>23</v>
      </c>
      <c r="AF35">
        <v>20000</v>
      </c>
      <c r="AG35">
        <v>500</v>
      </c>
      <c r="AH35" t="s">
        <v>121</v>
      </c>
      <c r="AI35" t="b">
        <v>0</v>
      </c>
      <c r="AJ35" t="b">
        <v>0</v>
      </c>
      <c r="AK35" t="b">
        <v>1</v>
      </c>
      <c r="AL35" t="b">
        <v>0</v>
      </c>
    </row>
    <row r="36" spans="1:38" hidden="1" x14ac:dyDescent="0.25">
      <c r="A36">
        <v>35</v>
      </c>
      <c r="B36" t="s">
        <v>143</v>
      </c>
      <c r="C36" t="s">
        <v>41</v>
      </c>
      <c r="D36" s="2">
        <v>2000</v>
      </c>
      <c r="E36">
        <v>2.5000000000000001E-2</v>
      </c>
      <c r="F36" t="s">
        <v>42</v>
      </c>
      <c r="G36" t="s">
        <v>42</v>
      </c>
      <c r="H36" t="s">
        <v>43</v>
      </c>
      <c r="I36" s="2" t="s">
        <v>44</v>
      </c>
      <c r="J36">
        <v>5</v>
      </c>
      <c r="K36">
        <v>2</v>
      </c>
      <c r="L36" s="2" t="s">
        <v>118</v>
      </c>
      <c r="M36" s="2" t="s">
        <v>42</v>
      </c>
      <c r="N36" s="2" t="s">
        <v>42</v>
      </c>
      <c r="O36" s="2" t="s">
        <v>127</v>
      </c>
      <c r="P36" t="s">
        <v>122</v>
      </c>
      <c r="Q36" t="s">
        <v>123</v>
      </c>
      <c r="R36" t="s">
        <v>124</v>
      </c>
      <c r="S36" t="s">
        <v>125</v>
      </c>
      <c r="T36" t="s">
        <v>51</v>
      </c>
      <c r="U36" t="s">
        <v>126</v>
      </c>
      <c r="V36" t="s">
        <v>53</v>
      </c>
      <c r="W36" t="b">
        <v>1</v>
      </c>
      <c r="X36" t="b">
        <v>1</v>
      </c>
      <c r="Y36">
        <v>1</v>
      </c>
      <c r="Z36">
        <v>1</v>
      </c>
      <c r="AA36" t="s">
        <v>56</v>
      </c>
      <c r="AB36" t="s">
        <v>57</v>
      </c>
      <c r="AC36">
        <v>0.25</v>
      </c>
      <c r="AD36" t="b">
        <v>1</v>
      </c>
      <c r="AE36" t="s">
        <v>23</v>
      </c>
      <c r="AF36">
        <v>20000</v>
      </c>
      <c r="AG36">
        <v>500</v>
      </c>
      <c r="AH36" t="s">
        <v>121</v>
      </c>
      <c r="AI36" t="b">
        <v>0</v>
      </c>
      <c r="AJ36" t="b">
        <v>0</v>
      </c>
      <c r="AK36" t="b">
        <v>1</v>
      </c>
      <c r="AL36" t="b">
        <v>0</v>
      </c>
    </row>
    <row r="37" spans="1:38" hidden="1" x14ac:dyDescent="0.25">
      <c r="A37">
        <v>36</v>
      </c>
      <c r="B37" t="s">
        <v>136</v>
      </c>
      <c r="C37" t="s">
        <v>117</v>
      </c>
      <c r="D37" s="2">
        <v>2000</v>
      </c>
      <c r="E37">
        <v>2.5000000000000001E-2</v>
      </c>
      <c r="F37" t="s">
        <v>42</v>
      </c>
      <c r="G37" t="s">
        <v>42</v>
      </c>
      <c r="H37" t="s">
        <v>43</v>
      </c>
      <c r="I37" s="2" t="s">
        <v>44</v>
      </c>
      <c r="J37">
        <v>5</v>
      </c>
      <c r="K37">
        <v>2</v>
      </c>
      <c r="L37" s="2" t="s">
        <v>118</v>
      </c>
      <c r="M37" s="2" t="s">
        <v>42</v>
      </c>
      <c r="N37" s="2" t="s">
        <v>42</v>
      </c>
      <c r="O37" s="2" t="s">
        <v>127</v>
      </c>
      <c r="P37" t="s">
        <v>122</v>
      </c>
      <c r="Q37" t="s">
        <v>123</v>
      </c>
      <c r="R37" t="s">
        <v>124</v>
      </c>
      <c r="S37" t="s">
        <v>125</v>
      </c>
      <c r="T37" t="s">
        <v>51</v>
      </c>
      <c r="U37" t="s">
        <v>126</v>
      </c>
      <c r="V37" t="s">
        <v>53</v>
      </c>
      <c r="W37" t="b">
        <v>1</v>
      </c>
      <c r="X37" t="b">
        <v>1</v>
      </c>
      <c r="Y37">
        <v>1</v>
      </c>
      <c r="Z37">
        <v>1</v>
      </c>
      <c r="AA37" t="s">
        <v>56</v>
      </c>
      <c r="AB37" t="s">
        <v>60</v>
      </c>
      <c r="AC37">
        <v>1</v>
      </c>
      <c r="AD37" t="b">
        <v>1</v>
      </c>
      <c r="AE37" t="s">
        <v>23</v>
      </c>
      <c r="AF37">
        <v>20000</v>
      </c>
      <c r="AG37">
        <v>500</v>
      </c>
      <c r="AH37" t="s">
        <v>121</v>
      </c>
      <c r="AI37" t="b">
        <v>0</v>
      </c>
      <c r="AJ37" t="b">
        <v>0</v>
      </c>
      <c r="AK37" t="b">
        <v>1</v>
      </c>
      <c r="AL37" t="b">
        <v>0</v>
      </c>
    </row>
    <row r="38" spans="1:38" hidden="1" x14ac:dyDescent="0.25">
      <c r="A38">
        <v>37</v>
      </c>
      <c r="B38" t="s">
        <v>144</v>
      </c>
      <c r="C38" t="s">
        <v>41</v>
      </c>
      <c r="D38" s="2">
        <v>2000</v>
      </c>
      <c r="E38">
        <v>2.5000000000000001E-2</v>
      </c>
      <c r="F38" t="s">
        <v>42</v>
      </c>
      <c r="G38" t="s">
        <v>42</v>
      </c>
      <c r="H38" t="s">
        <v>43</v>
      </c>
      <c r="I38" s="2" t="s">
        <v>44</v>
      </c>
      <c r="J38">
        <v>5</v>
      </c>
      <c r="K38">
        <v>2</v>
      </c>
      <c r="L38" s="2" t="s">
        <v>118</v>
      </c>
      <c r="M38" s="2" t="s">
        <v>42</v>
      </c>
      <c r="N38" s="2" t="s">
        <v>42</v>
      </c>
      <c r="O38" s="2" t="s">
        <v>127</v>
      </c>
      <c r="P38" t="s">
        <v>122</v>
      </c>
      <c r="Q38" t="s">
        <v>123</v>
      </c>
      <c r="R38" t="s">
        <v>124</v>
      </c>
      <c r="S38" t="s">
        <v>125</v>
      </c>
      <c r="T38" t="s">
        <v>51</v>
      </c>
      <c r="U38" t="s">
        <v>126</v>
      </c>
      <c r="V38" t="s">
        <v>53</v>
      </c>
      <c r="W38" t="b">
        <v>1</v>
      </c>
      <c r="X38" t="b">
        <v>1</v>
      </c>
      <c r="Y38">
        <v>1</v>
      </c>
      <c r="Z38">
        <v>1</v>
      </c>
      <c r="AA38" t="s">
        <v>56</v>
      </c>
      <c r="AB38" t="s">
        <v>60</v>
      </c>
      <c r="AC38">
        <v>1</v>
      </c>
      <c r="AD38" t="b">
        <v>1</v>
      </c>
      <c r="AE38" t="s">
        <v>23</v>
      </c>
      <c r="AF38">
        <v>20000</v>
      </c>
      <c r="AG38">
        <v>500</v>
      </c>
      <c r="AH38" t="s">
        <v>121</v>
      </c>
      <c r="AI38" t="b">
        <v>0</v>
      </c>
      <c r="AJ38" t="b">
        <v>0</v>
      </c>
      <c r="AK38" t="b">
        <v>1</v>
      </c>
      <c r="AL38" t="b">
        <v>0</v>
      </c>
    </row>
    <row r="39" spans="1:38" hidden="1" x14ac:dyDescent="0.25">
      <c r="A39">
        <v>38</v>
      </c>
      <c r="B39" t="s">
        <v>177</v>
      </c>
      <c r="C39" t="s">
        <v>117</v>
      </c>
      <c r="D39" s="2">
        <v>2000</v>
      </c>
      <c r="E39" s="2">
        <v>2.5000000000000001E-2</v>
      </c>
      <c r="F39" s="2" t="s">
        <v>42</v>
      </c>
      <c r="G39" s="2" t="s">
        <v>42</v>
      </c>
      <c r="H39" s="2" t="s">
        <v>43</v>
      </c>
      <c r="I39" s="2" t="s">
        <v>44</v>
      </c>
      <c r="J39" s="2">
        <v>5</v>
      </c>
      <c r="K39" s="2">
        <v>2</v>
      </c>
      <c r="L39" s="2" t="s">
        <v>118</v>
      </c>
      <c r="M39" s="2" t="s">
        <v>42</v>
      </c>
      <c r="N39" s="2" t="s">
        <v>42</v>
      </c>
      <c r="O39" s="2" t="s">
        <v>128</v>
      </c>
      <c r="P39" t="s">
        <v>122</v>
      </c>
      <c r="Q39" s="2" t="s">
        <v>120</v>
      </c>
      <c r="R39" t="s">
        <v>124</v>
      </c>
      <c r="S39" t="s">
        <v>125</v>
      </c>
      <c r="T39" s="2" t="s">
        <v>51</v>
      </c>
      <c r="U39" t="s">
        <v>52</v>
      </c>
      <c r="V39" t="s">
        <v>53</v>
      </c>
      <c r="W39" t="b">
        <v>1</v>
      </c>
      <c r="X39" t="b">
        <v>0</v>
      </c>
      <c r="Y39" t="s">
        <v>42</v>
      </c>
      <c r="Z39" t="s">
        <v>42</v>
      </c>
      <c r="AA39" t="s">
        <v>42</v>
      </c>
      <c r="AB39" t="s">
        <v>42</v>
      </c>
      <c r="AC39" t="s">
        <v>42</v>
      </c>
      <c r="AD39" t="s">
        <v>42</v>
      </c>
      <c r="AE39" t="s">
        <v>54</v>
      </c>
      <c r="AF39">
        <v>20000</v>
      </c>
      <c r="AG39">
        <v>500</v>
      </c>
      <c r="AH39" t="s">
        <v>121</v>
      </c>
      <c r="AI39" t="b">
        <v>0</v>
      </c>
      <c r="AJ39" t="b">
        <v>0</v>
      </c>
      <c r="AK39" t="b">
        <v>1</v>
      </c>
      <c r="AL39" t="b">
        <v>0</v>
      </c>
    </row>
    <row r="40" spans="1:38" hidden="1" x14ac:dyDescent="0.25">
      <c r="A40">
        <v>39</v>
      </c>
      <c r="B40" t="s">
        <v>178</v>
      </c>
      <c r="C40" t="s">
        <v>41</v>
      </c>
      <c r="D40" s="2">
        <v>2000</v>
      </c>
      <c r="E40" s="2">
        <v>2.5000000000000001E-2</v>
      </c>
      <c r="F40" s="2" t="s">
        <v>42</v>
      </c>
      <c r="G40" s="2" t="s">
        <v>42</v>
      </c>
      <c r="H40" s="2" t="s">
        <v>43</v>
      </c>
      <c r="I40" s="2" t="s">
        <v>44</v>
      </c>
      <c r="J40" s="2">
        <v>5</v>
      </c>
      <c r="K40" s="2">
        <v>2</v>
      </c>
      <c r="L40" s="2" t="s">
        <v>118</v>
      </c>
      <c r="M40" s="2" t="s">
        <v>42</v>
      </c>
      <c r="N40" s="2" t="s">
        <v>42</v>
      </c>
      <c r="O40" s="2" t="s">
        <v>128</v>
      </c>
      <c r="P40" t="s">
        <v>122</v>
      </c>
      <c r="Q40" s="2" t="s">
        <v>120</v>
      </c>
      <c r="R40" t="s">
        <v>124</v>
      </c>
      <c r="S40" t="s">
        <v>125</v>
      </c>
      <c r="T40" s="2" t="s">
        <v>51</v>
      </c>
      <c r="U40" t="s">
        <v>52</v>
      </c>
      <c r="V40" t="s">
        <v>53</v>
      </c>
      <c r="W40" t="b">
        <v>1</v>
      </c>
      <c r="X40" t="b">
        <v>0</v>
      </c>
      <c r="Y40" t="s">
        <v>42</v>
      </c>
      <c r="Z40" t="s">
        <v>42</v>
      </c>
      <c r="AA40" t="s">
        <v>42</v>
      </c>
      <c r="AB40" t="s">
        <v>42</v>
      </c>
      <c r="AC40" t="s">
        <v>42</v>
      </c>
      <c r="AD40" t="s">
        <v>42</v>
      </c>
      <c r="AE40" t="s">
        <v>54</v>
      </c>
      <c r="AF40">
        <v>20000</v>
      </c>
      <c r="AG40">
        <v>500</v>
      </c>
      <c r="AH40" t="s">
        <v>121</v>
      </c>
      <c r="AI40" t="b">
        <v>0</v>
      </c>
      <c r="AJ40" t="b">
        <v>0</v>
      </c>
      <c r="AK40" t="b">
        <v>1</v>
      </c>
      <c r="AL40" t="b">
        <v>0</v>
      </c>
    </row>
    <row r="41" spans="1:38" hidden="1" x14ac:dyDescent="0.25">
      <c r="A41">
        <v>40</v>
      </c>
      <c r="B41" t="s">
        <v>161</v>
      </c>
      <c r="C41" t="s">
        <v>117</v>
      </c>
      <c r="D41" s="2">
        <v>2000</v>
      </c>
      <c r="E41">
        <v>2.5000000000000001E-2</v>
      </c>
      <c r="F41" t="s">
        <v>42</v>
      </c>
      <c r="G41" t="s">
        <v>42</v>
      </c>
      <c r="H41" t="s">
        <v>43</v>
      </c>
      <c r="I41" s="2" t="s">
        <v>44</v>
      </c>
      <c r="J41">
        <v>5</v>
      </c>
      <c r="K41">
        <v>2</v>
      </c>
      <c r="L41" s="2" t="s">
        <v>118</v>
      </c>
      <c r="M41" s="2" t="s">
        <v>42</v>
      </c>
      <c r="N41" s="2" t="s">
        <v>42</v>
      </c>
      <c r="O41" s="2" t="s">
        <v>128</v>
      </c>
      <c r="P41" t="s">
        <v>122</v>
      </c>
      <c r="Q41" t="s">
        <v>123</v>
      </c>
      <c r="R41" t="s">
        <v>124</v>
      </c>
      <c r="S41" t="s">
        <v>125</v>
      </c>
      <c r="T41" t="s">
        <v>51</v>
      </c>
      <c r="U41" t="s">
        <v>126</v>
      </c>
      <c r="V41" t="s">
        <v>53</v>
      </c>
      <c r="W41" t="b">
        <v>1</v>
      </c>
      <c r="X41" t="b">
        <v>1</v>
      </c>
      <c r="Y41">
        <v>1</v>
      </c>
      <c r="Z41">
        <v>1</v>
      </c>
      <c r="AA41" t="s">
        <v>56</v>
      </c>
      <c r="AB41" t="s">
        <v>57</v>
      </c>
      <c r="AC41">
        <v>0.75</v>
      </c>
      <c r="AD41" t="b">
        <v>1</v>
      </c>
      <c r="AE41" t="s">
        <v>23</v>
      </c>
      <c r="AF41">
        <v>20000</v>
      </c>
      <c r="AG41">
        <v>500</v>
      </c>
      <c r="AH41" t="s">
        <v>121</v>
      </c>
      <c r="AI41" t="b">
        <v>0</v>
      </c>
      <c r="AJ41" t="b">
        <v>0</v>
      </c>
      <c r="AK41" t="b">
        <v>1</v>
      </c>
      <c r="AL41" t="b">
        <v>0</v>
      </c>
    </row>
    <row r="42" spans="1:38" hidden="1" x14ac:dyDescent="0.25">
      <c r="A42">
        <v>41</v>
      </c>
      <c r="B42" t="s">
        <v>162</v>
      </c>
      <c r="C42" t="s">
        <v>41</v>
      </c>
      <c r="D42" s="2">
        <v>2000</v>
      </c>
      <c r="E42">
        <v>2.5000000000000001E-2</v>
      </c>
      <c r="F42" t="s">
        <v>42</v>
      </c>
      <c r="G42" t="s">
        <v>42</v>
      </c>
      <c r="H42" t="s">
        <v>43</v>
      </c>
      <c r="I42" s="2" t="s">
        <v>44</v>
      </c>
      <c r="J42">
        <v>5</v>
      </c>
      <c r="K42">
        <v>2</v>
      </c>
      <c r="L42" s="2" t="s">
        <v>118</v>
      </c>
      <c r="M42" s="2" t="s">
        <v>42</v>
      </c>
      <c r="N42" s="2" t="s">
        <v>42</v>
      </c>
      <c r="O42" s="2" t="s">
        <v>128</v>
      </c>
      <c r="P42" t="s">
        <v>122</v>
      </c>
      <c r="Q42" t="s">
        <v>123</v>
      </c>
      <c r="R42" t="s">
        <v>124</v>
      </c>
      <c r="S42" t="s">
        <v>125</v>
      </c>
      <c r="T42" t="s">
        <v>51</v>
      </c>
      <c r="U42" t="s">
        <v>126</v>
      </c>
      <c r="V42" t="s">
        <v>53</v>
      </c>
      <c r="W42" t="b">
        <v>1</v>
      </c>
      <c r="X42" t="b">
        <v>1</v>
      </c>
      <c r="Y42">
        <v>1</v>
      </c>
      <c r="Z42">
        <v>1</v>
      </c>
      <c r="AA42" t="s">
        <v>56</v>
      </c>
      <c r="AB42" t="s">
        <v>57</v>
      </c>
      <c r="AC42">
        <v>0.75</v>
      </c>
      <c r="AD42" t="b">
        <v>1</v>
      </c>
      <c r="AE42" t="s">
        <v>23</v>
      </c>
      <c r="AF42">
        <v>20000</v>
      </c>
      <c r="AG42">
        <v>500</v>
      </c>
      <c r="AH42" t="s">
        <v>121</v>
      </c>
      <c r="AI42" t="b">
        <v>0</v>
      </c>
      <c r="AJ42" t="b">
        <v>0</v>
      </c>
      <c r="AK42" t="b">
        <v>1</v>
      </c>
      <c r="AL42" t="b">
        <v>0</v>
      </c>
    </row>
    <row r="43" spans="1:38" hidden="1" x14ac:dyDescent="0.25">
      <c r="A43">
        <v>42</v>
      </c>
      <c r="B43" t="s">
        <v>163</v>
      </c>
      <c r="C43" t="s">
        <v>117</v>
      </c>
      <c r="D43" s="2">
        <v>2000</v>
      </c>
      <c r="E43">
        <v>2.5000000000000001E-2</v>
      </c>
      <c r="F43" t="s">
        <v>42</v>
      </c>
      <c r="G43" t="s">
        <v>42</v>
      </c>
      <c r="H43" t="s">
        <v>43</v>
      </c>
      <c r="I43" s="2" t="s">
        <v>44</v>
      </c>
      <c r="J43">
        <v>5</v>
      </c>
      <c r="K43">
        <v>2</v>
      </c>
      <c r="L43" s="2" t="s">
        <v>118</v>
      </c>
      <c r="M43" s="2" t="s">
        <v>42</v>
      </c>
      <c r="N43" s="2" t="s">
        <v>42</v>
      </c>
      <c r="O43" s="2" t="s">
        <v>128</v>
      </c>
      <c r="P43" t="s">
        <v>122</v>
      </c>
      <c r="Q43" t="s">
        <v>123</v>
      </c>
      <c r="R43" t="s">
        <v>124</v>
      </c>
      <c r="S43" t="s">
        <v>125</v>
      </c>
      <c r="T43" t="s">
        <v>51</v>
      </c>
      <c r="U43" t="s">
        <v>126</v>
      </c>
      <c r="V43" t="s">
        <v>53</v>
      </c>
      <c r="W43" t="b">
        <v>1</v>
      </c>
      <c r="X43" t="b">
        <v>1</v>
      </c>
      <c r="Y43">
        <v>1</v>
      </c>
      <c r="Z43">
        <v>1</v>
      </c>
      <c r="AA43" t="s">
        <v>56</v>
      </c>
      <c r="AB43" t="s">
        <v>57</v>
      </c>
      <c r="AC43">
        <v>0.5</v>
      </c>
      <c r="AD43" t="b">
        <v>1</v>
      </c>
      <c r="AE43" t="s">
        <v>23</v>
      </c>
      <c r="AF43">
        <v>20000</v>
      </c>
      <c r="AG43">
        <v>500</v>
      </c>
      <c r="AH43" t="s">
        <v>121</v>
      </c>
      <c r="AI43" t="b">
        <v>0</v>
      </c>
      <c r="AJ43" t="b">
        <v>0</v>
      </c>
      <c r="AK43" t="b">
        <v>1</v>
      </c>
      <c r="AL43" t="b">
        <v>0</v>
      </c>
    </row>
    <row r="44" spans="1:38" hidden="1" x14ac:dyDescent="0.25">
      <c r="A44">
        <v>43</v>
      </c>
      <c r="B44" t="s">
        <v>164</v>
      </c>
      <c r="C44" t="s">
        <v>41</v>
      </c>
      <c r="D44" s="2">
        <v>2000</v>
      </c>
      <c r="E44">
        <v>2.5000000000000001E-2</v>
      </c>
      <c r="F44" t="s">
        <v>42</v>
      </c>
      <c r="G44" t="s">
        <v>42</v>
      </c>
      <c r="H44" t="s">
        <v>43</v>
      </c>
      <c r="I44" s="2" t="s">
        <v>44</v>
      </c>
      <c r="J44">
        <v>5</v>
      </c>
      <c r="K44">
        <v>2</v>
      </c>
      <c r="L44" s="2" t="s">
        <v>118</v>
      </c>
      <c r="M44" s="2" t="s">
        <v>42</v>
      </c>
      <c r="N44" s="2" t="s">
        <v>42</v>
      </c>
      <c r="O44" s="2" t="s">
        <v>128</v>
      </c>
      <c r="P44" t="s">
        <v>122</v>
      </c>
      <c r="Q44" t="s">
        <v>123</v>
      </c>
      <c r="R44" t="s">
        <v>124</v>
      </c>
      <c r="S44" t="s">
        <v>125</v>
      </c>
      <c r="T44" t="s">
        <v>51</v>
      </c>
      <c r="U44" t="s">
        <v>126</v>
      </c>
      <c r="V44" t="s">
        <v>53</v>
      </c>
      <c r="W44" t="b">
        <v>1</v>
      </c>
      <c r="X44" t="b">
        <v>1</v>
      </c>
      <c r="Y44">
        <v>1</v>
      </c>
      <c r="Z44">
        <v>1</v>
      </c>
      <c r="AA44" t="s">
        <v>56</v>
      </c>
      <c r="AB44" t="s">
        <v>57</v>
      </c>
      <c r="AC44">
        <v>0.5</v>
      </c>
      <c r="AD44" t="b">
        <v>1</v>
      </c>
      <c r="AE44" t="s">
        <v>23</v>
      </c>
      <c r="AF44">
        <v>20000</v>
      </c>
      <c r="AG44">
        <v>500</v>
      </c>
      <c r="AH44" t="s">
        <v>121</v>
      </c>
      <c r="AI44" t="b">
        <v>0</v>
      </c>
      <c r="AJ44" t="b">
        <v>0</v>
      </c>
      <c r="AK44" t="b">
        <v>1</v>
      </c>
      <c r="AL44" t="b">
        <v>0</v>
      </c>
    </row>
    <row r="45" spans="1:38" hidden="1" x14ac:dyDescent="0.25">
      <c r="A45">
        <v>44</v>
      </c>
      <c r="B45" t="s">
        <v>165</v>
      </c>
      <c r="C45" t="s">
        <v>117</v>
      </c>
      <c r="D45" s="2">
        <v>2000</v>
      </c>
      <c r="E45">
        <v>2.5000000000000001E-2</v>
      </c>
      <c r="F45" t="s">
        <v>42</v>
      </c>
      <c r="G45" t="s">
        <v>42</v>
      </c>
      <c r="H45" t="s">
        <v>43</v>
      </c>
      <c r="I45" s="2" t="s">
        <v>44</v>
      </c>
      <c r="J45">
        <v>5</v>
      </c>
      <c r="K45">
        <v>2</v>
      </c>
      <c r="L45" s="2" t="s">
        <v>118</v>
      </c>
      <c r="M45" s="2" t="s">
        <v>42</v>
      </c>
      <c r="N45" s="2" t="s">
        <v>42</v>
      </c>
      <c r="O45" s="2" t="s">
        <v>128</v>
      </c>
      <c r="P45" t="s">
        <v>122</v>
      </c>
      <c r="Q45" t="s">
        <v>123</v>
      </c>
      <c r="R45" t="s">
        <v>124</v>
      </c>
      <c r="S45" t="s">
        <v>125</v>
      </c>
      <c r="T45" t="s">
        <v>51</v>
      </c>
      <c r="U45" t="s">
        <v>126</v>
      </c>
      <c r="V45" t="s">
        <v>53</v>
      </c>
      <c r="W45" t="b">
        <v>1</v>
      </c>
      <c r="X45" t="b">
        <v>1</v>
      </c>
      <c r="Y45">
        <v>1</v>
      </c>
      <c r="Z45">
        <v>1</v>
      </c>
      <c r="AA45" t="s">
        <v>56</v>
      </c>
      <c r="AB45" t="s">
        <v>57</v>
      </c>
      <c r="AC45">
        <v>0.25</v>
      </c>
      <c r="AD45" t="b">
        <v>1</v>
      </c>
      <c r="AE45" t="s">
        <v>23</v>
      </c>
      <c r="AF45">
        <v>20000</v>
      </c>
      <c r="AG45">
        <v>500</v>
      </c>
      <c r="AH45" t="s">
        <v>121</v>
      </c>
      <c r="AI45" t="b">
        <v>0</v>
      </c>
      <c r="AJ45" t="b">
        <v>0</v>
      </c>
      <c r="AK45" t="b">
        <v>1</v>
      </c>
      <c r="AL45" t="b">
        <v>0</v>
      </c>
    </row>
    <row r="46" spans="1:38" hidden="1" x14ac:dyDescent="0.25">
      <c r="A46">
        <v>45</v>
      </c>
      <c r="B46" t="s">
        <v>166</v>
      </c>
      <c r="C46" t="s">
        <v>41</v>
      </c>
      <c r="D46" s="2">
        <v>2000</v>
      </c>
      <c r="E46">
        <v>2.5000000000000001E-2</v>
      </c>
      <c r="F46" t="s">
        <v>42</v>
      </c>
      <c r="G46" t="s">
        <v>42</v>
      </c>
      <c r="H46" t="s">
        <v>43</v>
      </c>
      <c r="I46" s="2" t="s">
        <v>44</v>
      </c>
      <c r="J46">
        <v>5</v>
      </c>
      <c r="K46">
        <v>2</v>
      </c>
      <c r="L46" s="2" t="s">
        <v>118</v>
      </c>
      <c r="M46" s="2" t="s">
        <v>42</v>
      </c>
      <c r="N46" s="2" t="s">
        <v>42</v>
      </c>
      <c r="O46" s="2" t="s">
        <v>128</v>
      </c>
      <c r="P46" t="s">
        <v>122</v>
      </c>
      <c r="Q46" t="s">
        <v>123</v>
      </c>
      <c r="R46" t="s">
        <v>124</v>
      </c>
      <c r="S46" t="s">
        <v>125</v>
      </c>
      <c r="T46" t="s">
        <v>51</v>
      </c>
      <c r="U46" t="s">
        <v>126</v>
      </c>
      <c r="V46" t="s">
        <v>53</v>
      </c>
      <c r="W46" t="b">
        <v>1</v>
      </c>
      <c r="X46" t="b">
        <v>1</v>
      </c>
      <c r="Y46">
        <v>1</v>
      </c>
      <c r="Z46">
        <v>1</v>
      </c>
      <c r="AA46" t="s">
        <v>56</v>
      </c>
      <c r="AB46" t="s">
        <v>57</v>
      </c>
      <c r="AC46">
        <v>0.25</v>
      </c>
      <c r="AD46" t="b">
        <v>1</v>
      </c>
      <c r="AE46" t="s">
        <v>23</v>
      </c>
      <c r="AF46">
        <v>20000</v>
      </c>
      <c r="AG46">
        <v>500</v>
      </c>
      <c r="AH46" t="s">
        <v>121</v>
      </c>
      <c r="AI46" t="b">
        <v>0</v>
      </c>
      <c r="AJ46" t="b">
        <v>0</v>
      </c>
      <c r="AK46" t="b">
        <v>1</v>
      </c>
      <c r="AL46" t="b">
        <v>0</v>
      </c>
    </row>
    <row r="47" spans="1:38" hidden="1" x14ac:dyDescent="0.25">
      <c r="A47">
        <v>46</v>
      </c>
      <c r="B47" t="s">
        <v>167</v>
      </c>
      <c r="C47" t="s">
        <v>117</v>
      </c>
      <c r="D47" s="2">
        <v>2000</v>
      </c>
      <c r="E47">
        <v>2.5000000000000001E-2</v>
      </c>
      <c r="F47" t="s">
        <v>42</v>
      </c>
      <c r="G47" t="s">
        <v>42</v>
      </c>
      <c r="H47" t="s">
        <v>43</v>
      </c>
      <c r="I47" s="2" t="s">
        <v>44</v>
      </c>
      <c r="J47">
        <v>5</v>
      </c>
      <c r="K47">
        <v>2</v>
      </c>
      <c r="L47" s="2" t="s">
        <v>118</v>
      </c>
      <c r="M47" s="2" t="s">
        <v>42</v>
      </c>
      <c r="N47" s="2" t="s">
        <v>42</v>
      </c>
      <c r="O47" s="2" t="s">
        <v>128</v>
      </c>
      <c r="P47" t="s">
        <v>122</v>
      </c>
      <c r="Q47" t="s">
        <v>123</v>
      </c>
      <c r="R47" t="s">
        <v>124</v>
      </c>
      <c r="S47" t="s">
        <v>125</v>
      </c>
      <c r="T47" t="s">
        <v>51</v>
      </c>
      <c r="U47" t="s">
        <v>126</v>
      </c>
      <c r="V47" t="s">
        <v>53</v>
      </c>
      <c r="W47" t="b">
        <v>1</v>
      </c>
      <c r="X47" t="b">
        <v>1</v>
      </c>
      <c r="Y47">
        <v>1</v>
      </c>
      <c r="Z47">
        <v>1</v>
      </c>
      <c r="AA47" t="s">
        <v>56</v>
      </c>
      <c r="AB47" t="s">
        <v>60</v>
      </c>
      <c r="AC47">
        <v>1</v>
      </c>
      <c r="AD47" t="b">
        <v>1</v>
      </c>
      <c r="AE47" t="s">
        <v>23</v>
      </c>
      <c r="AF47">
        <v>20000</v>
      </c>
      <c r="AG47">
        <v>500</v>
      </c>
      <c r="AH47" t="s">
        <v>121</v>
      </c>
      <c r="AI47" t="b">
        <v>0</v>
      </c>
      <c r="AJ47" t="b">
        <v>0</v>
      </c>
      <c r="AK47" t="b">
        <v>1</v>
      </c>
      <c r="AL47" t="b">
        <v>0</v>
      </c>
    </row>
    <row r="48" spans="1:38" hidden="1" x14ac:dyDescent="0.25">
      <c r="A48">
        <v>47</v>
      </c>
      <c r="B48" t="s">
        <v>960</v>
      </c>
      <c r="C48" t="s">
        <v>41</v>
      </c>
      <c r="D48" s="2">
        <v>2000</v>
      </c>
      <c r="E48">
        <v>2.5000000000000001E-2</v>
      </c>
      <c r="F48" t="s">
        <v>42</v>
      </c>
      <c r="G48" t="s">
        <v>42</v>
      </c>
      <c r="H48" t="s">
        <v>43</v>
      </c>
      <c r="I48" s="2" t="s">
        <v>44</v>
      </c>
      <c r="J48">
        <v>5</v>
      </c>
      <c r="K48">
        <v>2</v>
      </c>
      <c r="L48" s="2" t="s">
        <v>118</v>
      </c>
      <c r="M48" s="2" t="s">
        <v>42</v>
      </c>
      <c r="N48" s="2" t="s">
        <v>42</v>
      </c>
      <c r="O48" s="2" t="s">
        <v>128</v>
      </c>
      <c r="P48" t="s">
        <v>122</v>
      </c>
      <c r="Q48" t="s">
        <v>123</v>
      </c>
      <c r="R48" t="s">
        <v>124</v>
      </c>
      <c r="S48" t="s">
        <v>125</v>
      </c>
      <c r="T48" t="s">
        <v>51</v>
      </c>
      <c r="U48" t="s">
        <v>126</v>
      </c>
      <c r="V48" t="s">
        <v>53</v>
      </c>
      <c r="W48" t="b">
        <v>1</v>
      </c>
      <c r="X48" t="b">
        <v>1</v>
      </c>
      <c r="Y48">
        <v>1</v>
      </c>
      <c r="Z48">
        <v>1</v>
      </c>
      <c r="AA48" t="s">
        <v>56</v>
      </c>
      <c r="AB48" t="s">
        <v>60</v>
      </c>
      <c r="AC48">
        <v>1</v>
      </c>
      <c r="AD48" t="b">
        <v>1</v>
      </c>
      <c r="AE48" t="s">
        <v>23</v>
      </c>
      <c r="AF48">
        <v>20000</v>
      </c>
      <c r="AG48">
        <v>500</v>
      </c>
      <c r="AH48" t="s">
        <v>121</v>
      </c>
      <c r="AI48" t="b">
        <v>0</v>
      </c>
      <c r="AJ48" t="b">
        <v>0</v>
      </c>
      <c r="AK48" t="b">
        <v>1</v>
      </c>
      <c r="AL48" t="b">
        <v>0</v>
      </c>
    </row>
    <row r="49" spans="1:38" hidden="1" x14ac:dyDescent="0.25">
      <c r="A49">
        <v>48</v>
      </c>
      <c r="B49" t="s">
        <v>151</v>
      </c>
      <c r="C49" t="s">
        <v>117</v>
      </c>
      <c r="D49" s="2">
        <v>2000</v>
      </c>
      <c r="E49" s="2">
        <v>2.5000000000000001E-2</v>
      </c>
      <c r="F49" s="2" t="s">
        <v>42</v>
      </c>
      <c r="G49" s="2" t="s">
        <v>42</v>
      </c>
      <c r="H49" s="2" t="s">
        <v>43</v>
      </c>
      <c r="I49" s="2" t="s">
        <v>44</v>
      </c>
      <c r="J49" s="2">
        <v>5</v>
      </c>
      <c r="K49" s="2">
        <v>2</v>
      </c>
      <c r="L49" s="2" t="s">
        <v>118</v>
      </c>
      <c r="M49" s="2" t="s">
        <v>42</v>
      </c>
      <c r="N49" s="2" t="s">
        <v>42</v>
      </c>
      <c r="O49" s="2" t="s">
        <v>129</v>
      </c>
      <c r="P49" t="s">
        <v>122</v>
      </c>
      <c r="Q49" s="2" t="s">
        <v>120</v>
      </c>
      <c r="R49" t="s">
        <v>124</v>
      </c>
      <c r="S49" t="s">
        <v>125</v>
      </c>
      <c r="T49" s="2" t="s">
        <v>51</v>
      </c>
      <c r="U49" t="s">
        <v>52</v>
      </c>
      <c r="V49" t="s">
        <v>53</v>
      </c>
      <c r="W49" t="b">
        <v>1</v>
      </c>
      <c r="X49" t="b">
        <v>0</v>
      </c>
      <c r="Y49" t="s">
        <v>42</v>
      </c>
      <c r="Z49" t="s">
        <v>42</v>
      </c>
      <c r="AA49" t="s">
        <v>42</v>
      </c>
      <c r="AB49" t="s">
        <v>42</v>
      </c>
      <c r="AC49" t="s">
        <v>42</v>
      </c>
      <c r="AD49" t="s">
        <v>42</v>
      </c>
      <c r="AE49" t="s">
        <v>54</v>
      </c>
      <c r="AF49">
        <v>20000</v>
      </c>
      <c r="AG49">
        <v>500</v>
      </c>
      <c r="AH49" t="s">
        <v>121</v>
      </c>
      <c r="AI49" t="b">
        <v>0</v>
      </c>
      <c r="AJ49" t="b">
        <v>0</v>
      </c>
      <c r="AK49" t="b">
        <v>1</v>
      </c>
      <c r="AL49" t="b">
        <v>0</v>
      </c>
    </row>
    <row r="50" spans="1:38" hidden="1" x14ac:dyDescent="0.25">
      <c r="A50">
        <v>49</v>
      </c>
      <c r="B50" t="s">
        <v>152</v>
      </c>
      <c r="C50" t="s">
        <v>41</v>
      </c>
      <c r="D50" s="2">
        <v>2000</v>
      </c>
      <c r="E50" s="2">
        <v>2.5000000000000001E-2</v>
      </c>
      <c r="F50" s="2" t="s">
        <v>42</v>
      </c>
      <c r="G50" s="2" t="s">
        <v>42</v>
      </c>
      <c r="H50" s="2" t="s">
        <v>43</v>
      </c>
      <c r="I50" s="2" t="s">
        <v>44</v>
      </c>
      <c r="J50" s="2">
        <v>5</v>
      </c>
      <c r="K50" s="2">
        <v>2</v>
      </c>
      <c r="L50" s="2" t="s">
        <v>118</v>
      </c>
      <c r="M50" s="2" t="s">
        <v>42</v>
      </c>
      <c r="N50" s="2" t="s">
        <v>42</v>
      </c>
      <c r="O50" s="2" t="s">
        <v>129</v>
      </c>
      <c r="P50" t="s">
        <v>122</v>
      </c>
      <c r="Q50" s="2" t="s">
        <v>120</v>
      </c>
      <c r="R50" t="s">
        <v>124</v>
      </c>
      <c r="S50" t="s">
        <v>125</v>
      </c>
      <c r="T50" s="2" t="s">
        <v>51</v>
      </c>
      <c r="U50" t="s">
        <v>52</v>
      </c>
      <c r="V50" t="s">
        <v>53</v>
      </c>
      <c r="W50" t="b">
        <v>1</v>
      </c>
      <c r="X50" t="b">
        <v>0</v>
      </c>
      <c r="Y50" t="s">
        <v>42</v>
      </c>
      <c r="Z50" t="s">
        <v>42</v>
      </c>
      <c r="AA50" t="s">
        <v>42</v>
      </c>
      <c r="AB50" t="s">
        <v>42</v>
      </c>
      <c r="AC50" t="s">
        <v>42</v>
      </c>
      <c r="AD50" t="s">
        <v>42</v>
      </c>
      <c r="AE50" t="s">
        <v>54</v>
      </c>
      <c r="AF50">
        <v>20000</v>
      </c>
      <c r="AG50">
        <v>500</v>
      </c>
      <c r="AH50" t="s">
        <v>121</v>
      </c>
      <c r="AI50" t="b">
        <v>0</v>
      </c>
      <c r="AJ50" t="b">
        <v>0</v>
      </c>
      <c r="AK50" t="b">
        <v>1</v>
      </c>
      <c r="AL50" t="b">
        <v>0</v>
      </c>
    </row>
    <row r="51" spans="1:38" hidden="1" x14ac:dyDescent="0.25">
      <c r="A51">
        <v>50</v>
      </c>
      <c r="B51" t="s">
        <v>153</v>
      </c>
      <c r="C51" t="s">
        <v>117</v>
      </c>
      <c r="D51" s="2">
        <v>2000</v>
      </c>
      <c r="E51">
        <v>2.5000000000000001E-2</v>
      </c>
      <c r="F51" t="s">
        <v>42</v>
      </c>
      <c r="G51" t="s">
        <v>42</v>
      </c>
      <c r="H51" t="s">
        <v>43</v>
      </c>
      <c r="I51" s="2" t="s">
        <v>44</v>
      </c>
      <c r="J51">
        <v>5</v>
      </c>
      <c r="K51">
        <v>2</v>
      </c>
      <c r="L51" s="2" t="s">
        <v>118</v>
      </c>
      <c r="M51" s="2" t="s">
        <v>42</v>
      </c>
      <c r="N51" s="2" t="s">
        <v>42</v>
      </c>
      <c r="O51" s="2" t="s">
        <v>129</v>
      </c>
      <c r="P51" t="s">
        <v>122</v>
      </c>
      <c r="Q51" t="s">
        <v>123</v>
      </c>
      <c r="R51" t="s">
        <v>124</v>
      </c>
      <c r="S51" t="s">
        <v>125</v>
      </c>
      <c r="T51" t="s">
        <v>51</v>
      </c>
      <c r="U51" t="s">
        <v>126</v>
      </c>
      <c r="V51" t="s">
        <v>53</v>
      </c>
      <c r="W51" t="b">
        <v>1</v>
      </c>
      <c r="X51" t="b">
        <v>1</v>
      </c>
      <c r="Y51">
        <v>1</v>
      </c>
      <c r="Z51">
        <v>1</v>
      </c>
      <c r="AA51" t="s">
        <v>56</v>
      </c>
      <c r="AB51" t="s">
        <v>57</v>
      </c>
      <c r="AC51">
        <v>0.75</v>
      </c>
      <c r="AD51" t="b">
        <v>1</v>
      </c>
      <c r="AE51" t="s">
        <v>23</v>
      </c>
      <c r="AF51">
        <v>20000</v>
      </c>
      <c r="AG51">
        <v>500</v>
      </c>
      <c r="AH51" t="s">
        <v>121</v>
      </c>
      <c r="AI51" t="b">
        <v>0</v>
      </c>
      <c r="AJ51" t="b">
        <v>0</v>
      </c>
      <c r="AK51" t="b">
        <v>1</v>
      </c>
      <c r="AL51" t="b">
        <v>0</v>
      </c>
    </row>
    <row r="52" spans="1:38" hidden="1" x14ac:dyDescent="0.25">
      <c r="A52">
        <v>51</v>
      </c>
      <c r="B52" t="s">
        <v>154</v>
      </c>
      <c r="C52" t="s">
        <v>41</v>
      </c>
      <c r="D52" s="2">
        <v>2000</v>
      </c>
      <c r="E52">
        <v>2.5000000000000001E-2</v>
      </c>
      <c r="F52" t="s">
        <v>42</v>
      </c>
      <c r="G52" t="s">
        <v>42</v>
      </c>
      <c r="H52" t="s">
        <v>43</v>
      </c>
      <c r="I52" s="2" t="s">
        <v>44</v>
      </c>
      <c r="J52">
        <v>5</v>
      </c>
      <c r="K52">
        <v>2</v>
      </c>
      <c r="L52" s="2" t="s">
        <v>118</v>
      </c>
      <c r="M52" s="2" t="s">
        <v>42</v>
      </c>
      <c r="N52" s="2" t="s">
        <v>42</v>
      </c>
      <c r="O52" s="2" t="s">
        <v>129</v>
      </c>
      <c r="P52" t="s">
        <v>122</v>
      </c>
      <c r="Q52" t="s">
        <v>123</v>
      </c>
      <c r="R52" t="s">
        <v>124</v>
      </c>
      <c r="S52" t="s">
        <v>125</v>
      </c>
      <c r="T52" t="s">
        <v>51</v>
      </c>
      <c r="U52" t="s">
        <v>126</v>
      </c>
      <c r="V52" t="s">
        <v>53</v>
      </c>
      <c r="W52" t="b">
        <v>1</v>
      </c>
      <c r="X52" t="b">
        <v>1</v>
      </c>
      <c r="Y52">
        <v>1</v>
      </c>
      <c r="Z52">
        <v>1</v>
      </c>
      <c r="AA52" t="s">
        <v>56</v>
      </c>
      <c r="AB52" t="s">
        <v>57</v>
      </c>
      <c r="AC52">
        <v>0.75</v>
      </c>
      <c r="AD52" t="b">
        <v>1</v>
      </c>
      <c r="AE52" t="s">
        <v>23</v>
      </c>
      <c r="AF52">
        <v>20000</v>
      </c>
      <c r="AG52">
        <v>500</v>
      </c>
      <c r="AH52" t="s">
        <v>121</v>
      </c>
      <c r="AI52" t="b">
        <v>0</v>
      </c>
      <c r="AJ52" t="b">
        <v>0</v>
      </c>
      <c r="AK52" t="b">
        <v>1</v>
      </c>
      <c r="AL52" t="b">
        <v>0</v>
      </c>
    </row>
    <row r="53" spans="1:38" hidden="1" x14ac:dyDescent="0.25">
      <c r="A53">
        <v>52</v>
      </c>
      <c r="B53" t="s">
        <v>155</v>
      </c>
      <c r="C53" t="s">
        <v>117</v>
      </c>
      <c r="D53" s="2">
        <v>2000</v>
      </c>
      <c r="E53">
        <v>2.5000000000000001E-2</v>
      </c>
      <c r="F53" t="s">
        <v>42</v>
      </c>
      <c r="G53" t="s">
        <v>42</v>
      </c>
      <c r="H53" t="s">
        <v>43</v>
      </c>
      <c r="I53" s="2" t="s">
        <v>44</v>
      </c>
      <c r="J53">
        <v>5</v>
      </c>
      <c r="K53">
        <v>2</v>
      </c>
      <c r="L53" s="2" t="s">
        <v>118</v>
      </c>
      <c r="M53" s="2" t="s">
        <v>42</v>
      </c>
      <c r="N53" s="2" t="s">
        <v>42</v>
      </c>
      <c r="O53" s="2" t="s">
        <v>129</v>
      </c>
      <c r="P53" t="s">
        <v>122</v>
      </c>
      <c r="Q53" t="s">
        <v>123</v>
      </c>
      <c r="R53" t="s">
        <v>124</v>
      </c>
      <c r="S53" t="s">
        <v>125</v>
      </c>
      <c r="T53" t="s">
        <v>51</v>
      </c>
      <c r="U53" t="s">
        <v>126</v>
      </c>
      <c r="V53" t="s">
        <v>53</v>
      </c>
      <c r="W53" t="b">
        <v>1</v>
      </c>
      <c r="X53" t="b">
        <v>1</v>
      </c>
      <c r="Y53">
        <v>1</v>
      </c>
      <c r="Z53">
        <v>1</v>
      </c>
      <c r="AA53" t="s">
        <v>56</v>
      </c>
      <c r="AB53" t="s">
        <v>57</v>
      </c>
      <c r="AC53">
        <v>0.5</v>
      </c>
      <c r="AD53" t="b">
        <v>1</v>
      </c>
      <c r="AE53" t="s">
        <v>23</v>
      </c>
      <c r="AF53">
        <v>20000</v>
      </c>
      <c r="AG53">
        <v>500</v>
      </c>
      <c r="AH53" t="s">
        <v>121</v>
      </c>
      <c r="AI53" t="b">
        <v>0</v>
      </c>
      <c r="AJ53" t="b">
        <v>0</v>
      </c>
      <c r="AK53" t="b">
        <v>1</v>
      </c>
      <c r="AL53" t="b">
        <v>0</v>
      </c>
    </row>
    <row r="54" spans="1:38" hidden="1" x14ac:dyDescent="0.25">
      <c r="A54">
        <v>53</v>
      </c>
      <c r="B54" t="s">
        <v>156</v>
      </c>
      <c r="C54" t="s">
        <v>41</v>
      </c>
      <c r="D54" s="2">
        <v>2000</v>
      </c>
      <c r="E54">
        <v>2.5000000000000001E-2</v>
      </c>
      <c r="F54" t="s">
        <v>42</v>
      </c>
      <c r="G54" t="s">
        <v>42</v>
      </c>
      <c r="H54" t="s">
        <v>43</v>
      </c>
      <c r="I54" s="2" t="s">
        <v>44</v>
      </c>
      <c r="J54">
        <v>5</v>
      </c>
      <c r="K54">
        <v>2</v>
      </c>
      <c r="L54" s="2" t="s">
        <v>118</v>
      </c>
      <c r="M54" s="2" t="s">
        <v>42</v>
      </c>
      <c r="N54" s="2" t="s">
        <v>42</v>
      </c>
      <c r="O54" s="2" t="s">
        <v>129</v>
      </c>
      <c r="P54" t="s">
        <v>122</v>
      </c>
      <c r="Q54" t="s">
        <v>123</v>
      </c>
      <c r="R54" t="s">
        <v>124</v>
      </c>
      <c r="S54" t="s">
        <v>125</v>
      </c>
      <c r="T54" t="s">
        <v>51</v>
      </c>
      <c r="U54" t="s">
        <v>126</v>
      </c>
      <c r="V54" t="s">
        <v>53</v>
      </c>
      <c r="W54" t="b">
        <v>1</v>
      </c>
      <c r="X54" t="b">
        <v>1</v>
      </c>
      <c r="Y54">
        <v>1</v>
      </c>
      <c r="Z54">
        <v>1</v>
      </c>
      <c r="AA54" t="s">
        <v>56</v>
      </c>
      <c r="AB54" t="s">
        <v>57</v>
      </c>
      <c r="AC54">
        <v>0.5</v>
      </c>
      <c r="AD54" t="b">
        <v>1</v>
      </c>
      <c r="AE54" t="s">
        <v>23</v>
      </c>
      <c r="AF54">
        <v>20000</v>
      </c>
      <c r="AG54">
        <v>500</v>
      </c>
      <c r="AH54" t="s">
        <v>121</v>
      </c>
      <c r="AI54" t="b">
        <v>0</v>
      </c>
      <c r="AJ54" t="b">
        <v>0</v>
      </c>
      <c r="AK54" t="b">
        <v>1</v>
      </c>
      <c r="AL54" t="b">
        <v>0</v>
      </c>
    </row>
    <row r="55" spans="1:38" hidden="1" x14ac:dyDescent="0.25">
      <c r="A55">
        <v>54</v>
      </c>
      <c r="B55" t="s">
        <v>157</v>
      </c>
      <c r="C55" t="s">
        <v>117</v>
      </c>
      <c r="D55" s="2">
        <v>2000</v>
      </c>
      <c r="E55">
        <v>2.5000000000000001E-2</v>
      </c>
      <c r="F55" t="s">
        <v>42</v>
      </c>
      <c r="G55" t="s">
        <v>42</v>
      </c>
      <c r="H55" t="s">
        <v>43</v>
      </c>
      <c r="I55" s="2" t="s">
        <v>44</v>
      </c>
      <c r="J55">
        <v>5</v>
      </c>
      <c r="K55">
        <v>2</v>
      </c>
      <c r="L55" s="2" t="s">
        <v>118</v>
      </c>
      <c r="M55" s="2" t="s">
        <v>42</v>
      </c>
      <c r="N55" s="2" t="s">
        <v>42</v>
      </c>
      <c r="O55" s="2" t="s">
        <v>129</v>
      </c>
      <c r="P55" t="s">
        <v>122</v>
      </c>
      <c r="Q55" t="s">
        <v>123</v>
      </c>
      <c r="R55" t="s">
        <v>124</v>
      </c>
      <c r="S55" t="s">
        <v>125</v>
      </c>
      <c r="T55" t="s">
        <v>51</v>
      </c>
      <c r="U55" t="s">
        <v>126</v>
      </c>
      <c r="V55" t="s">
        <v>53</v>
      </c>
      <c r="W55" t="b">
        <v>1</v>
      </c>
      <c r="X55" t="b">
        <v>1</v>
      </c>
      <c r="Y55">
        <v>1</v>
      </c>
      <c r="Z55">
        <v>1</v>
      </c>
      <c r="AA55" t="s">
        <v>56</v>
      </c>
      <c r="AB55" t="s">
        <v>57</v>
      </c>
      <c r="AC55">
        <v>0.25</v>
      </c>
      <c r="AD55" t="b">
        <v>1</v>
      </c>
      <c r="AE55" t="s">
        <v>23</v>
      </c>
      <c r="AF55">
        <v>20000</v>
      </c>
      <c r="AG55">
        <v>500</v>
      </c>
      <c r="AH55" t="s">
        <v>121</v>
      </c>
      <c r="AI55" t="b">
        <v>0</v>
      </c>
      <c r="AJ55" t="b">
        <v>0</v>
      </c>
      <c r="AK55" t="b">
        <v>1</v>
      </c>
      <c r="AL55" t="b">
        <v>0</v>
      </c>
    </row>
    <row r="56" spans="1:38" hidden="1" x14ac:dyDescent="0.25">
      <c r="A56">
        <v>55</v>
      </c>
      <c r="B56" t="s">
        <v>158</v>
      </c>
      <c r="C56" t="s">
        <v>41</v>
      </c>
      <c r="D56" s="2">
        <v>2000</v>
      </c>
      <c r="E56">
        <v>2.5000000000000001E-2</v>
      </c>
      <c r="F56" t="s">
        <v>42</v>
      </c>
      <c r="G56" t="s">
        <v>42</v>
      </c>
      <c r="H56" t="s">
        <v>43</v>
      </c>
      <c r="I56" s="2" t="s">
        <v>44</v>
      </c>
      <c r="J56">
        <v>5</v>
      </c>
      <c r="K56">
        <v>2</v>
      </c>
      <c r="L56" s="2" t="s">
        <v>118</v>
      </c>
      <c r="M56" s="2" t="s">
        <v>42</v>
      </c>
      <c r="N56" s="2" t="s">
        <v>42</v>
      </c>
      <c r="O56" s="2" t="s">
        <v>129</v>
      </c>
      <c r="P56" t="s">
        <v>122</v>
      </c>
      <c r="Q56" t="s">
        <v>123</v>
      </c>
      <c r="R56" t="s">
        <v>124</v>
      </c>
      <c r="S56" t="s">
        <v>125</v>
      </c>
      <c r="T56" t="s">
        <v>51</v>
      </c>
      <c r="U56" t="s">
        <v>126</v>
      </c>
      <c r="V56" t="s">
        <v>53</v>
      </c>
      <c r="W56" t="b">
        <v>1</v>
      </c>
      <c r="X56" t="b">
        <v>1</v>
      </c>
      <c r="Y56">
        <v>1</v>
      </c>
      <c r="Z56">
        <v>1</v>
      </c>
      <c r="AA56" t="s">
        <v>56</v>
      </c>
      <c r="AB56" t="s">
        <v>57</v>
      </c>
      <c r="AC56">
        <v>0.25</v>
      </c>
      <c r="AD56" t="b">
        <v>1</v>
      </c>
      <c r="AE56" t="s">
        <v>23</v>
      </c>
      <c r="AF56">
        <v>20000</v>
      </c>
      <c r="AG56">
        <v>500</v>
      </c>
      <c r="AH56" t="s">
        <v>121</v>
      </c>
      <c r="AI56" t="b">
        <v>0</v>
      </c>
      <c r="AJ56" t="b">
        <v>0</v>
      </c>
      <c r="AK56" t="b">
        <v>1</v>
      </c>
      <c r="AL56" t="b">
        <v>0</v>
      </c>
    </row>
    <row r="57" spans="1:38" hidden="1" x14ac:dyDescent="0.25">
      <c r="A57">
        <v>56</v>
      </c>
      <c r="B57" t="s">
        <v>159</v>
      </c>
      <c r="C57" t="s">
        <v>117</v>
      </c>
      <c r="D57" s="2">
        <v>2000</v>
      </c>
      <c r="E57">
        <v>2.5000000000000001E-2</v>
      </c>
      <c r="F57" t="s">
        <v>42</v>
      </c>
      <c r="G57" t="s">
        <v>42</v>
      </c>
      <c r="H57" t="s">
        <v>43</v>
      </c>
      <c r="I57" s="2" t="s">
        <v>44</v>
      </c>
      <c r="J57">
        <v>5</v>
      </c>
      <c r="K57">
        <v>2</v>
      </c>
      <c r="L57" s="2" t="s">
        <v>118</v>
      </c>
      <c r="M57" s="2" t="s">
        <v>42</v>
      </c>
      <c r="N57" s="2" t="s">
        <v>42</v>
      </c>
      <c r="O57" s="2" t="s">
        <v>129</v>
      </c>
      <c r="P57" t="s">
        <v>122</v>
      </c>
      <c r="Q57" t="s">
        <v>123</v>
      </c>
      <c r="R57" t="s">
        <v>124</v>
      </c>
      <c r="S57" t="s">
        <v>125</v>
      </c>
      <c r="T57" t="s">
        <v>51</v>
      </c>
      <c r="U57" t="s">
        <v>126</v>
      </c>
      <c r="V57" t="s">
        <v>53</v>
      </c>
      <c r="W57" t="b">
        <v>1</v>
      </c>
      <c r="X57" t="b">
        <v>1</v>
      </c>
      <c r="Y57">
        <v>1</v>
      </c>
      <c r="Z57">
        <v>1</v>
      </c>
      <c r="AA57" t="s">
        <v>56</v>
      </c>
      <c r="AB57" t="s">
        <v>60</v>
      </c>
      <c r="AC57">
        <v>1</v>
      </c>
      <c r="AD57" t="b">
        <v>1</v>
      </c>
      <c r="AE57" t="s">
        <v>23</v>
      </c>
      <c r="AF57">
        <v>20000</v>
      </c>
      <c r="AG57">
        <v>500</v>
      </c>
      <c r="AH57" t="s">
        <v>121</v>
      </c>
      <c r="AI57" t="b">
        <v>0</v>
      </c>
      <c r="AJ57" t="b">
        <v>0</v>
      </c>
      <c r="AK57" t="b">
        <v>1</v>
      </c>
      <c r="AL57" t="b">
        <v>0</v>
      </c>
    </row>
    <row r="58" spans="1:38" hidden="1" x14ac:dyDescent="0.25">
      <c r="A58">
        <v>57</v>
      </c>
      <c r="B58" t="s">
        <v>160</v>
      </c>
      <c r="C58" t="s">
        <v>41</v>
      </c>
      <c r="D58" s="2">
        <v>2000</v>
      </c>
      <c r="E58">
        <v>2.5000000000000001E-2</v>
      </c>
      <c r="F58" t="s">
        <v>42</v>
      </c>
      <c r="G58" t="s">
        <v>42</v>
      </c>
      <c r="H58" t="s">
        <v>43</v>
      </c>
      <c r="I58" s="2" t="s">
        <v>44</v>
      </c>
      <c r="J58">
        <v>5</v>
      </c>
      <c r="K58">
        <v>2</v>
      </c>
      <c r="L58" s="2" t="s">
        <v>118</v>
      </c>
      <c r="M58" s="2" t="s">
        <v>42</v>
      </c>
      <c r="N58" s="2" t="s">
        <v>42</v>
      </c>
      <c r="O58" s="2" t="s">
        <v>129</v>
      </c>
      <c r="P58" t="s">
        <v>122</v>
      </c>
      <c r="Q58" t="s">
        <v>123</v>
      </c>
      <c r="R58" t="s">
        <v>124</v>
      </c>
      <c r="S58" t="s">
        <v>125</v>
      </c>
      <c r="T58" t="s">
        <v>51</v>
      </c>
      <c r="U58" t="s">
        <v>126</v>
      </c>
      <c r="V58" t="s">
        <v>53</v>
      </c>
      <c r="W58" t="b">
        <v>1</v>
      </c>
      <c r="X58" t="b">
        <v>1</v>
      </c>
      <c r="Y58">
        <v>1</v>
      </c>
      <c r="Z58">
        <v>1</v>
      </c>
      <c r="AA58" t="s">
        <v>56</v>
      </c>
      <c r="AB58" t="s">
        <v>60</v>
      </c>
      <c r="AC58">
        <v>1</v>
      </c>
      <c r="AD58" t="b">
        <v>1</v>
      </c>
      <c r="AE58" t="s">
        <v>23</v>
      </c>
      <c r="AF58">
        <v>20000</v>
      </c>
      <c r="AG58">
        <v>500</v>
      </c>
      <c r="AH58" t="s">
        <v>121</v>
      </c>
      <c r="AI58" t="b">
        <v>0</v>
      </c>
      <c r="AJ58" t="b">
        <v>0</v>
      </c>
      <c r="AK58" t="b">
        <v>1</v>
      </c>
      <c r="AL58" t="b">
        <v>0</v>
      </c>
    </row>
    <row r="59" spans="1:38" hidden="1" x14ac:dyDescent="0.25">
      <c r="A59">
        <v>58</v>
      </c>
      <c r="B59" t="s">
        <v>149</v>
      </c>
      <c r="C59" t="s">
        <v>117</v>
      </c>
      <c r="D59" s="2">
        <v>2000</v>
      </c>
      <c r="E59" s="2">
        <v>2.5000000000000001E-2</v>
      </c>
      <c r="F59" s="2" t="s">
        <v>42</v>
      </c>
      <c r="G59" s="2" t="s">
        <v>42</v>
      </c>
      <c r="H59" s="2" t="s">
        <v>43</v>
      </c>
      <c r="I59" s="2" t="s">
        <v>44</v>
      </c>
      <c r="J59" s="2">
        <v>5</v>
      </c>
      <c r="K59" s="2">
        <v>2</v>
      </c>
      <c r="L59" s="2" t="s">
        <v>118</v>
      </c>
      <c r="M59" s="2" t="s">
        <v>42</v>
      </c>
      <c r="N59" s="2" t="s">
        <v>42</v>
      </c>
      <c r="O59" s="2" t="s">
        <v>130</v>
      </c>
      <c r="P59" t="s">
        <v>122</v>
      </c>
      <c r="Q59" s="2" t="s">
        <v>120</v>
      </c>
      <c r="R59" t="s">
        <v>124</v>
      </c>
      <c r="S59" t="s">
        <v>125</v>
      </c>
      <c r="T59" s="2" t="s">
        <v>51</v>
      </c>
      <c r="U59" t="s">
        <v>52</v>
      </c>
      <c r="V59" t="s">
        <v>53</v>
      </c>
      <c r="W59" t="b">
        <v>1</v>
      </c>
      <c r="X59" t="b">
        <v>0</v>
      </c>
      <c r="Y59" t="s">
        <v>42</v>
      </c>
      <c r="Z59" t="s">
        <v>42</v>
      </c>
      <c r="AA59" t="s">
        <v>42</v>
      </c>
      <c r="AB59" t="s">
        <v>42</v>
      </c>
      <c r="AC59" t="s">
        <v>42</v>
      </c>
      <c r="AD59" t="s">
        <v>42</v>
      </c>
      <c r="AE59" t="s">
        <v>54</v>
      </c>
      <c r="AF59">
        <v>20000</v>
      </c>
      <c r="AG59">
        <v>500</v>
      </c>
      <c r="AH59" t="s">
        <v>121</v>
      </c>
      <c r="AI59" t="b">
        <v>0</v>
      </c>
      <c r="AJ59" t="b">
        <v>0</v>
      </c>
      <c r="AK59" t="b">
        <v>1</v>
      </c>
      <c r="AL59" t="b">
        <v>0</v>
      </c>
    </row>
    <row r="60" spans="1:38" hidden="1" x14ac:dyDescent="0.25">
      <c r="A60">
        <v>59</v>
      </c>
      <c r="B60" t="s">
        <v>150</v>
      </c>
      <c r="C60" t="s">
        <v>41</v>
      </c>
      <c r="D60" s="2">
        <v>2000</v>
      </c>
      <c r="E60" s="2">
        <v>2.5000000000000001E-2</v>
      </c>
      <c r="F60" s="2" t="s">
        <v>42</v>
      </c>
      <c r="G60" s="2" t="s">
        <v>42</v>
      </c>
      <c r="H60" s="2" t="s">
        <v>43</v>
      </c>
      <c r="I60" s="2" t="s">
        <v>44</v>
      </c>
      <c r="J60" s="2">
        <v>5</v>
      </c>
      <c r="K60" s="2">
        <v>2</v>
      </c>
      <c r="L60" s="2" t="s">
        <v>118</v>
      </c>
      <c r="M60" s="2" t="s">
        <v>42</v>
      </c>
      <c r="N60" s="2" t="s">
        <v>42</v>
      </c>
      <c r="O60" s="2" t="s">
        <v>130</v>
      </c>
      <c r="P60" t="s">
        <v>122</v>
      </c>
      <c r="Q60" s="2" t="s">
        <v>120</v>
      </c>
      <c r="R60" t="s">
        <v>124</v>
      </c>
      <c r="S60" t="s">
        <v>125</v>
      </c>
      <c r="T60" s="2" t="s">
        <v>51</v>
      </c>
      <c r="U60" t="s">
        <v>52</v>
      </c>
      <c r="V60" t="s">
        <v>53</v>
      </c>
      <c r="W60" t="b">
        <v>1</v>
      </c>
      <c r="X60" t="b">
        <v>0</v>
      </c>
      <c r="Y60" t="s">
        <v>42</v>
      </c>
      <c r="Z60" t="s">
        <v>42</v>
      </c>
      <c r="AA60" t="s">
        <v>42</v>
      </c>
      <c r="AB60" t="s">
        <v>42</v>
      </c>
      <c r="AC60" t="s">
        <v>42</v>
      </c>
      <c r="AD60" t="s">
        <v>42</v>
      </c>
      <c r="AE60" t="s">
        <v>54</v>
      </c>
      <c r="AF60">
        <v>20000</v>
      </c>
      <c r="AG60">
        <v>500</v>
      </c>
      <c r="AH60" t="s">
        <v>121</v>
      </c>
      <c r="AI60" t="b">
        <v>0</v>
      </c>
      <c r="AJ60" t="b">
        <v>0</v>
      </c>
      <c r="AK60" t="b">
        <v>1</v>
      </c>
      <c r="AL60" t="b">
        <v>0</v>
      </c>
    </row>
    <row r="61" spans="1:38" hidden="1" x14ac:dyDescent="0.25">
      <c r="A61">
        <v>60</v>
      </c>
      <c r="B61" t="s">
        <v>137</v>
      </c>
      <c r="C61" t="s">
        <v>117</v>
      </c>
      <c r="D61" s="2">
        <v>2000</v>
      </c>
      <c r="E61">
        <v>2.5000000000000001E-2</v>
      </c>
      <c r="F61" t="s">
        <v>42</v>
      </c>
      <c r="G61" t="s">
        <v>42</v>
      </c>
      <c r="H61" t="s">
        <v>43</v>
      </c>
      <c r="I61" s="2" t="s">
        <v>44</v>
      </c>
      <c r="J61">
        <v>5</v>
      </c>
      <c r="K61">
        <v>2</v>
      </c>
      <c r="L61" s="2" t="s">
        <v>118</v>
      </c>
      <c r="M61" s="2" t="s">
        <v>42</v>
      </c>
      <c r="N61" s="2" t="s">
        <v>42</v>
      </c>
      <c r="O61" s="2" t="s">
        <v>130</v>
      </c>
      <c r="P61" t="s">
        <v>122</v>
      </c>
      <c r="Q61" t="s">
        <v>123</v>
      </c>
      <c r="R61" t="s">
        <v>124</v>
      </c>
      <c r="S61" t="s">
        <v>125</v>
      </c>
      <c r="T61" t="s">
        <v>51</v>
      </c>
      <c r="U61" t="s">
        <v>126</v>
      </c>
      <c r="V61" t="s">
        <v>53</v>
      </c>
      <c r="W61" t="b">
        <v>1</v>
      </c>
      <c r="X61" t="b">
        <v>1</v>
      </c>
      <c r="Y61">
        <v>1</v>
      </c>
      <c r="Z61">
        <v>1</v>
      </c>
      <c r="AA61" t="s">
        <v>56</v>
      </c>
      <c r="AB61" t="s">
        <v>57</v>
      </c>
      <c r="AC61">
        <v>0.75</v>
      </c>
      <c r="AD61" t="b">
        <v>1</v>
      </c>
      <c r="AE61" t="s">
        <v>23</v>
      </c>
      <c r="AF61">
        <v>20000</v>
      </c>
      <c r="AG61">
        <v>500</v>
      </c>
      <c r="AH61" t="s">
        <v>121</v>
      </c>
      <c r="AI61" t="b">
        <v>0</v>
      </c>
      <c r="AJ61" t="b">
        <v>0</v>
      </c>
      <c r="AK61" t="b">
        <v>1</v>
      </c>
      <c r="AL61" t="b">
        <v>0</v>
      </c>
    </row>
    <row r="62" spans="1:38" hidden="1" x14ac:dyDescent="0.25">
      <c r="A62">
        <v>61</v>
      </c>
      <c r="B62" t="s">
        <v>145</v>
      </c>
      <c r="C62" t="s">
        <v>41</v>
      </c>
      <c r="D62" s="2">
        <v>2000</v>
      </c>
      <c r="E62">
        <v>2.5000000000000001E-2</v>
      </c>
      <c r="F62" t="s">
        <v>42</v>
      </c>
      <c r="G62" t="s">
        <v>42</v>
      </c>
      <c r="H62" t="s">
        <v>43</v>
      </c>
      <c r="I62" s="2" t="s">
        <v>44</v>
      </c>
      <c r="J62">
        <v>5</v>
      </c>
      <c r="K62">
        <v>2</v>
      </c>
      <c r="L62" s="2" t="s">
        <v>118</v>
      </c>
      <c r="M62" s="2" t="s">
        <v>42</v>
      </c>
      <c r="N62" s="2" t="s">
        <v>42</v>
      </c>
      <c r="O62" s="2" t="s">
        <v>130</v>
      </c>
      <c r="P62" t="s">
        <v>122</v>
      </c>
      <c r="Q62" t="s">
        <v>123</v>
      </c>
      <c r="R62" t="s">
        <v>124</v>
      </c>
      <c r="S62" t="s">
        <v>125</v>
      </c>
      <c r="T62" t="s">
        <v>51</v>
      </c>
      <c r="U62" t="s">
        <v>126</v>
      </c>
      <c r="V62" t="s">
        <v>53</v>
      </c>
      <c r="W62" t="b">
        <v>1</v>
      </c>
      <c r="X62" t="b">
        <v>1</v>
      </c>
      <c r="Y62">
        <v>1</v>
      </c>
      <c r="Z62">
        <v>1</v>
      </c>
      <c r="AA62" t="s">
        <v>56</v>
      </c>
      <c r="AB62" t="s">
        <v>57</v>
      </c>
      <c r="AC62">
        <v>0.75</v>
      </c>
      <c r="AD62" t="b">
        <v>1</v>
      </c>
      <c r="AE62" t="s">
        <v>23</v>
      </c>
      <c r="AF62">
        <v>20000</v>
      </c>
      <c r="AG62">
        <v>500</v>
      </c>
      <c r="AH62" t="s">
        <v>121</v>
      </c>
      <c r="AI62" t="b">
        <v>0</v>
      </c>
      <c r="AJ62" t="b">
        <v>0</v>
      </c>
      <c r="AK62" t="b">
        <v>1</v>
      </c>
      <c r="AL62" t="b">
        <v>0</v>
      </c>
    </row>
    <row r="63" spans="1:38" hidden="1" x14ac:dyDescent="0.25">
      <c r="A63">
        <v>62</v>
      </c>
      <c r="B63" t="s">
        <v>138</v>
      </c>
      <c r="C63" t="s">
        <v>117</v>
      </c>
      <c r="D63" s="2">
        <v>2000</v>
      </c>
      <c r="E63">
        <v>2.5000000000000001E-2</v>
      </c>
      <c r="F63" t="s">
        <v>42</v>
      </c>
      <c r="G63" t="s">
        <v>42</v>
      </c>
      <c r="H63" t="s">
        <v>43</v>
      </c>
      <c r="I63" s="2" t="s">
        <v>44</v>
      </c>
      <c r="J63">
        <v>5</v>
      </c>
      <c r="K63">
        <v>2</v>
      </c>
      <c r="L63" s="2" t="s">
        <v>118</v>
      </c>
      <c r="M63" s="2" t="s">
        <v>42</v>
      </c>
      <c r="N63" s="2" t="s">
        <v>42</v>
      </c>
      <c r="O63" s="2" t="s">
        <v>130</v>
      </c>
      <c r="P63" t="s">
        <v>122</v>
      </c>
      <c r="Q63" t="s">
        <v>123</v>
      </c>
      <c r="R63" t="s">
        <v>124</v>
      </c>
      <c r="S63" t="s">
        <v>125</v>
      </c>
      <c r="T63" t="s">
        <v>51</v>
      </c>
      <c r="U63" t="s">
        <v>126</v>
      </c>
      <c r="V63" t="s">
        <v>53</v>
      </c>
      <c r="W63" t="b">
        <v>1</v>
      </c>
      <c r="X63" t="b">
        <v>1</v>
      </c>
      <c r="Y63">
        <v>1</v>
      </c>
      <c r="Z63">
        <v>1</v>
      </c>
      <c r="AA63" t="s">
        <v>56</v>
      </c>
      <c r="AB63" t="s">
        <v>57</v>
      </c>
      <c r="AC63">
        <v>0.5</v>
      </c>
      <c r="AD63" t="b">
        <v>1</v>
      </c>
      <c r="AE63" t="s">
        <v>23</v>
      </c>
      <c r="AF63">
        <v>20000</v>
      </c>
      <c r="AG63">
        <v>500</v>
      </c>
      <c r="AH63" t="s">
        <v>121</v>
      </c>
      <c r="AI63" t="b">
        <v>0</v>
      </c>
      <c r="AJ63" t="b">
        <v>0</v>
      </c>
      <c r="AK63" t="b">
        <v>1</v>
      </c>
      <c r="AL63" t="b">
        <v>0</v>
      </c>
    </row>
    <row r="64" spans="1:38" hidden="1" x14ac:dyDescent="0.25">
      <c r="A64">
        <v>63</v>
      </c>
      <c r="B64" t="s">
        <v>146</v>
      </c>
      <c r="C64" t="s">
        <v>41</v>
      </c>
      <c r="D64" s="2">
        <v>2000</v>
      </c>
      <c r="E64">
        <v>2.5000000000000001E-2</v>
      </c>
      <c r="F64" t="s">
        <v>42</v>
      </c>
      <c r="G64" t="s">
        <v>42</v>
      </c>
      <c r="H64" t="s">
        <v>43</v>
      </c>
      <c r="I64" s="2" t="s">
        <v>44</v>
      </c>
      <c r="J64">
        <v>5</v>
      </c>
      <c r="K64">
        <v>2</v>
      </c>
      <c r="L64" s="2" t="s">
        <v>118</v>
      </c>
      <c r="M64" s="2" t="s">
        <v>42</v>
      </c>
      <c r="N64" s="2" t="s">
        <v>42</v>
      </c>
      <c r="O64" s="2" t="s">
        <v>130</v>
      </c>
      <c r="P64" t="s">
        <v>122</v>
      </c>
      <c r="Q64" t="s">
        <v>123</v>
      </c>
      <c r="R64" t="s">
        <v>124</v>
      </c>
      <c r="S64" t="s">
        <v>125</v>
      </c>
      <c r="T64" t="s">
        <v>51</v>
      </c>
      <c r="U64" t="s">
        <v>126</v>
      </c>
      <c r="V64" t="s">
        <v>53</v>
      </c>
      <c r="W64" t="b">
        <v>1</v>
      </c>
      <c r="X64" t="b">
        <v>1</v>
      </c>
      <c r="Y64">
        <v>1</v>
      </c>
      <c r="Z64">
        <v>1</v>
      </c>
      <c r="AA64" t="s">
        <v>56</v>
      </c>
      <c r="AB64" t="s">
        <v>57</v>
      </c>
      <c r="AC64">
        <v>0.5</v>
      </c>
      <c r="AD64" t="b">
        <v>1</v>
      </c>
      <c r="AE64" t="s">
        <v>23</v>
      </c>
      <c r="AF64">
        <v>20000</v>
      </c>
      <c r="AG64">
        <v>500</v>
      </c>
      <c r="AH64" t="s">
        <v>121</v>
      </c>
      <c r="AI64" t="b">
        <v>0</v>
      </c>
      <c r="AJ64" t="b">
        <v>0</v>
      </c>
      <c r="AK64" t="b">
        <v>1</v>
      </c>
      <c r="AL64" t="b">
        <v>0</v>
      </c>
    </row>
    <row r="65" spans="1:38" hidden="1" x14ac:dyDescent="0.25">
      <c r="A65">
        <v>64</v>
      </c>
      <c r="B65" t="s">
        <v>139</v>
      </c>
      <c r="C65" t="s">
        <v>117</v>
      </c>
      <c r="D65" s="2">
        <v>2000</v>
      </c>
      <c r="E65">
        <v>2.5000000000000001E-2</v>
      </c>
      <c r="F65" t="s">
        <v>42</v>
      </c>
      <c r="G65" t="s">
        <v>42</v>
      </c>
      <c r="H65" t="s">
        <v>43</v>
      </c>
      <c r="I65" s="2" t="s">
        <v>44</v>
      </c>
      <c r="J65">
        <v>5</v>
      </c>
      <c r="K65">
        <v>2</v>
      </c>
      <c r="L65" s="2" t="s">
        <v>118</v>
      </c>
      <c r="M65" s="2" t="s">
        <v>42</v>
      </c>
      <c r="N65" s="2" t="s">
        <v>42</v>
      </c>
      <c r="O65" s="2" t="s">
        <v>130</v>
      </c>
      <c r="P65" t="s">
        <v>122</v>
      </c>
      <c r="Q65" t="s">
        <v>123</v>
      </c>
      <c r="R65" t="s">
        <v>124</v>
      </c>
      <c r="S65" t="s">
        <v>125</v>
      </c>
      <c r="T65" t="s">
        <v>51</v>
      </c>
      <c r="U65" t="s">
        <v>126</v>
      </c>
      <c r="V65" t="s">
        <v>53</v>
      </c>
      <c r="W65" t="b">
        <v>1</v>
      </c>
      <c r="X65" t="b">
        <v>1</v>
      </c>
      <c r="Y65">
        <v>1</v>
      </c>
      <c r="Z65">
        <v>1</v>
      </c>
      <c r="AA65" t="s">
        <v>56</v>
      </c>
      <c r="AB65" t="s">
        <v>57</v>
      </c>
      <c r="AC65">
        <v>0.25</v>
      </c>
      <c r="AD65" t="b">
        <v>1</v>
      </c>
      <c r="AE65" t="s">
        <v>23</v>
      </c>
      <c r="AF65">
        <v>20000</v>
      </c>
      <c r="AG65">
        <v>500</v>
      </c>
      <c r="AH65" t="s">
        <v>121</v>
      </c>
      <c r="AI65" t="b">
        <v>0</v>
      </c>
      <c r="AJ65" t="b">
        <v>0</v>
      </c>
      <c r="AK65" t="b">
        <v>1</v>
      </c>
      <c r="AL65" t="b">
        <v>0</v>
      </c>
    </row>
    <row r="66" spans="1:38" hidden="1" x14ac:dyDescent="0.25">
      <c r="A66">
        <v>65</v>
      </c>
      <c r="B66" t="s">
        <v>147</v>
      </c>
      <c r="C66" t="s">
        <v>41</v>
      </c>
      <c r="D66" s="2">
        <v>2000</v>
      </c>
      <c r="E66">
        <v>2.5000000000000001E-2</v>
      </c>
      <c r="F66" t="s">
        <v>42</v>
      </c>
      <c r="G66" t="s">
        <v>42</v>
      </c>
      <c r="H66" t="s">
        <v>43</v>
      </c>
      <c r="I66" s="2" t="s">
        <v>44</v>
      </c>
      <c r="J66">
        <v>5</v>
      </c>
      <c r="K66">
        <v>2</v>
      </c>
      <c r="L66" s="2" t="s">
        <v>118</v>
      </c>
      <c r="M66" s="2" t="s">
        <v>42</v>
      </c>
      <c r="N66" s="2" t="s">
        <v>42</v>
      </c>
      <c r="O66" s="2" t="s">
        <v>130</v>
      </c>
      <c r="P66" t="s">
        <v>122</v>
      </c>
      <c r="Q66" t="s">
        <v>123</v>
      </c>
      <c r="R66" t="s">
        <v>124</v>
      </c>
      <c r="S66" t="s">
        <v>125</v>
      </c>
      <c r="T66" t="s">
        <v>51</v>
      </c>
      <c r="U66" t="s">
        <v>126</v>
      </c>
      <c r="V66" t="s">
        <v>53</v>
      </c>
      <c r="W66" t="b">
        <v>1</v>
      </c>
      <c r="X66" t="b">
        <v>1</v>
      </c>
      <c r="Y66">
        <v>1</v>
      </c>
      <c r="Z66">
        <v>1</v>
      </c>
      <c r="AA66" t="s">
        <v>56</v>
      </c>
      <c r="AB66" t="s">
        <v>57</v>
      </c>
      <c r="AC66">
        <v>0.25</v>
      </c>
      <c r="AD66" t="b">
        <v>1</v>
      </c>
      <c r="AE66" t="s">
        <v>23</v>
      </c>
      <c r="AF66">
        <v>20000</v>
      </c>
      <c r="AG66">
        <v>500</v>
      </c>
      <c r="AH66" t="s">
        <v>121</v>
      </c>
      <c r="AI66" t="b">
        <v>0</v>
      </c>
      <c r="AJ66" t="b">
        <v>0</v>
      </c>
      <c r="AK66" t="b">
        <v>1</v>
      </c>
      <c r="AL66" t="b">
        <v>0</v>
      </c>
    </row>
    <row r="67" spans="1:38" hidden="1" x14ac:dyDescent="0.25">
      <c r="A67">
        <v>66</v>
      </c>
      <c r="B67" t="s">
        <v>140</v>
      </c>
      <c r="C67" t="s">
        <v>117</v>
      </c>
      <c r="D67" s="2">
        <v>2000</v>
      </c>
      <c r="E67">
        <v>2.5000000000000001E-2</v>
      </c>
      <c r="F67" t="s">
        <v>42</v>
      </c>
      <c r="G67" t="s">
        <v>42</v>
      </c>
      <c r="H67" t="s">
        <v>43</v>
      </c>
      <c r="I67" s="2" t="s">
        <v>44</v>
      </c>
      <c r="J67">
        <v>5</v>
      </c>
      <c r="K67">
        <v>2</v>
      </c>
      <c r="L67" s="2" t="s">
        <v>118</v>
      </c>
      <c r="M67" s="2" t="s">
        <v>42</v>
      </c>
      <c r="N67" s="2" t="s">
        <v>42</v>
      </c>
      <c r="O67" s="2" t="s">
        <v>130</v>
      </c>
      <c r="P67" t="s">
        <v>122</v>
      </c>
      <c r="Q67" t="s">
        <v>123</v>
      </c>
      <c r="R67" t="s">
        <v>124</v>
      </c>
      <c r="S67" t="s">
        <v>125</v>
      </c>
      <c r="T67" t="s">
        <v>51</v>
      </c>
      <c r="U67" t="s">
        <v>126</v>
      </c>
      <c r="V67" t="s">
        <v>53</v>
      </c>
      <c r="W67" t="b">
        <v>1</v>
      </c>
      <c r="X67" t="b">
        <v>1</v>
      </c>
      <c r="Y67">
        <v>1</v>
      </c>
      <c r="Z67">
        <v>1</v>
      </c>
      <c r="AA67" t="s">
        <v>56</v>
      </c>
      <c r="AB67" t="s">
        <v>60</v>
      </c>
      <c r="AC67">
        <v>1</v>
      </c>
      <c r="AD67" t="b">
        <v>1</v>
      </c>
      <c r="AE67" t="s">
        <v>23</v>
      </c>
      <c r="AF67">
        <v>20000</v>
      </c>
      <c r="AG67">
        <v>500</v>
      </c>
      <c r="AH67" t="s">
        <v>121</v>
      </c>
      <c r="AI67" t="b">
        <v>0</v>
      </c>
      <c r="AJ67" t="b">
        <v>0</v>
      </c>
      <c r="AK67" t="b">
        <v>1</v>
      </c>
      <c r="AL67" t="b">
        <v>0</v>
      </c>
    </row>
    <row r="68" spans="1:38" hidden="1" x14ac:dyDescent="0.25">
      <c r="A68">
        <v>67</v>
      </c>
      <c r="B68" t="s">
        <v>148</v>
      </c>
      <c r="C68" t="s">
        <v>41</v>
      </c>
      <c r="D68" s="2">
        <v>2000</v>
      </c>
      <c r="E68">
        <v>2.5000000000000001E-2</v>
      </c>
      <c r="F68" t="s">
        <v>42</v>
      </c>
      <c r="G68" t="s">
        <v>42</v>
      </c>
      <c r="H68" t="s">
        <v>43</v>
      </c>
      <c r="I68" s="2" t="s">
        <v>44</v>
      </c>
      <c r="J68">
        <v>5</v>
      </c>
      <c r="K68">
        <v>2</v>
      </c>
      <c r="L68" s="2" t="s">
        <v>118</v>
      </c>
      <c r="M68" s="2" t="s">
        <v>42</v>
      </c>
      <c r="N68" s="2" t="s">
        <v>42</v>
      </c>
      <c r="O68" s="2" t="s">
        <v>130</v>
      </c>
      <c r="P68" t="s">
        <v>122</v>
      </c>
      <c r="Q68" t="s">
        <v>123</v>
      </c>
      <c r="R68" t="s">
        <v>124</v>
      </c>
      <c r="S68" t="s">
        <v>125</v>
      </c>
      <c r="T68" t="s">
        <v>51</v>
      </c>
      <c r="U68" t="s">
        <v>126</v>
      </c>
      <c r="V68" t="s">
        <v>53</v>
      </c>
      <c r="W68" t="b">
        <v>1</v>
      </c>
      <c r="X68" t="b">
        <v>1</v>
      </c>
      <c r="Y68">
        <v>1</v>
      </c>
      <c r="Z68">
        <v>1</v>
      </c>
      <c r="AA68" t="s">
        <v>56</v>
      </c>
      <c r="AB68" t="s">
        <v>60</v>
      </c>
      <c r="AC68">
        <v>1</v>
      </c>
      <c r="AD68" t="b">
        <v>1</v>
      </c>
      <c r="AE68" t="s">
        <v>23</v>
      </c>
      <c r="AF68">
        <v>20000</v>
      </c>
      <c r="AG68">
        <v>500</v>
      </c>
      <c r="AH68" t="s">
        <v>121</v>
      </c>
      <c r="AI68" t="b">
        <v>0</v>
      </c>
      <c r="AJ68" t="b">
        <v>0</v>
      </c>
      <c r="AK68" t="b">
        <v>1</v>
      </c>
      <c r="AL68" t="b">
        <v>0</v>
      </c>
    </row>
    <row r="69" spans="1:38" hidden="1" x14ac:dyDescent="0.25">
      <c r="A69" s="3">
        <v>68</v>
      </c>
      <c r="B69" s="3" t="s">
        <v>419</v>
      </c>
      <c r="C69" t="s">
        <v>117</v>
      </c>
      <c r="D69">
        <v>800</v>
      </c>
      <c r="E69">
        <v>2.5000000000000001E-2</v>
      </c>
      <c r="F69" t="s">
        <v>42</v>
      </c>
      <c r="G69" t="s">
        <v>42</v>
      </c>
      <c r="H69" t="s">
        <v>43</v>
      </c>
      <c r="I69" t="s">
        <v>44</v>
      </c>
      <c r="J69">
        <v>5</v>
      </c>
      <c r="K69">
        <v>2</v>
      </c>
      <c r="L69" t="s">
        <v>118</v>
      </c>
      <c r="M69" t="s">
        <v>42</v>
      </c>
      <c r="N69" t="s">
        <v>42</v>
      </c>
      <c r="O69" t="s">
        <v>127</v>
      </c>
      <c r="P69" t="s">
        <v>122</v>
      </c>
      <c r="Q69" t="s">
        <v>120</v>
      </c>
      <c r="R69" t="s">
        <v>124</v>
      </c>
      <c r="S69" t="s">
        <v>125</v>
      </c>
      <c r="T69" t="s">
        <v>51</v>
      </c>
      <c r="U69" t="s">
        <v>52</v>
      </c>
      <c r="V69" t="s">
        <v>53</v>
      </c>
      <c r="W69" t="b">
        <v>1</v>
      </c>
      <c r="X69" t="b">
        <v>0</v>
      </c>
      <c r="Y69" t="s">
        <v>42</v>
      </c>
      <c r="Z69" t="s">
        <v>42</v>
      </c>
      <c r="AA69" t="s">
        <v>42</v>
      </c>
      <c r="AB69" t="s">
        <v>42</v>
      </c>
      <c r="AC69" t="s">
        <v>42</v>
      </c>
      <c r="AD69" t="s">
        <v>42</v>
      </c>
      <c r="AE69" t="s">
        <v>54</v>
      </c>
      <c r="AF69">
        <v>20000</v>
      </c>
      <c r="AG69">
        <v>500</v>
      </c>
      <c r="AH69" t="s">
        <v>121</v>
      </c>
      <c r="AI69" t="b">
        <v>0</v>
      </c>
      <c r="AJ69" t="b">
        <v>0</v>
      </c>
      <c r="AK69" t="b">
        <v>1</v>
      </c>
      <c r="AL69" t="b">
        <v>1</v>
      </c>
    </row>
    <row r="70" spans="1:38" hidden="1" x14ac:dyDescent="0.25">
      <c r="A70">
        <v>69</v>
      </c>
      <c r="B70" t="s">
        <v>420</v>
      </c>
      <c r="C70" t="s">
        <v>41</v>
      </c>
      <c r="D70">
        <v>800</v>
      </c>
      <c r="E70">
        <v>2.5000000000000001E-2</v>
      </c>
      <c r="F70" t="s">
        <v>42</v>
      </c>
      <c r="G70" t="s">
        <v>42</v>
      </c>
      <c r="H70" t="s">
        <v>43</v>
      </c>
      <c r="I70" t="s">
        <v>44</v>
      </c>
      <c r="J70">
        <v>5</v>
      </c>
      <c r="K70">
        <v>2</v>
      </c>
      <c r="L70" t="s">
        <v>118</v>
      </c>
      <c r="M70" t="s">
        <v>42</v>
      </c>
      <c r="N70" t="s">
        <v>42</v>
      </c>
      <c r="O70" t="s">
        <v>127</v>
      </c>
      <c r="P70" t="s">
        <v>122</v>
      </c>
      <c r="Q70" t="s">
        <v>120</v>
      </c>
      <c r="R70" t="s">
        <v>124</v>
      </c>
      <c r="S70" t="s">
        <v>125</v>
      </c>
      <c r="T70" t="s">
        <v>51</v>
      </c>
      <c r="U70" t="s">
        <v>52</v>
      </c>
      <c r="V70" t="s">
        <v>53</v>
      </c>
      <c r="W70" t="b">
        <v>1</v>
      </c>
      <c r="X70" t="b">
        <v>0</v>
      </c>
      <c r="Y70" t="s">
        <v>42</v>
      </c>
      <c r="Z70" t="s">
        <v>42</v>
      </c>
      <c r="AA70" t="s">
        <v>42</v>
      </c>
      <c r="AB70" t="s">
        <v>42</v>
      </c>
      <c r="AC70" t="s">
        <v>42</v>
      </c>
      <c r="AD70" t="s">
        <v>42</v>
      </c>
      <c r="AE70" t="s">
        <v>54</v>
      </c>
      <c r="AF70">
        <v>20000</v>
      </c>
      <c r="AG70">
        <v>500</v>
      </c>
      <c r="AH70" t="s">
        <v>121</v>
      </c>
      <c r="AI70" t="b">
        <v>0</v>
      </c>
      <c r="AJ70" t="b">
        <v>0</v>
      </c>
      <c r="AK70" t="b">
        <v>1</v>
      </c>
      <c r="AL70" t="b">
        <v>1</v>
      </c>
    </row>
    <row r="71" spans="1:38" hidden="1" x14ac:dyDescent="0.25">
      <c r="A71">
        <v>70</v>
      </c>
      <c r="B71" t="s">
        <v>421</v>
      </c>
      <c r="C71" t="s">
        <v>117</v>
      </c>
      <c r="D71">
        <v>800</v>
      </c>
      <c r="E71">
        <v>2.5000000000000001E-2</v>
      </c>
      <c r="F71" t="s">
        <v>42</v>
      </c>
      <c r="G71" t="s">
        <v>42</v>
      </c>
      <c r="H71" t="s">
        <v>43</v>
      </c>
      <c r="I71" t="s">
        <v>44</v>
      </c>
      <c r="J71">
        <v>5</v>
      </c>
      <c r="K71">
        <v>2</v>
      </c>
      <c r="L71" t="s">
        <v>118</v>
      </c>
      <c r="M71" t="s">
        <v>42</v>
      </c>
      <c r="N71" t="s">
        <v>42</v>
      </c>
      <c r="O71" t="s">
        <v>127</v>
      </c>
      <c r="P71" t="s">
        <v>122</v>
      </c>
      <c r="Q71" t="s">
        <v>123</v>
      </c>
      <c r="R71" t="s">
        <v>124</v>
      </c>
      <c r="S71" t="s">
        <v>125</v>
      </c>
      <c r="T71" t="s">
        <v>51</v>
      </c>
      <c r="U71" t="s">
        <v>126</v>
      </c>
      <c r="V71" t="s">
        <v>53</v>
      </c>
      <c r="W71" t="b">
        <v>1</v>
      </c>
      <c r="X71" t="b">
        <v>1</v>
      </c>
      <c r="Y71">
        <v>1</v>
      </c>
      <c r="Z71">
        <v>1</v>
      </c>
      <c r="AA71" t="s">
        <v>56</v>
      </c>
      <c r="AB71" t="s">
        <v>57</v>
      </c>
      <c r="AC71">
        <v>0.75</v>
      </c>
      <c r="AD71" t="b">
        <v>1</v>
      </c>
      <c r="AE71" t="s">
        <v>23</v>
      </c>
      <c r="AF71">
        <v>20000</v>
      </c>
      <c r="AG71">
        <v>500</v>
      </c>
      <c r="AH71" t="s">
        <v>121</v>
      </c>
      <c r="AI71" t="b">
        <v>0</v>
      </c>
      <c r="AJ71" t="b">
        <v>0</v>
      </c>
      <c r="AK71" t="b">
        <v>1</v>
      </c>
      <c r="AL71" t="b">
        <v>1</v>
      </c>
    </row>
    <row r="72" spans="1:38" hidden="1" x14ac:dyDescent="0.25">
      <c r="A72">
        <v>71</v>
      </c>
      <c r="B72" t="s">
        <v>422</v>
      </c>
      <c r="C72" t="s">
        <v>41</v>
      </c>
      <c r="D72">
        <v>800</v>
      </c>
      <c r="E72">
        <v>2.5000000000000001E-2</v>
      </c>
      <c r="F72" t="s">
        <v>42</v>
      </c>
      <c r="G72" t="s">
        <v>42</v>
      </c>
      <c r="H72" t="s">
        <v>43</v>
      </c>
      <c r="I72" t="s">
        <v>44</v>
      </c>
      <c r="J72">
        <v>5</v>
      </c>
      <c r="K72">
        <v>2</v>
      </c>
      <c r="L72" t="s">
        <v>118</v>
      </c>
      <c r="M72" t="s">
        <v>42</v>
      </c>
      <c r="N72" t="s">
        <v>42</v>
      </c>
      <c r="O72" t="s">
        <v>127</v>
      </c>
      <c r="P72" t="s">
        <v>122</v>
      </c>
      <c r="Q72" t="s">
        <v>123</v>
      </c>
      <c r="R72" t="s">
        <v>124</v>
      </c>
      <c r="S72" t="s">
        <v>125</v>
      </c>
      <c r="T72" t="s">
        <v>51</v>
      </c>
      <c r="U72" t="s">
        <v>126</v>
      </c>
      <c r="V72" t="s">
        <v>53</v>
      </c>
      <c r="W72" t="b">
        <v>1</v>
      </c>
      <c r="X72" t="b">
        <v>1</v>
      </c>
      <c r="Y72">
        <v>1</v>
      </c>
      <c r="Z72">
        <v>1</v>
      </c>
      <c r="AA72" t="s">
        <v>56</v>
      </c>
      <c r="AB72" t="s">
        <v>57</v>
      </c>
      <c r="AC72">
        <v>0.75</v>
      </c>
      <c r="AD72" t="b">
        <v>1</v>
      </c>
      <c r="AE72" t="s">
        <v>23</v>
      </c>
      <c r="AF72">
        <v>20000</v>
      </c>
      <c r="AG72">
        <v>500</v>
      </c>
      <c r="AH72" t="s">
        <v>121</v>
      </c>
      <c r="AI72" t="b">
        <v>0</v>
      </c>
      <c r="AJ72" t="b">
        <v>0</v>
      </c>
      <c r="AK72" t="b">
        <v>1</v>
      </c>
      <c r="AL72" t="b">
        <v>1</v>
      </c>
    </row>
    <row r="73" spans="1:38" hidden="1" x14ac:dyDescent="0.25">
      <c r="A73">
        <v>72</v>
      </c>
      <c r="B73" t="s">
        <v>423</v>
      </c>
      <c r="C73" t="s">
        <v>117</v>
      </c>
      <c r="D73">
        <v>800</v>
      </c>
      <c r="E73">
        <v>2.5000000000000001E-2</v>
      </c>
      <c r="F73" t="s">
        <v>42</v>
      </c>
      <c r="G73" t="s">
        <v>42</v>
      </c>
      <c r="H73" t="s">
        <v>43</v>
      </c>
      <c r="I73" t="s">
        <v>44</v>
      </c>
      <c r="J73">
        <v>5</v>
      </c>
      <c r="K73">
        <v>2</v>
      </c>
      <c r="L73" t="s">
        <v>118</v>
      </c>
      <c r="M73" t="s">
        <v>42</v>
      </c>
      <c r="N73" t="s">
        <v>42</v>
      </c>
      <c r="O73" t="s">
        <v>127</v>
      </c>
      <c r="P73" t="s">
        <v>122</v>
      </c>
      <c r="Q73" t="s">
        <v>123</v>
      </c>
      <c r="R73" t="s">
        <v>124</v>
      </c>
      <c r="S73" t="s">
        <v>125</v>
      </c>
      <c r="T73" t="s">
        <v>51</v>
      </c>
      <c r="U73" t="s">
        <v>126</v>
      </c>
      <c r="V73" t="s">
        <v>53</v>
      </c>
      <c r="W73" t="b">
        <v>1</v>
      </c>
      <c r="X73" t="b">
        <v>1</v>
      </c>
      <c r="Y73">
        <v>1</v>
      </c>
      <c r="Z73">
        <v>1</v>
      </c>
      <c r="AA73" t="s">
        <v>56</v>
      </c>
      <c r="AB73" t="s">
        <v>57</v>
      </c>
      <c r="AC73">
        <v>0.5</v>
      </c>
      <c r="AD73" t="b">
        <v>1</v>
      </c>
      <c r="AE73" t="s">
        <v>23</v>
      </c>
      <c r="AF73">
        <v>20000</v>
      </c>
      <c r="AG73">
        <v>500</v>
      </c>
      <c r="AH73" t="s">
        <v>121</v>
      </c>
      <c r="AI73" t="b">
        <v>0</v>
      </c>
      <c r="AJ73" t="b">
        <v>0</v>
      </c>
      <c r="AK73" t="b">
        <v>1</v>
      </c>
      <c r="AL73" t="b">
        <v>1</v>
      </c>
    </row>
    <row r="74" spans="1:38" hidden="1" x14ac:dyDescent="0.25">
      <c r="A74">
        <v>73</v>
      </c>
      <c r="B74" t="s">
        <v>424</v>
      </c>
      <c r="C74" t="s">
        <v>41</v>
      </c>
      <c r="D74">
        <v>800</v>
      </c>
      <c r="E74">
        <v>2.5000000000000001E-2</v>
      </c>
      <c r="F74" t="s">
        <v>42</v>
      </c>
      <c r="G74" t="s">
        <v>42</v>
      </c>
      <c r="H74" t="s">
        <v>43</v>
      </c>
      <c r="I74" t="s">
        <v>44</v>
      </c>
      <c r="J74">
        <v>5</v>
      </c>
      <c r="K74">
        <v>2</v>
      </c>
      <c r="L74" t="s">
        <v>118</v>
      </c>
      <c r="M74" t="s">
        <v>42</v>
      </c>
      <c r="N74" t="s">
        <v>42</v>
      </c>
      <c r="O74" t="s">
        <v>127</v>
      </c>
      <c r="P74" t="s">
        <v>122</v>
      </c>
      <c r="Q74" t="s">
        <v>123</v>
      </c>
      <c r="R74" t="s">
        <v>124</v>
      </c>
      <c r="S74" t="s">
        <v>125</v>
      </c>
      <c r="T74" t="s">
        <v>51</v>
      </c>
      <c r="U74" t="s">
        <v>126</v>
      </c>
      <c r="V74" t="s">
        <v>53</v>
      </c>
      <c r="W74" t="b">
        <v>1</v>
      </c>
      <c r="X74" t="b">
        <v>1</v>
      </c>
      <c r="Y74">
        <v>1</v>
      </c>
      <c r="Z74">
        <v>1</v>
      </c>
      <c r="AA74" t="s">
        <v>56</v>
      </c>
      <c r="AB74" t="s">
        <v>57</v>
      </c>
      <c r="AC74">
        <v>0.5</v>
      </c>
      <c r="AD74" t="b">
        <v>1</v>
      </c>
      <c r="AE74" t="s">
        <v>23</v>
      </c>
      <c r="AF74">
        <v>20000</v>
      </c>
      <c r="AG74">
        <v>500</v>
      </c>
      <c r="AH74" t="s">
        <v>121</v>
      </c>
      <c r="AI74" t="b">
        <v>0</v>
      </c>
      <c r="AJ74" t="b">
        <v>0</v>
      </c>
      <c r="AK74" t="b">
        <v>1</v>
      </c>
      <c r="AL74" t="b">
        <v>1</v>
      </c>
    </row>
    <row r="75" spans="1:38" hidden="1" x14ac:dyDescent="0.25">
      <c r="A75">
        <v>74</v>
      </c>
      <c r="B75" t="s">
        <v>425</v>
      </c>
      <c r="C75" t="s">
        <v>117</v>
      </c>
      <c r="D75">
        <v>800</v>
      </c>
      <c r="E75">
        <v>2.5000000000000001E-2</v>
      </c>
      <c r="F75" t="s">
        <v>42</v>
      </c>
      <c r="G75" t="s">
        <v>42</v>
      </c>
      <c r="H75" t="s">
        <v>43</v>
      </c>
      <c r="I75" t="s">
        <v>44</v>
      </c>
      <c r="J75">
        <v>5</v>
      </c>
      <c r="K75">
        <v>2</v>
      </c>
      <c r="L75" t="s">
        <v>118</v>
      </c>
      <c r="M75" t="s">
        <v>42</v>
      </c>
      <c r="N75" t="s">
        <v>42</v>
      </c>
      <c r="O75" t="s">
        <v>127</v>
      </c>
      <c r="P75" t="s">
        <v>122</v>
      </c>
      <c r="Q75" t="s">
        <v>123</v>
      </c>
      <c r="R75" t="s">
        <v>124</v>
      </c>
      <c r="S75" t="s">
        <v>125</v>
      </c>
      <c r="T75" t="s">
        <v>51</v>
      </c>
      <c r="U75" t="s">
        <v>126</v>
      </c>
      <c r="V75" t="s">
        <v>53</v>
      </c>
      <c r="W75" t="b">
        <v>1</v>
      </c>
      <c r="X75" t="b">
        <v>1</v>
      </c>
      <c r="Y75">
        <v>1</v>
      </c>
      <c r="Z75">
        <v>1</v>
      </c>
      <c r="AA75" t="s">
        <v>56</v>
      </c>
      <c r="AB75" t="s">
        <v>57</v>
      </c>
      <c r="AC75">
        <v>0.25</v>
      </c>
      <c r="AD75" t="b">
        <v>1</v>
      </c>
      <c r="AE75" t="s">
        <v>23</v>
      </c>
      <c r="AF75">
        <v>20000</v>
      </c>
      <c r="AG75">
        <v>500</v>
      </c>
      <c r="AH75" t="s">
        <v>121</v>
      </c>
      <c r="AI75" t="b">
        <v>0</v>
      </c>
      <c r="AJ75" t="b">
        <v>0</v>
      </c>
      <c r="AK75" t="b">
        <v>1</v>
      </c>
      <c r="AL75" t="b">
        <v>1</v>
      </c>
    </row>
    <row r="76" spans="1:38" hidden="1" x14ac:dyDescent="0.25">
      <c r="A76">
        <v>75</v>
      </c>
      <c r="B76" t="s">
        <v>426</v>
      </c>
      <c r="C76" t="s">
        <v>41</v>
      </c>
      <c r="D76">
        <v>800</v>
      </c>
      <c r="E76">
        <v>2.5000000000000001E-2</v>
      </c>
      <c r="F76" t="s">
        <v>42</v>
      </c>
      <c r="G76" t="s">
        <v>42</v>
      </c>
      <c r="H76" t="s">
        <v>43</v>
      </c>
      <c r="I76" t="s">
        <v>44</v>
      </c>
      <c r="J76">
        <v>5</v>
      </c>
      <c r="K76">
        <v>2</v>
      </c>
      <c r="L76" t="s">
        <v>118</v>
      </c>
      <c r="M76" t="s">
        <v>42</v>
      </c>
      <c r="N76" t="s">
        <v>42</v>
      </c>
      <c r="O76" t="s">
        <v>127</v>
      </c>
      <c r="P76" t="s">
        <v>122</v>
      </c>
      <c r="Q76" t="s">
        <v>123</v>
      </c>
      <c r="R76" t="s">
        <v>124</v>
      </c>
      <c r="S76" t="s">
        <v>125</v>
      </c>
      <c r="T76" t="s">
        <v>51</v>
      </c>
      <c r="U76" t="s">
        <v>126</v>
      </c>
      <c r="V76" t="s">
        <v>53</v>
      </c>
      <c r="W76" t="b">
        <v>1</v>
      </c>
      <c r="X76" t="b">
        <v>1</v>
      </c>
      <c r="Y76">
        <v>1</v>
      </c>
      <c r="Z76">
        <v>1</v>
      </c>
      <c r="AA76" t="s">
        <v>56</v>
      </c>
      <c r="AB76" t="s">
        <v>57</v>
      </c>
      <c r="AC76">
        <v>0.25</v>
      </c>
      <c r="AD76" t="b">
        <v>1</v>
      </c>
      <c r="AE76" t="s">
        <v>23</v>
      </c>
      <c r="AF76">
        <v>20000</v>
      </c>
      <c r="AG76">
        <v>500</v>
      </c>
      <c r="AH76" t="s">
        <v>121</v>
      </c>
      <c r="AI76" t="b">
        <v>0</v>
      </c>
      <c r="AJ76" t="b">
        <v>0</v>
      </c>
      <c r="AK76" t="b">
        <v>1</v>
      </c>
      <c r="AL76" t="b">
        <v>1</v>
      </c>
    </row>
    <row r="77" spans="1:38" hidden="1" x14ac:dyDescent="0.25">
      <c r="A77">
        <v>76</v>
      </c>
      <c r="B77" t="s">
        <v>427</v>
      </c>
      <c r="C77" t="s">
        <v>117</v>
      </c>
      <c r="D77">
        <v>800</v>
      </c>
      <c r="E77">
        <v>2.5000000000000001E-2</v>
      </c>
      <c r="F77" t="s">
        <v>42</v>
      </c>
      <c r="G77" t="s">
        <v>42</v>
      </c>
      <c r="H77" t="s">
        <v>43</v>
      </c>
      <c r="I77" t="s">
        <v>44</v>
      </c>
      <c r="J77">
        <v>5</v>
      </c>
      <c r="K77">
        <v>2</v>
      </c>
      <c r="L77" t="s">
        <v>118</v>
      </c>
      <c r="M77" t="s">
        <v>42</v>
      </c>
      <c r="N77" t="s">
        <v>42</v>
      </c>
      <c r="O77" t="s">
        <v>127</v>
      </c>
      <c r="P77" t="s">
        <v>122</v>
      </c>
      <c r="Q77" t="s">
        <v>123</v>
      </c>
      <c r="R77" t="s">
        <v>124</v>
      </c>
      <c r="S77" t="s">
        <v>125</v>
      </c>
      <c r="T77" t="s">
        <v>51</v>
      </c>
      <c r="U77" t="s">
        <v>126</v>
      </c>
      <c r="V77" t="s">
        <v>53</v>
      </c>
      <c r="W77" t="b">
        <v>1</v>
      </c>
      <c r="X77" t="b">
        <v>1</v>
      </c>
      <c r="Y77">
        <v>1</v>
      </c>
      <c r="Z77">
        <v>1</v>
      </c>
      <c r="AA77" t="s">
        <v>56</v>
      </c>
      <c r="AB77" t="s">
        <v>60</v>
      </c>
      <c r="AC77">
        <v>1</v>
      </c>
      <c r="AD77" t="b">
        <v>1</v>
      </c>
      <c r="AE77" t="s">
        <v>23</v>
      </c>
      <c r="AF77">
        <v>20000</v>
      </c>
      <c r="AG77">
        <v>500</v>
      </c>
      <c r="AH77" t="s">
        <v>121</v>
      </c>
      <c r="AI77" t="b">
        <v>0</v>
      </c>
      <c r="AJ77" t="b">
        <v>0</v>
      </c>
      <c r="AK77" t="b">
        <v>1</v>
      </c>
      <c r="AL77" t="b">
        <v>1</v>
      </c>
    </row>
    <row r="78" spans="1:38" hidden="1" x14ac:dyDescent="0.25">
      <c r="A78">
        <v>77</v>
      </c>
      <c r="B78" t="s">
        <v>428</v>
      </c>
      <c r="C78" t="s">
        <v>41</v>
      </c>
      <c r="D78">
        <v>800</v>
      </c>
      <c r="E78">
        <v>2.5000000000000001E-2</v>
      </c>
      <c r="F78" t="s">
        <v>42</v>
      </c>
      <c r="G78" t="s">
        <v>42</v>
      </c>
      <c r="H78" t="s">
        <v>43</v>
      </c>
      <c r="I78" t="s">
        <v>44</v>
      </c>
      <c r="J78">
        <v>5</v>
      </c>
      <c r="K78">
        <v>2</v>
      </c>
      <c r="L78" t="s">
        <v>118</v>
      </c>
      <c r="M78" t="s">
        <v>42</v>
      </c>
      <c r="N78" t="s">
        <v>42</v>
      </c>
      <c r="O78" t="s">
        <v>127</v>
      </c>
      <c r="P78" t="s">
        <v>122</v>
      </c>
      <c r="Q78" t="s">
        <v>123</v>
      </c>
      <c r="R78" t="s">
        <v>124</v>
      </c>
      <c r="S78" t="s">
        <v>125</v>
      </c>
      <c r="T78" t="s">
        <v>51</v>
      </c>
      <c r="U78" t="s">
        <v>126</v>
      </c>
      <c r="V78" t="s">
        <v>53</v>
      </c>
      <c r="W78" t="b">
        <v>1</v>
      </c>
      <c r="X78" t="b">
        <v>1</v>
      </c>
      <c r="Y78">
        <v>1</v>
      </c>
      <c r="Z78">
        <v>1</v>
      </c>
      <c r="AA78" t="s">
        <v>56</v>
      </c>
      <c r="AB78" t="s">
        <v>60</v>
      </c>
      <c r="AC78">
        <v>1</v>
      </c>
      <c r="AD78" t="b">
        <v>1</v>
      </c>
      <c r="AE78" t="s">
        <v>23</v>
      </c>
      <c r="AF78">
        <v>20000</v>
      </c>
      <c r="AG78">
        <v>500</v>
      </c>
      <c r="AH78" t="s">
        <v>121</v>
      </c>
      <c r="AI78" t="b">
        <v>0</v>
      </c>
      <c r="AJ78" t="b">
        <v>0</v>
      </c>
      <c r="AK78" t="b">
        <v>1</v>
      </c>
      <c r="AL78" t="b">
        <v>1</v>
      </c>
    </row>
    <row r="79" spans="1:38" hidden="1" x14ac:dyDescent="0.25">
      <c r="A79">
        <v>78</v>
      </c>
      <c r="B79" t="s">
        <v>429</v>
      </c>
      <c r="C79" t="s">
        <v>117</v>
      </c>
      <c r="D79">
        <v>800</v>
      </c>
      <c r="E79">
        <v>2.5000000000000001E-2</v>
      </c>
      <c r="F79" t="s">
        <v>42</v>
      </c>
      <c r="G79" t="s">
        <v>42</v>
      </c>
      <c r="H79" t="s">
        <v>43</v>
      </c>
      <c r="I79" t="s">
        <v>44</v>
      </c>
      <c r="J79">
        <v>5</v>
      </c>
      <c r="K79">
        <v>2</v>
      </c>
      <c r="L79" t="s">
        <v>118</v>
      </c>
      <c r="M79" t="s">
        <v>42</v>
      </c>
      <c r="N79" t="s">
        <v>42</v>
      </c>
      <c r="O79" t="s">
        <v>128</v>
      </c>
      <c r="P79" t="s">
        <v>122</v>
      </c>
      <c r="Q79" t="s">
        <v>120</v>
      </c>
      <c r="R79" t="s">
        <v>124</v>
      </c>
      <c r="S79" t="s">
        <v>125</v>
      </c>
      <c r="T79" t="s">
        <v>51</v>
      </c>
      <c r="U79" t="s">
        <v>52</v>
      </c>
      <c r="V79" t="s">
        <v>53</v>
      </c>
      <c r="W79" t="b">
        <v>1</v>
      </c>
      <c r="X79" t="b">
        <v>0</v>
      </c>
      <c r="Y79" t="s">
        <v>42</v>
      </c>
      <c r="Z79" t="s">
        <v>42</v>
      </c>
      <c r="AA79" t="s">
        <v>42</v>
      </c>
      <c r="AB79" t="s">
        <v>42</v>
      </c>
      <c r="AC79" t="s">
        <v>42</v>
      </c>
      <c r="AD79" t="s">
        <v>42</v>
      </c>
      <c r="AE79" t="s">
        <v>54</v>
      </c>
      <c r="AF79">
        <v>20000</v>
      </c>
      <c r="AG79">
        <v>500</v>
      </c>
      <c r="AH79" t="s">
        <v>121</v>
      </c>
      <c r="AI79" t="b">
        <v>0</v>
      </c>
      <c r="AJ79" t="b">
        <v>0</v>
      </c>
      <c r="AK79" t="b">
        <v>1</v>
      </c>
      <c r="AL79" t="b">
        <v>1</v>
      </c>
    </row>
    <row r="80" spans="1:38" hidden="1" x14ac:dyDescent="0.25">
      <c r="A80">
        <v>79</v>
      </c>
      <c r="B80" t="s">
        <v>430</v>
      </c>
      <c r="C80" t="s">
        <v>41</v>
      </c>
      <c r="D80">
        <v>800</v>
      </c>
      <c r="E80">
        <v>2.5000000000000001E-2</v>
      </c>
      <c r="F80" t="s">
        <v>42</v>
      </c>
      <c r="G80" t="s">
        <v>42</v>
      </c>
      <c r="H80" t="s">
        <v>43</v>
      </c>
      <c r="I80" t="s">
        <v>44</v>
      </c>
      <c r="J80">
        <v>5</v>
      </c>
      <c r="K80">
        <v>2</v>
      </c>
      <c r="L80" t="s">
        <v>118</v>
      </c>
      <c r="M80" t="s">
        <v>42</v>
      </c>
      <c r="N80" t="s">
        <v>42</v>
      </c>
      <c r="O80" t="s">
        <v>128</v>
      </c>
      <c r="P80" t="s">
        <v>122</v>
      </c>
      <c r="Q80" t="s">
        <v>120</v>
      </c>
      <c r="R80" t="s">
        <v>124</v>
      </c>
      <c r="S80" t="s">
        <v>125</v>
      </c>
      <c r="T80" t="s">
        <v>51</v>
      </c>
      <c r="U80" t="s">
        <v>52</v>
      </c>
      <c r="V80" t="s">
        <v>53</v>
      </c>
      <c r="W80" t="b">
        <v>1</v>
      </c>
      <c r="X80" t="b">
        <v>0</v>
      </c>
      <c r="Y80" t="s">
        <v>42</v>
      </c>
      <c r="Z80" t="s">
        <v>42</v>
      </c>
      <c r="AA80" t="s">
        <v>42</v>
      </c>
      <c r="AB80" t="s">
        <v>42</v>
      </c>
      <c r="AC80" t="s">
        <v>42</v>
      </c>
      <c r="AD80" t="s">
        <v>42</v>
      </c>
      <c r="AE80" t="s">
        <v>54</v>
      </c>
      <c r="AF80">
        <v>20000</v>
      </c>
      <c r="AG80">
        <v>500</v>
      </c>
      <c r="AH80" t="s">
        <v>121</v>
      </c>
      <c r="AI80" t="b">
        <v>0</v>
      </c>
      <c r="AJ80" t="b">
        <v>0</v>
      </c>
      <c r="AK80" t="b">
        <v>1</v>
      </c>
      <c r="AL80" t="b">
        <v>1</v>
      </c>
    </row>
    <row r="81" spans="1:38" hidden="1" x14ac:dyDescent="0.25">
      <c r="A81">
        <v>80</v>
      </c>
      <c r="B81" t="s">
        <v>431</v>
      </c>
      <c r="C81" t="s">
        <v>117</v>
      </c>
      <c r="D81">
        <v>800</v>
      </c>
      <c r="E81">
        <v>2.5000000000000001E-2</v>
      </c>
      <c r="F81" t="s">
        <v>42</v>
      </c>
      <c r="G81" t="s">
        <v>42</v>
      </c>
      <c r="H81" t="s">
        <v>43</v>
      </c>
      <c r="I81" t="s">
        <v>44</v>
      </c>
      <c r="J81">
        <v>5</v>
      </c>
      <c r="K81">
        <v>2</v>
      </c>
      <c r="L81" t="s">
        <v>118</v>
      </c>
      <c r="M81" t="s">
        <v>42</v>
      </c>
      <c r="N81" t="s">
        <v>42</v>
      </c>
      <c r="O81" t="s">
        <v>128</v>
      </c>
      <c r="P81" t="s">
        <v>122</v>
      </c>
      <c r="Q81" t="s">
        <v>123</v>
      </c>
      <c r="R81" t="s">
        <v>124</v>
      </c>
      <c r="S81" t="s">
        <v>125</v>
      </c>
      <c r="T81" t="s">
        <v>51</v>
      </c>
      <c r="U81" t="s">
        <v>126</v>
      </c>
      <c r="V81" t="s">
        <v>53</v>
      </c>
      <c r="W81" t="b">
        <v>1</v>
      </c>
      <c r="X81" t="b">
        <v>1</v>
      </c>
      <c r="Y81">
        <v>1</v>
      </c>
      <c r="Z81">
        <v>1</v>
      </c>
      <c r="AA81" t="s">
        <v>56</v>
      </c>
      <c r="AB81" t="s">
        <v>57</v>
      </c>
      <c r="AC81">
        <v>0.75</v>
      </c>
      <c r="AD81" t="b">
        <v>1</v>
      </c>
      <c r="AE81" t="s">
        <v>23</v>
      </c>
      <c r="AF81">
        <v>20000</v>
      </c>
      <c r="AG81">
        <v>500</v>
      </c>
      <c r="AH81" t="s">
        <v>121</v>
      </c>
      <c r="AI81" t="b">
        <v>0</v>
      </c>
      <c r="AJ81" t="b">
        <v>0</v>
      </c>
      <c r="AK81" t="b">
        <v>1</v>
      </c>
      <c r="AL81" t="b">
        <v>1</v>
      </c>
    </row>
    <row r="82" spans="1:38" hidden="1" x14ac:dyDescent="0.25">
      <c r="A82">
        <v>81</v>
      </c>
      <c r="B82" t="s">
        <v>432</v>
      </c>
      <c r="C82" t="s">
        <v>41</v>
      </c>
      <c r="D82">
        <v>800</v>
      </c>
      <c r="E82">
        <v>2.5000000000000001E-2</v>
      </c>
      <c r="F82" t="s">
        <v>42</v>
      </c>
      <c r="G82" t="s">
        <v>42</v>
      </c>
      <c r="H82" t="s">
        <v>43</v>
      </c>
      <c r="I82" t="s">
        <v>44</v>
      </c>
      <c r="J82">
        <v>5</v>
      </c>
      <c r="K82">
        <v>2</v>
      </c>
      <c r="L82" t="s">
        <v>118</v>
      </c>
      <c r="M82" t="s">
        <v>42</v>
      </c>
      <c r="N82" t="s">
        <v>42</v>
      </c>
      <c r="O82" t="s">
        <v>128</v>
      </c>
      <c r="P82" t="s">
        <v>122</v>
      </c>
      <c r="Q82" t="s">
        <v>123</v>
      </c>
      <c r="R82" t="s">
        <v>124</v>
      </c>
      <c r="S82" t="s">
        <v>125</v>
      </c>
      <c r="T82" t="s">
        <v>51</v>
      </c>
      <c r="U82" t="s">
        <v>126</v>
      </c>
      <c r="V82" t="s">
        <v>53</v>
      </c>
      <c r="W82" t="b">
        <v>1</v>
      </c>
      <c r="X82" t="b">
        <v>1</v>
      </c>
      <c r="Y82">
        <v>1</v>
      </c>
      <c r="Z82">
        <v>1</v>
      </c>
      <c r="AA82" t="s">
        <v>56</v>
      </c>
      <c r="AB82" t="s">
        <v>57</v>
      </c>
      <c r="AC82">
        <v>0.75</v>
      </c>
      <c r="AD82" t="b">
        <v>1</v>
      </c>
      <c r="AE82" t="s">
        <v>23</v>
      </c>
      <c r="AF82">
        <v>20000</v>
      </c>
      <c r="AG82">
        <v>500</v>
      </c>
      <c r="AH82" t="s">
        <v>121</v>
      </c>
      <c r="AI82" t="b">
        <v>0</v>
      </c>
      <c r="AJ82" t="b">
        <v>0</v>
      </c>
      <c r="AK82" t="b">
        <v>1</v>
      </c>
      <c r="AL82" t="b">
        <v>1</v>
      </c>
    </row>
    <row r="83" spans="1:38" hidden="1" x14ac:dyDescent="0.25">
      <c r="A83">
        <v>82</v>
      </c>
      <c r="B83" t="s">
        <v>433</v>
      </c>
      <c r="C83" t="s">
        <v>117</v>
      </c>
      <c r="D83">
        <v>800</v>
      </c>
      <c r="E83">
        <v>2.5000000000000001E-2</v>
      </c>
      <c r="F83" t="s">
        <v>42</v>
      </c>
      <c r="G83" t="s">
        <v>42</v>
      </c>
      <c r="H83" t="s">
        <v>43</v>
      </c>
      <c r="I83" t="s">
        <v>44</v>
      </c>
      <c r="J83">
        <v>5</v>
      </c>
      <c r="K83">
        <v>2</v>
      </c>
      <c r="L83" t="s">
        <v>118</v>
      </c>
      <c r="M83" t="s">
        <v>42</v>
      </c>
      <c r="N83" t="s">
        <v>42</v>
      </c>
      <c r="O83" t="s">
        <v>128</v>
      </c>
      <c r="P83" t="s">
        <v>122</v>
      </c>
      <c r="Q83" t="s">
        <v>123</v>
      </c>
      <c r="R83" t="s">
        <v>124</v>
      </c>
      <c r="S83" t="s">
        <v>125</v>
      </c>
      <c r="T83" t="s">
        <v>51</v>
      </c>
      <c r="U83" t="s">
        <v>126</v>
      </c>
      <c r="V83" t="s">
        <v>53</v>
      </c>
      <c r="W83" t="b">
        <v>1</v>
      </c>
      <c r="X83" t="b">
        <v>1</v>
      </c>
      <c r="Y83">
        <v>1</v>
      </c>
      <c r="Z83">
        <v>1</v>
      </c>
      <c r="AA83" t="s">
        <v>56</v>
      </c>
      <c r="AB83" t="s">
        <v>57</v>
      </c>
      <c r="AC83">
        <v>0.5</v>
      </c>
      <c r="AD83" t="b">
        <v>1</v>
      </c>
      <c r="AE83" t="s">
        <v>23</v>
      </c>
      <c r="AF83">
        <v>20000</v>
      </c>
      <c r="AG83">
        <v>500</v>
      </c>
      <c r="AH83" t="s">
        <v>121</v>
      </c>
      <c r="AI83" t="b">
        <v>0</v>
      </c>
      <c r="AJ83" t="b">
        <v>0</v>
      </c>
      <c r="AK83" t="b">
        <v>1</v>
      </c>
      <c r="AL83" t="b">
        <v>1</v>
      </c>
    </row>
    <row r="84" spans="1:38" hidden="1" x14ac:dyDescent="0.25">
      <c r="A84">
        <v>83</v>
      </c>
      <c r="B84" t="s">
        <v>434</v>
      </c>
      <c r="C84" t="s">
        <v>41</v>
      </c>
      <c r="D84">
        <v>800</v>
      </c>
      <c r="E84">
        <v>2.5000000000000001E-2</v>
      </c>
      <c r="F84" t="s">
        <v>42</v>
      </c>
      <c r="G84" t="s">
        <v>42</v>
      </c>
      <c r="H84" t="s">
        <v>43</v>
      </c>
      <c r="I84" t="s">
        <v>44</v>
      </c>
      <c r="J84">
        <v>5</v>
      </c>
      <c r="K84">
        <v>2</v>
      </c>
      <c r="L84" t="s">
        <v>118</v>
      </c>
      <c r="M84" t="s">
        <v>42</v>
      </c>
      <c r="N84" t="s">
        <v>42</v>
      </c>
      <c r="O84" t="s">
        <v>128</v>
      </c>
      <c r="P84" t="s">
        <v>122</v>
      </c>
      <c r="Q84" t="s">
        <v>123</v>
      </c>
      <c r="R84" t="s">
        <v>124</v>
      </c>
      <c r="S84" t="s">
        <v>125</v>
      </c>
      <c r="T84" t="s">
        <v>51</v>
      </c>
      <c r="U84" t="s">
        <v>126</v>
      </c>
      <c r="V84" t="s">
        <v>53</v>
      </c>
      <c r="W84" t="b">
        <v>1</v>
      </c>
      <c r="X84" t="b">
        <v>1</v>
      </c>
      <c r="Y84">
        <v>1</v>
      </c>
      <c r="Z84">
        <v>1</v>
      </c>
      <c r="AA84" t="s">
        <v>56</v>
      </c>
      <c r="AB84" t="s">
        <v>57</v>
      </c>
      <c r="AC84">
        <v>0.5</v>
      </c>
      <c r="AD84" t="b">
        <v>1</v>
      </c>
      <c r="AE84" t="s">
        <v>23</v>
      </c>
      <c r="AF84">
        <v>20000</v>
      </c>
      <c r="AG84">
        <v>500</v>
      </c>
      <c r="AH84" t="s">
        <v>121</v>
      </c>
      <c r="AI84" t="b">
        <v>0</v>
      </c>
      <c r="AJ84" t="b">
        <v>0</v>
      </c>
      <c r="AK84" t="b">
        <v>1</v>
      </c>
      <c r="AL84" t="b">
        <v>1</v>
      </c>
    </row>
    <row r="85" spans="1:38" hidden="1" x14ac:dyDescent="0.25">
      <c r="A85">
        <v>84</v>
      </c>
      <c r="B85" t="s">
        <v>435</v>
      </c>
      <c r="C85" t="s">
        <v>117</v>
      </c>
      <c r="D85">
        <v>800</v>
      </c>
      <c r="E85">
        <v>2.5000000000000001E-2</v>
      </c>
      <c r="F85" t="s">
        <v>42</v>
      </c>
      <c r="G85" t="s">
        <v>42</v>
      </c>
      <c r="H85" t="s">
        <v>43</v>
      </c>
      <c r="I85" t="s">
        <v>44</v>
      </c>
      <c r="J85">
        <v>5</v>
      </c>
      <c r="K85">
        <v>2</v>
      </c>
      <c r="L85" t="s">
        <v>118</v>
      </c>
      <c r="M85" t="s">
        <v>42</v>
      </c>
      <c r="N85" t="s">
        <v>42</v>
      </c>
      <c r="O85" t="s">
        <v>128</v>
      </c>
      <c r="P85" t="s">
        <v>122</v>
      </c>
      <c r="Q85" t="s">
        <v>123</v>
      </c>
      <c r="R85" t="s">
        <v>124</v>
      </c>
      <c r="S85" t="s">
        <v>125</v>
      </c>
      <c r="T85" t="s">
        <v>51</v>
      </c>
      <c r="U85" t="s">
        <v>126</v>
      </c>
      <c r="V85" t="s">
        <v>53</v>
      </c>
      <c r="W85" t="b">
        <v>1</v>
      </c>
      <c r="X85" t="b">
        <v>1</v>
      </c>
      <c r="Y85">
        <v>1</v>
      </c>
      <c r="Z85">
        <v>1</v>
      </c>
      <c r="AA85" t="s">
        <v>56</v>
      </c>
      <c r="AB85" t="s">
        <v>57</v>
      </c>
      <c r="AC85">
        <v>0.25</v>
      </c>
      <c r="AD85" t="b">
        <v>1</v>
      </c>
      <c r="AE85" t="s">
        <v>23</v>
      </c>
      <c r="AF85">
        <v>20000</v>
      </c>
      <c r="AG85">
        <v>500</v>
      </c>
      <c r="AH85" t="s">
        <v>121</v>
      </c>
      <c r="AI85" t="b">
        <v>0</v>
      </c>
      <c r="AJ85" t="b">
        <v>0</v>
      </c>
      <c r="AK85" t="b">
        <v>1</v>
      </c>
      <c r="AL85" t="b">
        <v>1</v>
      </c>
    </row>
    <row r="86" spans="1:38" hidden="1" x14ac:dyDescent="0.25">
      <c r="A86">
        <v>85</v>
      </c>
      <c r="B86" t="s">
        <v>436</v>
      </c>
      <c r="C86" t="s">
        <v>41</v>
      </c>
      <c r="D86">
        <v>800</v>
      </c>
      <c r="E86">
        <v>2.5000000000000001E-2</v>
      </c>
      <c r="F86" t="s">
        <v>42</v>
      </c>
      <c r="G86" t="s">
        <v>42</v>
      </c>
      <c r="H86" t="s">
        <v>43</v>
      </c>
      <c r="I86" t="s">
        <v>44</v>
      </c>
      <c r="J86">
        <v>5</v>
      </c>
      <c r="K86">
        <v>2</v>
      </c>
      <c r="L86" t="s">
        <v>118</v>
      </c>
      <c r="M86" t="s">
        <v>42</v>
      </c>
      <c r="N86" t="s">
        <v>42</v>
      </c>
      <c r="O86" t="s">
        <v>128</v>
      </c>
      <c r="P86" t="s">
        <v>122</v>
      </c>
      <c r="Q86" t="s">
        <v>123</v>
      </c>
      <c r="R86" t="s">
        <v>124</v>
      </c>
      <c r="S86" t="s">
        <v>125</v>
      </c>
      <c r="T86" t="s">
        <v>51</v>
      </c>
      <c r="U86" t="s">
        <v>126</v>
      </c>
      <c r="V86" t="s">
        <v>53</v>
      </c>
      <c r="W86" t="b">
        <v>1</v>
      </c>
      <c r="X86" t="b">
        <v>1</v>
      </c>
      <c r="Y86">
        <v>1</v>
      </c>
      <c r="Z86">
        <v>1</v>
      </c>
      <c r="AA86" t="s">
        <v>56</v>
      </c>
      <c r="AB86" t="s">
        <v>57</v>
      </c>
      <c r="AC86">
        <v>0.25</v>
      </c>
      <c r="AD86" t="b">
        <v>1</v>
      </c>
      <c r="AE86" t="s">
        <v>23</v>
      </c>
      <c r="AF86">
        <v>20000</v>
      </c>
      <c r="AG86">
        <v>500</v>
      </c>
      <c r="AH86" t="s">
        <v>121</v>
      </c>
      <c r="AI86" t="b">
        <v>0</v>
      </c>
      <c r="AJ86" t="b">
        <v>0</v>
      </c>
      <c r="AK86" t="b">
        <v>1</v>
      </c>
      <c r="AL86" t="b">
        <v>1</v>
      </c>
    </row>
    <row r="87" spans="1:38" hidden="1" x14ac:dyDescent="0.25">
      <c r="A87">
        <v>86</v>
      </c>
      <c r="B87" t="s">
        <v>437</v>
      </c>
      <c r="C87" t="s">
        <v>117</v>
      </c>
      <c r="D87">
        <v>800</v>
      </c>
      <c r="E87">
        <v>2.5000000000000001E-2</v>
      </c>
      <c r="F87" t="s">
        <v>42</v>
      </c>
      <c r="G87" t="s">
        <v>42</v>
      </c>
      <c r="H87" t="s">
        <v>43</v>
      </c>
      <c r="I87" t="s">
        <v>44</v>
      </c>
      <c r="J87">
        <v>5</v>
      </c>
      <c r="K87">
        <v>2</v>
      </c>
      <c r="L87" t="s">
        <v>118</v>
      </c>
      <c r="M87" t="s">
        <v>42</v>
      </c>
      <c r="N87" t="s">
        <v>42</v>
      </c>
      <c r="O87" t="s">
        <v>128</v>
      </c>
      <c r="P87" t="s">
        <v>122</v>
      </c>
      <c r="Q87" t="s">
        <v>123</v>
      </c>
      <c r="R87" t="s">
        <v>124</v>
      </c>
      <c r="S87" t="s">
        <v>125</v>
      </c>
      <c r="T87" t="s">
        <v>51</v>
      </c>
      <c r="U87" t="s">
        <v>126</v>
      </c>
      <c r="V87" t="s">
        <v>53</v>
      </c>
      <c r="W87" t="b">
        <v>1</v>
      </c>
      <c r="X87" t="b">
        <v>1</v>
      </c>
      <c r="Y87">
        <v>1</v>
      </c>
      <c r="Z87">
        <v>1</v>
      </c>
      <c r="AA87" t="s">
        <v>56</v>
      </c>
      <c r="AB87" t="s">
        <v>60</v>
      </c>
      <c r="AC87">
        <v>1</v>
      </c>
      <c r="AD87" t="b">
        <v>1</v>
      </c>
      <c r="AE87" t="s">
        <v>23</v>
      </c>
      <c r="AF87">
        <v>20000</v>
      </c>
      <c r="AG87">
        <v>500</v>
      </c>
      <c r="AH87" t="s">
        <v>121</v>
      </c>
      <c r="AI87" t="b">
        <v>0</v>
      </c>
      <c r="AJ87" t="b">
        <v>0</v>
      </c>
      <c r="AK87" t="b">
        <v>1</v>
      </c>
      <c r="AL87" t="b">
        <v>1</v>
      </c>
    </row>
    <row r="88" spans="1:38" hidden="1" x14ac:dyDescent="0.25">
      <c r="A88">
        <v>87</v>
      </c>
      <c r="B88" t="s">
        <v>959</v>
      </c>
      <c r="C88" t="s">
        <v>41</v>
      </c>
      <c r="D88">
        <v>800</v>
      </c>
      <c r="E88">
        <v>2.5000000000000001E-2</v>
      </c>
      <c r="F88" t="s">
        <v>42</v>
      </c>
      <c r="G88" t="s">
        <v>42</v>
      </c>
      <c r="H88" t="s">
        <v>43</v>
      </c>
      <c r="I88" t="s">
        <v>44</v>
      </c>
      <c r="J88">
        <v>5</v>
      </c>
      <c r="K88">
        <v>2</v>
      </c>
      <c r="L88" t="s">
        <v>118</v>
      </c>
      <c r="M88" t="s">
        <v>42</v>
      </c>
      <c r="N88" t="s">
        <v>42</v>
      </c>
      <c r="O88" t="s">
        <v>128</v>
      </c>
      <c r="P88" t="s">
        <v>122</v>
      </c>
      <c r="Q88" t="s">
        <v>123</v>
      </c>
      <c r="R88" t="s">
        <v>124</v>
      </c>
      <c r="S88" t="s">
        <v>125</v>
      </c>
      <c r="T88" t="s">
        <v>51</v>
      </c>
      <c r="U88" t="s">
        <v>126</v>
      </c>
      <c r="V88" t="s">
        <v>53</v>
      </c>
      <c r="W88" t="b">
        <v>1</v>
      </c>
      <c r="X88" t="b">
        <v>1</v>
      </c>
      <c r="Y88">
        <v>1</v>
      </c>
      <c r="Z88">
        <v>1</v>
      </c>
      <c r="AA88" t="s">
        <v>56</v>
      </c>
      <c r="AB88" t="s">
        <v>60</v>
      </c>
      <c r="AC88">
        <v>1</v>
      </c>
      <c r="AD88" t="b">
        <v>1</v>
      </c>
      <c r="AE88" t="s">
        <v>23</v>
      </c>
      <c r="AF88">
        <v>20000</v>
      </c>
      <c r="AG88">
        <v>500</v>
      </c>
      <c r="AH88" t="s">
        <v>121</v>
      </c>
      <c r="AI88" t="b">
        <v>0</v>
      </c>
      <c r="AJ88" t="b">
        <v>0</v>
      </c>
      <c r="AK88" t="b">
        <v>1</v>
      </c>
      <c r="AL88" t="b">
        <v>1</v>
      </c>
    </row>
    <row r="89" spans="1:38" hidden="1" x14ac:dyDescent="0.25">
      <c r="A89">
        <v>88</v>
      </c>
      <c r="B89" t="s">
        <v>438</v>
      </c>
      <c r="C89" t="s">
        <v>117</v>
      </c>
      <c r="D89">
        <v>800</v>
      </c>
      <c r="E89">
        <v>2.5000000000000001E-2</v>
      </c>
      <c r="F89" t="s">
        <v>42</v>
      </c>
      <c r="G89" t="s">
        <v>42</v>
      </c>
      <c r="H89" t="s">
        <v>43</v>
      </c>
      <c r="I89" t="s">
        <v>44</v>
      </c>
      <c r="J89">
        <v>5</v>
      </c>
      <c r="K89">
        <v>2</v>
      </c>
      <c r="L89" t="s">
        <v>118</v>
      </c>
      <c r="M89" t="s">
        <v>42</v>
      </c>
      <c r="N89" t="s">
        <v>42</v>
      </c>
      <c r="O89" t="s">
        <v>129</v>
      </c>
      <c r="P89" t="s">
        <v>122</v>
      </c>
      <c r="Q89" t="s">
        <v>120</v>
      </c>
      <c r="R89" t="s">
        <v>124</v>
      </c>
      <c r="S89" t="s">
        <v>125</v>
      </c>
      <c r="T89" t="s">
        <v>51</v>
      </c>
      <c r="U89" t="s">
        <v>52</v>
      </c>
      <c r="V89" t="s">
        <v>53</v>
      </c>
      <c r="W89" t="b">
        <v>1</v>
      </c>
      <c r="X89" t="b">
        <v>0</v>
      </c>
      <c r="Y89" t="s">
        <v>42</v>
      </c>
      <c r="Z89" t="s">
        <v>42</v>
      </c>
      <c r="AA89" t="s">
        <v>42</v>
      </c>
      <c r="AB89" t="s">
        <v>42</v>
      </c>
      <c r="AC89" t="s">
        <v>42</v>
      </c>
      <c r="AD89" t="s">
        <v>42</v>
      </c>
      <c r="AE89" t="s">
        <v>54</v>
      </c>
      <c r="AF89">
        <v>20000</v>
      </c>
      <c r="AG89">
        <v>500</v>
      </c>
      <c r="AH89" t="s">
        <v>121</v>
      </c>
      <c r="AI89" t="b">
        <v>0</v>
      </c>
      <c r="AJ89" t="b">
        <v>0</v>
      </c>
      <c r="AK89" t="b">
        <v>1</v>
      </c>
      <c r="AL89" t="b">
        <v>1</v>
      </c>
    </row>
    <row r="90" spans="1:38" hidden="1" x14ac:dyDescent="0.25">
      <c r="A90">
        <v>89</v>
      </c>
      <c r="B90" t="s">
        <v>439</v>
      </c>
      <c r="C90" t="s">
        <v>41</v>
      </c>
      <c r="D90">
        <v>800</v>
      </c>
      <c r="E90">
        <v>2.5000000000000001E-2</v>
      </c>
      <c r="F90" t="s">
        <v>42</v>
      </c>
      <c r="G90" t="s">
        <v>42</v>
      </c>
      <c r="H90" t="s">
        <v>43</v>
      </c>
      <c r="I90" t="s">
        <v>44</v>
      </c>
      <c r="J90">
        <v>5</v>
      </c>
      <c r="K90">
        <v>2</v>
      </c>
      <c r="L90" t="s">
        <v>118</v>
      </c>
      <c r="M90" t="s">
        <v>42</v>
      </c>
      <c r="N90" t="s">
        <v>42</v>
      </c>
      <c r="O90" t="s">
        <v>129</v>
      </c>
      <c r="P90" t="s">
        <v>122</v>
      </c>
      <c r="Q90" t="s">
        <v>120</v>
      </c>
      <c r="R90" t="s">
        <v>124</v>
      </c>
      <c r="S90" t="s">
        <v>125</v>
      </c>
      <c r="T90" t="s">
        <v>51</v>
      </c>
      <c r="U90" t="s">
        <v>52</v>
      </c>
      <c r="V90" t="s">
        <v>53</v>
      </c>
      <c r="W90" t="b">
        <v>1</v>
      </c>
      <c r="X90" t="b">
        <v>0</v>
      </c>
      <c r="Y90" t="s">
        <v>42</v>
      </c>
      <c r="Z90" t="s">
        <v>42</v>
      </c>
      <c r="AA90" t="s">
        <v>42</v>
      </c>
      <c r="AB90" t="s">
        <v>42</v>
      </c>
      <c r="AC90" t="s">
        <v>42</v>
      </c>
      <c r="AD90" t="s">
        <v>42</v>
      </c>
      <c r="AE90" t="s">
        <v>54</v>
      </c>
      <c r="AF90">
        <v>20000</v>
      </c>
      <c r="AG90">
        <v>500</v>
      </c>
      <c r="AH90" t="s">
        <v>121</v>
      </c>
      <c r="AI90" t="b">
        <v>0</v>
      </c>
      <c r="AJ90" t="b">
        <v>0</v>
      </c>
      <c r="AK90" t="b">
        <v>1</v>
      </c>
      <c r="AL90" t="b">
        <v>1</v>
      </c>
    </row>
    <row r="91" spans="1:38" hidden="1" x14ac:dyDescent="0.25">
      <c r="A91">
        <v>90</v>
      </c>
      <c r="B91" t="s">
        <v>440</v>
      </c>
      <c r="C91" t="s">
        <v>117</v>
      </c>
      <c r="D91">
        <v>800</v>
      </c>
      <c r="E91">
        <v>2.5000000000000001E-2</v>
      </c>
      <c r="F91" t="s">
        <v>42</v>
      </c>
      <c r="G91" t="s">
        <v>42</v>
      </c>
      <c r="H91" t="s">
        <v>43</v>
      </c>
      <c r="I91" t="s">
        <v>44</v>
      </c>
      <c r="J91">
        <v>5</v>
      </c>
      <c r="K91">
        <v>2</v>
      </c>
      <c r="L91" t="s">
        <v>118</v>
      </c>
      <c r="M91" t="s">
        <v>42</v>
      </c>
      <c r="N91" t="s">
        <v>42</v>
      </c>
      <c r="O91" t="s">
        <v>129</v>
      </c>
      <c r="P91" t="s">
        <v>122</v>
      </c>
      <c r="Q91" t="s">
        <v>123</v>
      </c>
      <c r="R91" t="s">
        <v>124</v>
      </c>
      <c r="S91" t="s">
        <v>125</v>
      </c>
      <c r="T91" t="s">
        <v>51</v>
      </c>
      <c r="U91" t="s">
        <v>126</v>
      </c>
      <c r="V91" t="s">
        <v>53</v>
      </c>
      <c r="W91" t="b">
        <v>1</v>
      </c>
      <c r="X91" t="b">
        <v>1</v>
      </c>
      <c r="Y91">
        <v>1</v>
      </c>
      <c r="Z91">
        <v>1</v>
      </c>
      <c r="AA91" t="s">
        <v>56</v>
      </c>
      <c r="AB91" t="s">
        <v>57</v>
      </c>
      <c r="AC91">
        <v>0.75</v>
      </c>
      <c r="AD91" t="b">
        <v>1</v>
      </c>
      <c r="AE91" t="s">
        <v>23</v>
      </c>
      <c r="AF91">
        <v>20000</v>
      </c>
      <c r="AG91">
        <v>500</v>
      </c>
      <c r="AH91" t="s">
        <v>121</v>
      </c>
      <c r="AI91" t="b">
        <v>0</v>
      </c>
      <c r="AJ91" t="b">
        <v>0</v>
      </c>
      <c r="AK91" t="b">
        <v>1</v>
      </c>
      <c r="AL91" t="b">
        <v>1</v>
      </c>
    </row>
    <row r="92" spans="1:38" hidden="1" x14ac:dyDescent="0.25">
      <c r="A92">
        <v>91</v>
      </c>
      <c r="B92" t="s">
        <v>441</v>
      </c>
      <c r="C92" t="s">
        <v>41</v>
      </c>
      <c r="D92">
        <v>800</v>
      </c>
      <c r="E92">
        <v>2.5000000000000001E-2</v>
      </c>
      <c r="F92" t="s">
        <v>42</v>
      </c>
      <c r="G92" t="s">
        <v>42</v>
      </c>
      <c r="H92" t="s">
        <v>43</v>
      </c>
      <c r="I92" t="s">
        <v>44</v>
      </c>
      <c r="J92">
        <v>5</v>
      </c>
      <c r="K92">
        <v>2</v>
      </c>
      <c r="L92" t="s">
        <v>118</v>
      </c>
      <c r="M92" t="s">
        <v>42</v>
      </c>
      <c r="N92" t="s">
        <v>42</v>
      </c>
      <c r="O92" t="s">
        <v>129</v>
      </c>
      <c r="P92" t="s">
        <v>122</v>
      </c>
      <c r="Q92" t="s">
        <v>123</v>
      </c>
      <c r="R92" t="s">
        <v>124</v>
      </c>
      <c r="S92" t="s">
        <v>125</v>
      </c>
      <c r="T92" t="s">
        <v>51</v>
      </c>
      <c r="U92" t="s">
        <v>126</v>
      </c>
      <c r="V92" t="s">
        <v>53</v>
      </c>
      <c r="W92" t="b">
        <v>1</v>
      </c>
      <c r="X92" t="b">
        <v>1</v>
      </c>
      <c r="Y92">
        <v>1</v>
      </c>
      <c r="Z92">
        <v>1</v>
      </c>
      <c r="AA92" t="s">
        <v>56</v>
      </c>
      <c r="AB92" t="s">
        <v>57</v>
      </c>
      <c r="AC92">
        <v>0.75</v>
      </c>
      <c r="AD92" t="b">
        <v>1</v>
      </c>
      <c r="AE92" t="s">
        <v>23</v>
      </c>
      <c r="AF92">
        <v>20000</v>
      </c>
      <c r="AG92">
        <v>500</v>
      </c>
      <c r="AH92" t="s">
        <v>121</v>
      </c>
      <c r="AI92" t="b">
        <v>0</v>
      </c>
      <c r="AJ92" t="b">
        <v>0</v>
      </c>
      <c r="AK92" t="b">
        <v>1</v>
      </c>
      <c r="AL92" t="b">
        <v>1</v>
      </c>
    </row>
    <row r="93" spans="1:38" hidden="1" x14ac:dyDescent="0.25">
      <c r="A93">
        <v>92</v>
      </c>
      <c r="B93" t="s">
        <v>442</v>
      </c>
      <c r="C93" t="s">
        <v>117</v>
      </c>
      <c r="D93">
        <v>800</v>
      </c>
      <c r="E93">
        <v>2.5000000000000001E-2</v>
      </c>
      <c r="F93" t="s">
        <v>42</v>
      </c>
      <c r="G93" t="s">
        <v>42</v>
      </c>
      <c r="H93" t="s">
        <v>43</v>
      </c>
      <c r="I93" t="s">
        <v>44</v>
      </c>
      <c r="J93">
        <v>5</v>
      </c>
      <c r="K93">
        <v>2</v>
      </c>
      <c r="L93" t="s">
        <v>118</v>
      </c>
      <c r="M93" t="s">
        <v>42</v>
      </c>
      <c r="N93" t="s">
        <v>42</v>
      </c>
      <c r="O93" t="s">
        <v>129</v>
      </c>
      <c r="P93" t="s">
        <v>122</v>
      </c>
      <c r="Q93" t="s">
        <v>123</v>
      </c>
      <c r="R93" t="s">
        <v>124</v>
      </c>
      <c r="S93" t="s">
        <v>125</v>
      </c>
      <c r="T93" t="s">
        <v>51</v>
      </c>
      <c r="U93" t="s">
        <v>126</v>
      </c>
      <c r="V93" t="s">
        <v>53</v>
      </c>
      <c r="W93" t="b">
        <v>1</v>
      </c>
      <c r="X93" t="b">
        <v>1</v>
      </c>
      <c r="Y93">
        <v>1</v>
      </c>
      <c r="Z93">
        <v>1</v>
      </c>
      <c r="AA93" t="s">
        <v>56</v>
      </c>
      <c r="AB93" t="s">
        <v>57</v>
      </c>
      <c r="AC93">
        <v>0.5</v>
      </c>
      <c r="AD93" t="b">
        <v>1</v>
      </c>
      <c r="AE93" t="s">
        <v>23</v>
      </c>
      <c r="AF93">
        <v>20000</v>
      </c>
      <c r="AG93">
        <v>500</v>
      </c>
      <c r="AH93" t="s">
        <v>121</v>
      </c>
      <c r="AI93" t="b">
        <v>0</v>
      </c>
      <c r="AJ93" t="b">
        <v>0</v>
      </c>
      <c r="AK93" t="b">
        <v>1</v>
      </c>
      <c r="AL93" t="b">
        <v>1</v>
      </c>
    </row>
    <row r="94" spans="1:38" hidden="1" x14ac:dyDescent="0.25">
      <c r="A94">
        <v>93</v>
      </c>
      <c r="B94" t="s">
        <v>443</v>
      </c>
      <c r="C94" t="s">
        <v>41</v>
      </c>
      <c r="D94">
        <v>800</v>
      </c>
      <c r="E94">
        <v>2.5000000000000001E-2</v>
      </c>
      <c r="F94" t="s">
        <v>42</v>
      </c>
      <c r="G94" t="s">
        <v>42</v>
      </c>
      <c r="H94" t="s">
        <v>43</v>
      </c>
      <c r="I94" t="s">
        <v>44</v>
      </c>
      <c r="J94">
        <v>5</v>
      </c>
      <c r="K94">
        <v>2</v>
      </c>
      <c r="L94" t="s">
        <v>118</v>
      </c>
      <c r="M94" t="s">
        <v>42</v>
      </c>
      <c r="N94" t="s">
        <v>42</v>
      </c>
      <c r="O94" t="s">
        <v>129</v>
      </c>
      <c r="P94" t="s">
        <v>122</v>
      </c>
      <c r="Q94" t="s">
        <v>123</v>
      </c>
      <c r="R94" t="s">
        <v>124</v>
      </c>
      <c r="S94" t="s">
        <v>125</v>
      </c>
      <c r="T94" t="s">
        <v>51</v>
      </c>
      <c r="U94" t="s">
        <v>126</v>
      </c>
      <c r="V94" t="s">
        <v>53</v>
      </c>
      <c r="W94" t="b">
        <v>1</v>
      </c>
      <c r="X94" t="b">
        <v>1</v>
      </c>
      <c r="Y94">
        <v>1</v>
      </c>
      <c r="Z94">
        <v>1</v>
      </c>
      <c r="AA94" t="s">
        <v>56</v>
      </c>
      <c r="AB94" t="s">
        <v>57</v>
      </c>
      <c r="AC94">
        <v>0.5</v>
      </c>
      <c r="AD94" t="b">
        <v>1</v>
      </c>
      <c r="AE94" t="s">
        <v>23</v>
      </c>
      <c r="AF94">
        <v>20000</v>
      </c>
      <c r="AG94">
        <v>500</v>
      </c>
      <c r="AH94" t="s">
        <v>121</v>
      </c>
      <c r="AI94" t="b">
        <v>0</v>
      </c>
      <c r="AJ94" t="b">
        <v>0</v>
      </c>
      <c r="AK94" t="b">
        <v>1</v>
      </c>
      <c r="AL94" t="b">
        <v>1</v>
      </c>
    </row>
    <row r="95" spans="1:38" hidden="1" x14ac:dyDescent="0.25">
      <c r="A95">
        <v>94</v>
      </c>
      <c r="B95" t="s">
        <v>444</v>
      </c>
      <c r="C95" t="s">
        <v>117</v>
      </c>
      <c r="D95">
        <v>800</v>
      </c>
      <c r="E95">
        <v>2.5000000000000001E-2</v>
      </c>
      <c r="F95" t="s">
        <v>42</v>
      </c>
      <c r="G95" t="s">
        <v>42</v>
      </c>
      <c r="H95" t="s">
        <v>43</v>
      </c>
      <c r="I95" t="s">
        <v>44</v>
      </c>
      <c r="J95">
        <v>5</v>
      </c>
      <c r="K95">
        <v>2</v>
      </c>
      <c r="L95" t="s">
        <v>118</v>
      </c>
      <c r="M95" t="s">
        <v>42</v>
      </c>
      <c r="N95" t="s">
        <v>42</v>
      </c>
      <c r="O95" t="s">
        <v>129</v>
      </c>
      <c r="P95" t="s">
        <v>122</v>
      </c>
      <c r="Q95" t="s">
        <v>123</v>
      </c>
      <c r="R95" t="s">
        <v>124</v>
      </c>
      <c r="S95" t="s">
        <v>125</v>
      </c>
      <c r="T95" t="s">
        <v>51</v>
      </c>
      <c r="U95" t="s">
        <v>126</v>
      </c>
      <c r="V95" t="s">
        <v>53</v>
      </c>
      <c r="W95" t="b">
        <v>1</v>
      </c>
      <c r="X95" t="b">
        <v>1</v>
      </c>
      <c r="Y95">
        <v>1</v>
      </c>
      <c r="Z95">
        <v>1</v>
      </c>
      <c r="AA95" t="s">
        <v>56</v>
      </c>
      <c r="AB95" t="s">
        <v>57</v>
      </c>
      <c r="AC95">
        <v>0.25</v>
      </c>
      <c r="AD95" t="b">
        <v>1</v>
      </c>
      <c r="AE95" t="s">
        <v>23</v>
      </c>
      <c r="AF95">
        <v>20000</v>
      </c>
      <c r="AG95">
        <v>500</v>
      </c>
      <c r="AH95" t="s">
        <v>121</v>
      </c>
      <c r="AI95" t="b">
        <v>0</v>
      </c>
      <c r="AJ95" t="b">
        <v>0</v>
      </c>
      <c r="AK95" t="b">
        <v>1</v>
      </c>
      <c r="AL95" t="b">
        <v>1</v>
      </c>
    </row>
    <row r="96" spans="1:38" hidden="1" x14ac:dyDescent="0.25">
      <c r="A96">
        <v>95</v>
      </c>
      <c r="B96" t="s">
        <v>445</v>
      </c>
      <c r="C96" t="s">
        <v>41</v>
      </c>
      <c r="D96">
        <v>800</v>
      </c>
      <c r="E96">
        <v>2.5000000000000001E-2</v>
      </c>
      <c r="F96" t="s">
        <v>42</v>
      </c>
      <c r="G96" t="s">
        <v>42</v>
      </c>
      <c r="H96" t="s">
        <v>43</v>
      </c>
      <c r="I96" t="s">
        <v>44</v>
      </c>
      <c r="J96">
        <v>5</v>
      </c>
      <c r="K96">
        <v>2</v>
      </c>
      <c r="L96" t="s">
        <v>118</v>
      </c>
      <c r="M96" t="s">
        <v>42</v>
      </c>
      <c r="N96" t="s">
        <v>42</v>
      </c>
      <c r="O96" t="s">
        <v>129</v>
      </c>
      <c r="P96" t="s">
        <v>122</v>
      </c>
      <c r="Q96" t="s">
        <v>123</v>
      </c>
      <c r="R96" t="s">
        <v>124</v>
      </c>
      <c r="S96" t="s">
        <v>125</v>
      </c>
      <c r="T96" t="s">
        <v>51</v>
      </c>
      <c r="U96" t="s">
        <v>126</v>
      </c>
      <c r="V96" t="s">
        <v>53</v>
      </c>
      <c r="W96" t="b">
        <v>1</v>
      </c>
      <c r="X96" t="b">
        <v>1</v>
      </c>
      <c r="Y96">
        <v>1</v>
      </c>
      <c r="Z96">
        <v>1</v>
      </c>
      <c r="AA96" t="s">
        <v>56</v>
      </c>
      <c r="AB96" t="s">
        <v>57</v>
      </c>
      <c r="AC96">
        <v>0.25</v>
      </c>
      <c r="AD96" t="b">
        <v>1</v>
      </c>
      <c r="AE96" t="s">
        <v>23</v>
      </c>
      <c r="AF96">
        <v>20000</v>
      </c>
      <c r="AG96">
        <v>500</v>
      </c>
      <c r="AH96" t="s">
        <v>121</v>
      </c>
      <c r="AI96" t="b">
        <v>0</v>
      </c>
      <c r="AJ96" t="b">
        <v>0</v>
      </c>
      <c r="AK96" t="b">
        <v>1</v>
      </c>
      <c r="AL96" t="b">
        <v>1</v>
      </c>
    </row>
    <row r="97" spans="1:40" hidden="1" x14ac:dyDescent="0.25">
      <c r="A97">
        <v>96</v>
      </c>
      <c r="B97" t="s">
        <v>446</v>
      </c>
      <c r="C97" t="s">
        <v>117</v>
      </c>
      <c r="D97">
        <v>800</v>
      </c>
      <c r="E97">
        <v>2.5000000000000001E-2</v>
      </c>
      <c r="F97" t="s">
        <v>42</v>
      </c>
      <c r="G97" t="s">
        <v>42</v>
      </c>
      <c r="H97" t="s">
        <v>43</v>
      </c>
      <c r="I97" t="s">
        <v>44</v>
      </c>
      <c r="J97">
        <v>5</v>
      </c>
      <c r="K97">
        <v>2</v>
      </c>
      <c r="L97" t="s">
        <v>118</v>
      </c>
      <c r="M97" t="s">
        <v>42</v>
      </c>
      <c r="N97" t="s">
        <v>42</v>
      </c>
      <c r="O97" t="s">
        <v>129</v>
      </c>
      <c r="P97" t="s">
        <v>122</v>
      </c>
      <c r="Q97" t="s">
        <v>123</v>
      </c>
      <c r="R97" t="s">
        <v>124</v>
      </c>
      <c r="S97" t="s">
        <v>125</v>
      </c>
      <c r="T97" t="s">
        <v>51</v>
      </c>
      <c r="U97" t="s">
        <v>126</v>
      </c>
      <c r="V97" t="s">
        <v>53</v>
      </c>
      <c r="W97" t="b">
        <v>1</v>
      </c>
      <c r="X97" t="b">
        <v>1</v>
      </c>
      <c r="Y97">
        <v>1</v>
      </c>
      <c r="Z97">
        <v>1</v>
      </c>
      <c r="AA97" t="s">
        <v>56</v>
      </c>
      <c r="AB97" t="s">
        <v>60</v>
      </c>
      <c r="AC97">
        <v>1</v>
      </c>
      <c r="AD97" t="b">
        <v>1</v>
      </c>
      <c r="AE97" t="s">
        <v>23</v>
      </c>
      <c r="AF97">
        <v>20000</v>
      </c>
      <c r="AG97">
        <v>500</v>
      </c>
      <c r="AH97" t="s">
        <v>121</v>
      </c>
      <c r="AI97" t="b">
        <v>0</v>
      </c>
      <c r="AJ97" t="b">
        <v>0</v>
      </c>
      <c r="AK97" t="b">
        <v>1</v>
      </c>
      <c r="AL97" t="b">
        <v>1</v>
      </c>
    </row>
    <row r="98" spans="1:40" hidden="1" x14ac:dyDescent="0.25">
      <c r="A98">
        <v>97</v>
      </c>
      <c r="B98" t="s">
        <v>447</v>
      </c>
      <c r="C98" t="s">
        <v>41</v>
      </c>
      <c r="D98">
        <v>800</v>
      </c>
      <c r="E98">
        <v>2.5000000000000001E-2</v>
      </c>
      <c r="F98" t="s">
        <v>42</v>
      </c>
      <c r="G98" t="s">
        <v>42</v>
      </c>
      <c r="H98" t="s">
        <v>43</v>
      </c>
      <c r="I98" t="s">
        <v>44</v>
      </c>
      <c r="J98">
        <v>5</v>
      </c>
      <c r="K98">
        <v>2</v>
      </c>
      <c r="L98" t="s">
        <v>118</v>
      </c>
      <c r="M98" t="s">
        <v>42</v>
      </c>
      <c r="N98" t="s">
        <v>42</v>
      </c>
      <c r="O98" t="s">
        <v>129</v>
      </c>
      <c r="P98" t="s">
        <v>122</v>
      </c>
      <c r="Q98" t="s">
        <v>123</v>
      </c>
      <c r="R98" t="s">
        <v>124</v>
      </c>
      <c r="S98" t="s">
        <v>125</v>
      </c>
      <c r="T98" t="s">
        <v>51</v>
      </c>
      <c r="U98" t="s">
        <v>126</v>
      </c>
      <c r="V98" t="s">
        <v>53</v>
      </c>
      <c r="W98" t="b">
        <v>1</v>
      </c>
      <c r="X98" t="b">
        <v>1</v>
      </c>
      <c r="Y98">
        <v>1</v>
      </c>
      <c r="Z98">
        <v>1</v>
      </c>
      <c r="AA98" t="s">
        <v>56</v>
      </c>
      <c r="AB98" t="s">
        <v>60</v>
      </c>
      <c r="AC98">
        <v>1</v>
      </c>
      <c r="AD98" t="b">
        <v>1</v>
      </c>
      <c r="AE98" t="s">
        <v>23</v>
      </c>
      <c r="AF98">
        <v>20000</v>
      </c>
      <c r="AG98">
        <v>500</v>
      </c>
      <c r="AH98" t="s">
        <v>121</v>
      </c>
      <c r="AI98" t="b">
        <v>0</v>
      </c>
      <c r="AJ98" t="b">
        <v>0</v>
      </c>
      <c r="AK98" t="b">
        <v>1</v>
      </c>
      <c r="AL98" t="b">
        <v>1</v>
      </c>
    </row>
    <row r="99" spans="1:40" hidden="1" x14ac:dyDescent="0.25">
      <c r="A99">
        <v>98</v>
      </c>
      <c r="B99" t="s">
        <v>448</v>
      </c>
      <c r="C99" t="s">
        <v>117</v>
      </c>
      <c r="D99">
        <v>800</v>
      </c>
      <c r="E99">
        <v>2.5000000000000001E-2</v>
      </c>
      <c r="F99" t="s">
        <v>42</v>
      </c>
      <c r="G99" t="s">
        <v>42</v>
      </c>
      <c r="H99" t="s">
        <v>43</v>
      </c>
      <c r="I99" t="s">
        <v>44</v>
      </c>
      <c r="J99">
        <v>5</v>
      </c>
      <c r="K99">
        <v>2</v>
      </c>
      <c r="L99" t="s">
        <v>118</v>
      </c>
      <c r="M99" t="s">
        <v>42</v>
      </c>
      <c r="N99" t="s">
        <v>42</v>
      </c>
      <c r="O99" t="s">
        <v>130</v>
      </c>
      <c r="P99" t="s">
        <v>122</v>
      </c>
      <c r="Q99" t="s">
        <v>120</v>
      </c>
      <c r="R99" t="s">
        <v>124</v>
      </c>
      <c r="S99" t="s">
        <v>125</v>
      </c>
      <c r="T99" t="s">
        <v>51</v>
      </c>
      <c r="U99" t="s">
        <v>52</v>
      </c>
      <c r="V99" t="s">
        <v>53</v>
      </c>
      <c r="W99" t="b">
        <v>1</v>
      </c>
      <c r="X99" t="b">
        <v>0</v>
      </c>
      <c r="Y99" t="s">
        <v>42</v>
      </c>
      <c r="Z99" t="s">
        <v>42</v>
      </c>
      <c r="AA99" t="s">
        <v>42</v>
      </c>
      <c r="AB99" t="s">
        <v>42</v>
      </c>
      <c r="AC99" t="s">
        <v>42</v>
      </c>
      <c r="AD99" t="s">
        <v>42</v>
      </c>
      <c r="AE99" t="s">
        <v>54</v>
      </c>
      <c r="AF99">
        <v>20000</v>
      </c>
      <c r="AG99">
        <v>500</v>
      </c>
      <c r="AH99" t="s">
        <v>121</v>
      </c>
      <c r="AI99" t="b">
        <v>0</v>
      </c>
      <c r="AJ99" t="b">
        <v>0</v>
      </c>
      <c r="AK99" t="b">
        <v>1</v>
      </c>
      <c r="AL99" t="b">
        <v>1</v>
      </c>
    </row>
    <row r="100" spans="1:40" hidden="1" x14ac:dyDescent="0.25">
      <c r="A100">
        <v>99</v>
      </c>
      <c r="B100" t="s">
        <v>449</v>
      </c>
      <c r="C100" t="s">
        <v>41</v>
      </c>
      <c r="D100">
        <v>800</v>
      </c>
      <c r="E100">
        <v>2.5000000000000001E-2</v>
      </c>
      <c r="F100" t="s">
        <v>42</v>
      </c>
      <c r="G100" t="s">
        <v>42</v>
      </c>
      <c r="H100" t="s">
        <v>43</v>
      </c>
      <c r="I100" t="s">
        <v>44</v>
      </c>
      <c r="J100">
        <v>5</v>
      </c>
      <c r="K100">
        <v>2</v>
      </c>
      <c r="L100" t="s">
        <v>118</v>
      </c>
      <c r="M100" t="s">
        <v>42</v>
      </c>
      <c r="N100" t="s">
        <v>42</v>
      </c>
      <c r="O100" t="s">
        <v>130</v>
      </c>
      <c r="P100" t="s">
        <v>122</v>
      </c>
      <c r="Q100" t="s">
        <v>120</v>
      </c>
      <c r="R100" t="s">
        <v>124</v>
      </c>
      <c r="S100" t="s">
        <v>125</v>
      </c>
      <c r="T100" t="s">
        <v>51</v>
      </c>
      <c r="U100" t="s">
        <v>52</v>
      </c>
      <c r="V100" t="s">
        <v>53</v>
      </c>
      <c r="W100" t="b">
        <v>1</v>
      </c>
      <c r="X100" t="b">
        <v>0</v>
      </c>
      <c r="Y100" t="s">
        <v>42</v>
      </c>
      <c r="Z100" t="s">
        <v>42</v>
      </c>
      <c r="AA100" t="s">
        <v>42</v>
      </c>
      <c r="AB100" t="s">
        <v>42</v>
      </c>
      <c r="AC100" t="s">
        <v>42</v>
      </c>
      <c r="AD100" t="s">
        <v>42</v>
      </c>
      <c r="AE100" t="s">
        <v>54</v>
      </c>
      <c r="AF100">
        <v>20000</v>
      </c>
      <c r="AG100">
        <v>500</v>
      </c>
      <c r="AH100" t="s">
        <v>121</v>
      </c>
      <c r="AI100" t="b">
        <v>0</v>
      </c>
      <c r="AJ100" t="b">
        <v>0</v>
      </c>
      <c r="AK100" t="b">
        <v>1</v>
      </c>
      <c r="AL100" t="b">
        <v>1</v>
      </c>
    </row>
    <row r="101" spans="1:40" hidden="1" x14ac:dyDescent="0.25">
      <c r="A101">
        <v>100</v>
      </c>
      <c r="B101" t="s">
        <v>450</v>
      </c>
      <c r="C101" t="s">
        <v>117</v>
      </c>
      <c r="D101">
        <v>800</v>
      </c>
      <c r="E101">
        <v>2.5000000000000001E-2</v>
      </c>
      <c r="F101" t="s">
        <v>42</v>
      </c>
      <c r="G101" t="s">
        <v>42</v>
      </c>
      <c r="H101" t="s">
        <v>43</v>
      </c>
      <c r="I101" t="s">
        <v>44</v>
      </c>
      <c r="J101">
        <v>5</v>
      </c>
      <c r="K101">
        <v>2</v>
      </c>
      <c r="L101" t="s">
        <v>118</v>
      </c>
      <c r="M101" t="s">
        <v>42</v>
      </c>
      <c r="N101" t="s">
        <v>42</v>
      </c>
      <c r="O101" t="s">
        <v>130</v>
      </c>
      <c r="P101" t="s">
        <v>122</v>
      </c>
      <c r="Q101" t="s">
        <v>123</v>
      </c>
      <c r="R101" t="s">
        <v>124</v>
      </c>
      <c r="S101" t="s">
        <v>125</v>
      </c>
      <c r="T101" t="s">
        <v>51</v>
      </c>
      <c r="U101" t="s">
        <v>126</v>
      </c>
      <c r="V101" t="s">
        <v>53</v>
      </c>
      <c r="W101" t="b">
        <v>1</v>
      </c>
      <c r="X101" t="b">
        <v>1</v>
      </c>
      <c r="Y101">
        <v>1</v>
      </c>
      <c r="Z101">
        <v>1</v>
      </c>
      <c r="AA101" t="s">
        <v>56</v>
      </c>
      <c r="AB101" t="s">
        <v>57</v>
      </c>
      <c r="AC101">
        <v>0.75</v>
      </c>
      <c r="AD101" t="b">
        <v>1</v>
      </c>
      <c r="AE101" t="s">
        <v>23</v>
      </c>
      <c r="AF101">
        <v>20000</v>
      </c>
      <c r="AG101">
        <v>500</v>
      </c>
      <c r="AH101" t="s">
        <v>121</v>
      </c>
      <c r="AI101" t="b">
        <v>0</v>
      </c>
      <c r="AJ101" t="b">
        <v>0</v>
      </c>
      <c r="AK101" t="b">
        <v>1</v>
      </c>
      <c r="AL101" t="b">
        <v>1</v>
      </c>
    </row>
    <row r="102" spans="1:40" hidden="1" x14ac:dyDescent="0.25">
      <c r="A102">
        <v>101</v>
      </c>
      <c r="B102" t="s">
        <v>451</v>
      </c>
      <c r="C102" t="s">
        <v>41</v>
      </c>
      <c r="D102">
        <v>800</v>
      </c>
      <c r="E102">
        <v>2.5000000000000001E-2</v>
      </c>
      <c r="F102" t="s">
        <v>42</v>
      </c>
      <c r="G102" t="s">
        <v>42</v>
      </c>
      <c r="H102" t="s">
        <v>43</v>
      </c>
      <c r="I102" t="s">
        <v>44</v>
      </c>
      <c r="J102">
        <v>5</v>
      </c>
      <c r="K102">
        <v>2</v>
      </c>
      <c r="L102" t="s">
        <v>118</v>
      </c>
      <c r="M102" t="s">
        <v>42</v>
      </c>
      <c r="N102" t="s">
        <v>42</v>
      </c>
      <c r="O102" t="s">
        <v>130</v>
      </c>
      <c r="P102" t="s">
        <v>122</v>
      </c>
      <c r="Q102" t="s">
        <v>123</v>
      </c>
      <c r="R102" t="s">
        <v>124</v>
      </c>
      <c r="S102" t="s">
        <v>125</v>
      </c>
      <c r="T102" t="s">
        <v>51</v>
      </c>
      <c r="U102" t="s">
        <v>126</v>
      </c>
      <c r="V102" t="s">
        <v>53</v>
      </c>
      <c r="W102" t="b">
        <v>1</v>
      </c>
      <c r="X102" t="b">
        <v>1</v>
      </c>
      <c r="Y102">
        <v>1</v>
      </c>
      <c r="Z102">
        <v>1</v>
      </c>
      <c r="AA102" t="s">
        <v>56</v>
      </c>
      <c r="AB102" t="s">
        <v>57</v>
      </c>
      <c r="AC102">
        <v>0.75</v>
      </c>
      <c r="AD102" t="b">
        <v>1</v>
      </c>
      <c r="AE102" t="s">
        <v>23</v>
      </c>
      <c r="AF102">
        <v>20000</v>
      </c>
      <c r="AG102">
        <v>500</v>
      </c>
      <c r="AH102" t="s">
        <v>121</v>
      </c>
      <c r="AI102" t="b">
        <v>0</v>
      </c>
      <c r="AJ102" t="b">
        <v>0</v>
      </c>
      <c r="AK102" t="b">
        <v>1</v>
      </c>
      <c r="AL102" t="b">
        <v>1</v>
      </c>
    </row>
    <row r="103" spans="1:40" hidden="1" x14ac:dyDescent="0.25">
      <c r="A103">
        <v>102</v>
      </c>
      <c r="B103" t="s">
        <v>452</v>
      </c>
      <c r="C103" t="s">
        <v>117</v>
      </c>
      <c r="D103">
        <v>800</v>
      </c>
      <c r="E103">
        <v>2.5000000000000001E-2</v>
      </c>
      <c r="F103" t="s">
        <v>42</v>
      </c>
      <c r="G103" t="s">
        <v>42</v>
      </c>
      <c r="H103" t="s">
        <v>43</v>
      </c>
      <c r="I103" t="s">
        <v>44</v>
      </c>
      <c r="J103">
        <v>5</v>
      </c>
      <c r="K103">
        <v>2</v>
      </c>
      <c r="L103" t="s">
        <v>118</v>
      </c>
      <c r="M103" t="s">
        <v>42</v>
      </c>
      <c r="N103" t="s">
        <v>42</v>
      </c>
      <c r="O103" t="s">
        <v>130</v>
      </c>
      <c r="P103" t="s">
        <v>122</v>
      </c>
      <c r="Q103" t="s">
        <v>123</v>
      </c>
      <c r="R103" t="s">
        <v>124</v>
      </c>
      <c r="S103" t="s">
        <v>125</v>
      </c>
      <c r="T103" t="s">
        <v>51</v>
      </c>
      <c r="U103" t="s">
        <v>126</v>
      </c>
      <c r="V103" t="s">
        <v>53</v>
      </c>
      <c r="W103" t="b">
        <v>1</v>
      </c>
      <c r="X103" t="b">
        <v>1</v>
      </c>
      <c r="Y103">
        <v>1</v>
      </c>
      <c r="Z103">
        <v>1</v>
      </c>
      <c r="AA103" t="s">
        <v>56</v>
      </c>
      <c r="AB103" t="s">
        <v>57</v>
      </c>
      <c r="AC103">
        <v>0.5</v>
      </c>
      <c r="AD103" t="b">
        <v>1</v>
      </c>
      <c r="AE103" t="s">
        <v>23</v>
      </c>
      <c r="AF103">
        <v>20000</v>
      </c>
      <c r="AG103">
        <v>500</v>
      </c>
      <c r="AH103" t="s">
        <v>121</v>
      </c>
      <c r="AI103" t="b">
        <v>0</v>
      </c>
      <c r="AJ103" t="b">
        <v>0</v>
      </c>
      <c r="AK103" t="b">
        <v>1</v>
      </c>
      <c r="AL103" t="b">
        <v>1</v>
      </c>
    </row>
    <row r="104" spans="1:40" hidden="1" x14ac:dyDescent="0.25">
      <c r="A104">
        <v>103</v>
      </c>
      <c r="B104" t="s">
        <v>453</v>
      </c>
      <c r="C104" t="s">
        <v>41</v>
      </c>
      <c r="D104">
        <v>800</v>
      </c>
      <c r="E104">
        <v>2.5000000000000001E-2</v>
      </c>
      <c r="F104" t="s">
        <v>42</v>
      </c>
      <c r="G104" t="s">
        <v>42</v>
      </c>
      <c r="H104" t="s">
        <v>43</v>
      </c>
      <c r="I104" t="s">
        <v>44</v>
      </c>
      <c r="J104">
        <v>5</v>
      </c>
      <c r="K104">
        <v>2</v>
      </c>
      <c r="L104" t="s">
        <v>118</v>
      </c>
      <c r="M104" t="s">
        <v>42</v>
      </c>
      <c r="N104" t="s">
        <v>42</v>
      </c>
      <c r="O104" t="s">
        <v>130</v>
      </c>
      <c r="P104" t="s">
        <v>122</v>
      </c>
      <c r="Q104" t="s">
        <v>123</v>
      </c>
      <c r="R104" t="s">
        <v>124</v>
      </c>
      <c r="S104" t="s">
        <v>125</v>
      </c>
      <c r="T104" t="s">
        <v>51</v>
      </c>
      <c r="U104" t="s">
        <v>126</v>
      </c>
      <c r="V104" t="s">
        <v>53</v>
      </c>
      <c r="W104" t="b">
        <v>1</v>
      </c>
      <c r="X104" t="b">
        <v>1</v>
      </c>
      <c r="Y104">
        <v>1</v>
      </c>
      <c r="Z104">
        <v>1</v>
      </c>
      <c r="AA104" t="s">
        <v>56</v>
      </c>
      <c r="AB104" t="s">
        <v>57</v>
      </c>
      <c r="AC104">
        <v>0.5</v>
      </c>
      <c r="AD104" t="b">
        <v>1</v>
      </c>
      <c r="AE104" t="s">
        <v>23</v>
      </c>
      <c r="AF104">
        <v>20000</v>
      </c>
      <c r="AG104">
        <v>500</v>
      </c>
      <c r="AH104" t="s">
        <v>121</v>
      </c>
      <c r="AI104" t="b">
        <v>0</v>
      </c>
      <c r="AJ104" t="b">
        <v>0</v>
      </c>
      <c r="AK104" t="b">
        <v>1</v>
      </c>
      <c r="AL104" t="b">
        <v>1</v>
      </c>
    </row>
    <row r="105" spans="1:40" hidden="1" x14ac:dyDescent="0.25">
      <c r="A105">
        <v>104</v>
      </c>
      <c r="B105" t="s">
        <v>454</v>
      </c>
      <c r="C105" t="s">
        <v>117</v>
      </c>
      <c r="D105">
        <v>800</v>
      </c>
      <c r="E105">
        <v>2.5000000000000001E-2</v>
      </c>
      <c r="F105" t="s">
        <v>42</v>
      </c>
      <c r="G105" t="s">
        <v>42</v>
      </c>
      <c r="H105" t="s">
        <v>43</v>
      </c>
      <c r="I105" t="s">
        <v>44</v>
      </c>
      <c r="J105">
        <v>5</v>
      </c>
      <c r="K105">
        <v>2</v>
      </c>
      <c r="L105" t="s">
        <v>118</v>
      </c>
      <c r="M105" t="s">
        <v>42</v>
      </c>
      <c r="N105" t="s">
        <v>42</v>
      </c>
      <c r="O105" t="s">
        <v>130</v>
      </c>
      <c r="P105" t="s">
        <v>122</v>
      </c>
      <c r="Q105" t="s">
        <v>123</v>
      </c>
      <c r="R105" t="s">
        <v>124</v>
      </c>
      <c r="S105" t="s">
        <v>125</v>
      </c>
      <c r="T105" t="s">
        <v>51</v>
      </c>
      <c r="U105" t="s">
        <v>126</v>
      </c>
      <c r="V105" t="s">
        <v>53</v>
      </c>
      <c r="W105" t="b">
        <v>1</v>
      </c>
      <c r="X105" t="b">
        <v>1</v>
      </c>
      <c r="Y105">
        <v>1</v>
      </c>
      <c r="Z105">
        <v>1</v>
      </c>
      <c r="AA105" t="s">
        <v>56</v>
      </c>
      <c r="AB105" t="s">
        <v>57</v>
      </c>
      <c r="AC105">
        <v>0.25</v>
      </c>
      <c r="AD105" t="b">
        <v>1</v>
      </c>
      <c r="AE105" t="s">
        <v>23</v>
      </c>
      <c r="AF105">
        <v>20000</v>
      </c>
      <c r="AG105">
        <v>500</v>
      </c>
      <c r="AH105" t="s">
        <v>121</v>
      </c>
      <c r="AI105" t="b">
        <v>0</v>
      </c>
      <c r="AJ105" t="b">
        <v>0</v>
      </c>
      <c r="AK105" t="b">
        <v>1</v>
      </c>
      <c r="AL105" t="b">
        <v>1</v>
      </c>
    </row>
    <row r="106" spans="1:40" hidden="1" x14ac:dyDescent="0.25">
      <c r="A106">
        <v>105</v>
      </c>
      <c r="B106" t="s">
        <v>455</v>
      </c>
      <c r="C106" t="s">
        <v>41</v>
      </c>
      <c r="D106">
        <v>800</v>
      </c>
      <c r="E106">
        <v>2.5000000000000001E-2</v>
      </c>
      <c r="F106" t="s">
        <v>42</v>
      </c>
      <c r="G106" t="s">
        <v>42</v>
      </c>
      <c r="H106" t="s">
        <v>43</v>
      </c>
      <c r="I106" t="s">
        <v>44</v>
      </c>
      <c r="J106">
        <v>5</v>
      </c>
      <c r="K106">
        <v>2</v>
      </c>
      <c r="L106" t="s">
        <v>118</v>
      </c>
      <c r="M106" t="s">
        <v>42</v>
      </c>
      <c r="N106" t="s">
        <v>42</v>
      </c>
      <c r="O106" t="s">
        <v>130</v>
      </c>
      <c r="P106" t="s">
        <v>122</v>
      </c>
      <c r="Q106" t="s">
        <v>123</v>
      </c>
      <c r="R106" t="s">
        <v>124</v>
      </c>
      <c r="S106" t="s">
        <v>125</v>
      </c>
      <c r="T106" t="s">
        <v>51</v>
      </c>
      <c r="U106" t="s">
        <v>126</v>
      </c>
      <c r="V106" t="s">
        <v>53</v>
      </c>
      <c r="W106" t="b">
        <v>1</v>
      </c>
      <c r="X106" t="b">
        <v>1</v>
      </c>
      <c r="Y106">
        <v>1</v>
      </c>
      <c r="Z106">
        <v>1</v>
      </c>
      <c r="AA106" t="s">
        <v>56</v>
      </c>
      <c r="AB106" t="s">
        <v>57</v>
      </c>
      <c r="AC106">
        <v>0.25</v>
      </c>
      <c r="AD106" t="b">
        <v>1</v>
      </c>
      <c r="AE106" t="s">
        <v>23</v>
      </c>
      <c r="AF106">
        <v>20000</v>
      </c>
      <c r="AG106">
        <v>500</v>
      </c>
      <c r="AH106" t="s">
        <v>121</v>
      </c>
      <c r="AI106" t="b">
        <v>0</v>
      </c>
      <c r="AJ106" t="b">
        <v>0</v>
      </c>
      <c r="AK106" t="b">
        <v>1</v>
      </c>
      <c r="AL106" t="b">
        <v>1</v>
      </c>
    </row>
    <row r="107" spans="1:40" hidden="1" x14ac:dyDescent="0.25">
      <c r="A107">
        <v>106</v>
      </c>
      <c r="B107" t="s">
        <v>456</v>
      </c>
      <c r="C107" t="s">
        <v>117</v>
      </c>
      <c r="D107">
        <v>800</v>
      </c>
      <c r="E107">
        <v>2.5000000000000001E-2</v>
      </c>
      <c r="F107" t="s">
        <v>42</v>
      </c>
      <c r="G107" t="s">
        <v>42</v>
      </c>
      <c r="H107" t="s">
        <v>43</v>
      </c>
      <c r="I107" t="s">
        <v>44</v>
      </c>
      <c r="J107">
        <v>5</v>
      </c>
      <c r="K107">
        <v>2</v>
      </c>
      <c r="L107" t="s">
        <v>118</v>
      </c>
      <c r="M107" t="s">
        <v>42</v>
      </c>
      <c r="N107" t="s">
        <v>42</v>
      </c>
      <c r="O107" t="s">
        <v>130</v>
      </c>
      <c r="P107" t="s">
        <v>122</v>
      </c>
      <c r="Q107" t="s">
        <v>123</v>
      </c>
      <c r="R107" t="s">
        <v>124</v>
      </c>
      <c r="S107" t="s">
        <v>125</v>
      </c>
      <c r="T107" t="s">
        <v>51</v>
      </c>
      <c r="U107" t="s">
        <v>126</v>
      </c>
      <c r="V107" t="s">
        <v>53</v>
      </c>
      <c r="W107" t="b">
        <v>1</v>
      </c>
      <c r="X107" t="b">
        <v>1</v>
      </c>
      <c r="Y107">
        <v>1</v>
      </c>
      <c r="Z107">
        <v>1</v>
      </c>
      <c r="AA107" t="s">
        <v>56</v>
      </c>
      <c r="AB107" t="s">
        <v>60</v>
      </c>
      <c r="AC107">
        <v>1</v>
      </c>
      <c r="AD107" t="b">
        <v>1</v>
      </c>
      <c r="AE107" t="s">
        <v>23</v>
      </c>
      <c r="AF107">
        <v>20000</v>
      </c>
      <c r="AG107">
        <v>500</v>
      </c>
      <c r="AH107" t="s">
        <v>121</v>
      </c>
      <c r="AI107" t="b">
        <v>0</v>
      </c>
      <c r="AJ107" t="b">
        <v>0</v>
      </c>
      <c r="AK107" t="b">
        <v>1</v>
      </c>
      <c r="AL107" t="b">
        <v>1</v>
      </c>
    </row>
    <row r="108" spans="1:40" hidden="1" x14ac:dyDescent="0.25">
      <c r="A108">
        <v>107</v>
      </c>
      <c r="B108" t="s">
        <v>457</v>
      </c>
      <c r="C108" t="s">
        <v>41</v>
      </c>
      <c r="D108">
        <v>800</v>
      </c>
      <c r="E108">
        <v>2.5000000000000001E-2</v>
      </c>
      <c r="F108" t="s">
        <v>42</v>
      </c>
      <c r="G108" t="s">
        <v>42</v>
      </c>
      <c r="H108" t="s">
        <v>43</v>
      </c>
      <c r="I108" t="s">
        <v>44</v>
      </c>
      <c r="J108">
        <v>5</v>
      </c>
      <c r="K108">
        <v>2</v>
      </c>
      <c r="L108" t="s">
        <v>118</v>
      </c>
      <c r="M108" t="s">
        <v>42</v>
      </c>
      <c r="N108" t="s">
        <v>42</v>
      </c>
      <c r="O108" t="s">
        <v>130</v>
      </c>
      <c r="P108" t="s">
        <v>122</v>
      </c>
      <c r="Q108" t="s">
        <v>123</v>
      </c>
      <c r="R108" t="s">
        <v>124</v>
      </c>
      <c r="S108" t="s">
        <v>125</v>
      </c>
      <c r="T108" t="s">
        <v>51</v>
      </c>
      <c r="U108" t="s">
        <v>126</v>
      </c>
      <c r="V108" t="s">
        <v>53</v>
      </c>
      <c r="W108" t="b">
        <v>1</v>
      </c>
      <c r="X108" t="b">
        <v>1</v>
      </c>
      <c r="Y108">
        <v>1</v>
      </c>
      <c r="Z108">
        <v>1</v>
      </c>
      <c r="AA108" t="s">
        <v>56</v>
      </c>
      <c r="AB108" t="s">
        <v>60</v>
      </c>
      <c r="AC108">
        <v>1</v>
      </c>
      <c r="AD108" t="b">
        <v>1</v>
      </c>
      <c r="AE108" t="s">
        <v>23</v>
      </c>
      <c r="AF108">
        <v>20000</v>
      </c>
      <c r="AG108">
        <v>500</v>
      </c>
      <c r="AH108" t="s">
        <v>121</v>
      </c>
      <c r="AI108" t="b">
        <v>0</v>
      </c>
      <c r="AJ108" t="b">
        <v>0</v>
      </c>
      <c r="AK108" t="b">
        <v>1</v>
      </c>
      <c r="AL108" t="b">
        <v>1</v>
      </c>
    </row>
    <row r="109" spans="1:40" x14ac:dyDescent="0.25">
      <c r="A109">
        <v>108</v>
      </c>
      <c r="B109" s="3" t="s">
        <v>659</v>
      </c>
      <c r="C109" t="s">
        <v>41</v>
      </c>
      <c r="D109">
        <v>500</v>
      </c>
      <c r="E109">
        <v>2.5000000000000001E-2</v>
      </c>
      <c r="F109" t="s">
        <v>654</v>
      </c>
      <c r="G109" t="s">
        <v>42</v>
      </c>
      <c r="H109" t="s">
        <v>64</v>
      </c>
      <c r="I109" t="s">
        <v>44</v>
      </c>
      <c r="J109">
        <v>5</v>
      </c>
      <c r="K109">
        <v>2</v>
      </c>
      <c r="L109" t="s">
        <v>650</v>
      </c>
      <c r="M109" t="s">
        <v>652</v>
      </c>
      <c r="N109" t="s">
        <v>651</v>
      </c>
      <c r="O109" t="s">
        <v>653</v>
      </c>
      <c r="P109" t="s">
        <v>122</v>
      </c>
      <c r="Q109" t="s">
        <v>663</v>
      </c>
      <c r="R109" t="s">
        <v>124</v>
      </c>
      <c r="S109" t="s">
        <v>125</v>
      </c>
      <c r="T109" t="s">
        <v>51</v>
      </c>
      <c r="U109" t="s">
        <v>126</v>
      </c>
      <c r="V109" t="s">
        <v>53</v>
      </c>
      <c r="W109" t="b">
        <v>1</v>
      </c>
      <c r="X109" t="b">
        <v>1</v>
      </c>
      <c r="Y109">
        <v>1</v>
      </c>
      <c r="Z109">
        <v>1</v>
      </c>
      <c r="AA109" t="s">
        <v>56</v>
      </c>
      <c r="AB109" t="s">
        <v>57</v>
      </c>
      <c r="AC109">
        <v>0.75</v>
      </c>
      <c r="AD109" t="b">
        <v>1</v>
      </c>
      <c r="AE109" t="s">
        <v>23</v>
      </c>
      <c r="AF109">
        <v>20000</v>
      </c>
      <c r="AG109">
        <v>500</v>
      </c>
      <c r="AH109" t="s">
        <v>121</v>
      </c>
      <c r="AI109" t="b">
        <v>0</v>
      </c>
      <c r="AJ109" t="b">
        <v>0</v>
      </c>
      <c r="AK109" t="b">
        <v>1</v>
      </c>
      <c r="AL109" t="b">
        <v>0</v>
      </c>
      <c r="AN109" t="s">
        <v>1067</v>
      </c>
    </row>
    <row r="110" spans="1:40" x14ac:dyDescent="0.25">
      <c r="A110">
        <v>109</v>
      </c>
      <c r="B110" t="s">
        <v>660</v>
      </c>
      <c r="C110" t="s">
        <v>41</v>
      </c>
      <c r="D110">
        <v>500</v>
      </c>
      <c r="E110">
        <v>2.5000000000000001E-2</v>
      </c>
      <c r="F110" t="s">
        <v>654</v>
      </c>
      <c r="G110" t="s">
        <v>42</v>
      </c>
      <c r="H110" t="s">
        <v>64</v>
      </c>
      <c r="I110" t="s">
        <v>44</v>
      </c>
      <c r="J110">
        <v>5</v>
      </c>
      <c r="K110">
        <v>2</v>
      </c>
      <c r="L110" t="s">
        <v>650</v>
      </c>
      <c r="M110" t="s">
        <v>652</v>
      </c>
      <c r="N110" t="s">
        <v>651</v>
      </c>
      <c r="O110" t="s">
        <v>653</v>
      </c>
      <c r="P110" t="s">
        <v>122</v>
      </c>
      <c r="Q110" t="s">
        <v>663</v>
      </c>
      <c r="R110" t="s">
        <v>124</v>
      </c>
      <c r="S110" t="s">
        <v>125</v>
      </c>
      <c r="T110" t="s">
        <v>51</v>
      </c>
      <c r="U110" t="s">
        <v>126</v>
      </c>
      <c r="V110" t="s">
        <v>53</v>
      </c>
      <c r="W110" t="b">
        <v>1</v>
      </c>
      <c r="X110" t="b">
        <v>1</v>
      </c>
      <c r="Y110">
        <v>1</v>
      </c>
      <c r="Z110">
        <v>1</v>
      </c>
      <c r="AA110" t="s">
        <v>56</v>
      </c>
      <c r="AB110" t="s">
        <v>57</v>
      </c>
      <c r="AC110">
        <v>0.5</v>
      </c>
      <c r="AD110" t="b">
        <v>1</v>
      </c>
      <c r="AE110" t="s">
        <v>23</v>
      </c>
      <c r="AF110">
        <v>20000</v>
      </c>
      <c r="AG110">
        <v>500</v>
      </c>
      <c r="AH110" t="s">
        <v>121</v>
      </c>
      <c r="AI110" t="b">
        <v>0</v>
      </c>
      <c r="AJ110" t="b">
        <v>0</v>
      </c>
      <c r="AK110" t="b">
        <v>1</v>
      </c>
      <c r="AL110" t="b">
        <v>0</v>
      </c>
      <c r="AN110" t="s">
        <v>1067</v>
      </c>
    </row>
    <row r="111" spans="1:40" x14ac:dyDescent="0.25">
      <c r="A111">
        <v>110</v>
      </c>
      <c r="B111" t="s">
        <v>661</v>
      </c>
      <c r="C111" t="s">
        <v>41</v>
      </c>
      <c r="D111">
        <v>500</v>
      </c>
      <c r="E111">
        <v>2.5000000000000001E-2</v>
      </c>
      <c r="F111" t="s">
        <v>654</v>
      </c>
      <c r="G111" t="s">
        <v>42</v>
      </c>
      <c r="H111" t="s">
        <v>64</v>
      </c>
      <c r="I111" t="s">
        <v>44</v>
      </c>
      <c r="J111">
        <v>5</v>
      </c>
      <c r="K111">
        <v>2</v>
      </c>
      <c r="L111" t="s">
        <v>650</v>
      </c>
      <c r="M111" t="s">
        <v>652</v>
      </c>
      <c r="N111" t="s">
        <v>651</v>
      </c>
      <c r="O111" t="s">
        <v>653</v>
      </c>
      <c r="P111" t="s">
        <v>122</v>
      </c>
      <c r="Q111" t="s">
        <v>663</v>
      </c>
      <c r="R111" t="s">
        <v>124</v>
      </c>
      <c r="S111" t="s">
        <v>125</v>
      </c>
      <c r="T111" t="s">
        <v>51</v>
      </c>
      <c r="U111" t="s">
        <v>126</v>
      </c>
      <c r="V111" t="s">
        <v>53</v>
      </c>
      <c r="W111" t="b">
        <v>1</v>
      </c>
      <c r="X111" t="b">
        <v>1</v>
      </c>
      <c r="Y111">
        <v>1</v>
      </c>
      <c r="Z111">
        <v>1</v>
      </c>
      <c r="AA111" t="s">
        <v>56</v>
      </c>
      <c r="AB111" t="s">
        <v>57</v>
      </c>
      <c r="AC111">
        <v>0.25</v>
      </c>
      <c r="AD111" t="b">
        <v>1</v>
      </c>
      <c r="AE111" t="s">
        <v>23</v>
      </c>
      <c r="AF111">
        <v>20000</v>
      </c>
      <c r="AG111">
        <v>500</v>
      </c>
      <c r="AH111" t="s">
        <v>121</v>
      </c>
      <c r="AI111" t="b">
        <v>0</v>
      </c>
      <c r="AJ111" t="b">
        <v>0</v>
      </c>
      <c r="AK111" t="b">
        <v>1</v>
      </c>
      <c r="AL111" t="b">
        <v>0</v>
      </c>
      <c r="AN111" t="s">
        <v>1067</v>
      </c>
    </row>
    <row r="112" spans="1:40" x14ac:dyDescent="0.25">
      <c r="A112">
        <v>111</v>
      </c>
      <c r="B112" t="s">
        <v>662</v>
      </c>
      <c r="C112" t="s">
        <v>41</v>
      </c>
      <c r="D112">
        <v>500</v>
      </c>
      <c r="E112">
        <v>2.5000000000000001E-2</v>
      </c>
      <c r="F112" t="s">
        <v>654</v>
      </c>
      <c r="G112" t="s">
        <v>42</v>
      </c>
      <c r="H112" t="s">
        <v>64</v>
      </c>
      <c r="I112" t="s">
        <v>44</v>
      </c>
      <c r="J112">
        <v>5</v>
      </c>
      <c r="K112">
        <v>2</v>
      </c>
      <c r="L112" t="s">
        <v>650</v>
      </c>
      <c r="M112" t="s">
        <v>652</v>
      </c>
      <c r="N112" t="s">
        <v>651</v>
      </c>
      <c r="O112" t="s">
        <v>653</v>
      </c>
      <c r="P112" t="s">
        <v>122</v>
      </c>
      <c r="Q112" t="s">
        <v>663</v>
      </c>
      <c r="R112" t="s">
        <v>124</v>
      </c>
      <c r="S112" t="s">
        <v>125</v>
      </c>
      <c r="T112" t="s">
        <v>51</v>
      </c>
      <c r="U112" t="s">
        <v>126</v>
      </c>
      <c r="V112" t="s">
        <v>53</v>
      </c>
      <c r="W112" t="b">
        <v>1</v>
      </c>
      <c r="X112" t="b">
        <v>1</v>
      </c>
      <c r="Y112">
        <v>1</v>
      </c>
      <c r="Z112">
        <v>1</v>
      </c>
      <c r="AA112" t="s">
        <v>56</v>
      </c>
      <c r="AB112" t="s">
        <v>60</v>
      </c>
      <c r="AC112">
        <v>1</v>
      </c>
      <c r="AD112" t="b">
        <v>1</v>
      </c>
      <c r="AE112" t="s">
        <v>23</v>
      </c>
      <c r="AF112">
        <v>20000</v>
      </c>
      <c r="AG112">
        <v>500</v>
      </c>
      <c r="AH112" t="s">
        <v>121</v>
      </c>
      <c r="AI112" t="b">
        <v>0</v>
      </c>
      <c r="AJ112" t="b">
        <v>0</v>
      </c>
      <c r="AK112" t="b">
        <v>1</v>
      </c>
      <c r="AL112" t="b">
        <v>0</v>
      </c>
      <c r="AN112" t="s">
        <v>1067</v>
      </c>
    </row>
    <row r="113" spans="1:40" hidden="1" x14ac:dyDescent="0.25">
      <c r="A113">
        <v>112</v>
      </c>
      <c r="B113" t="s">
        <v>665</v>
      </c>
      <c r="C113" t="s">
        <v>41</v>
      </c>
      <c r="D113">
        <v>500</v>
      </c>
      <c r="E113">
        <v>2.5000000000000001E-2</v>
      </c>
      <c r="F113" t="s">
        <v>654</v>
      </c>
      <c r="G113" t="s">
        <v>42</v>
      </c>
      <c r="H113" t="s">
        <v>64</v>
      </c>
      <c r="I113" t="s">
        <v>44</v>
      </c>
      <c r="J113">
        <v>5</v>
      </c>
      <c r="K113">
        <v>2</v>
      </c>
      <c r="L113" t="s">
        <v>650</v>
      </c>
      <c r="M113" t="s">
        <v>652</v>
      </c>
      <c r="N113" t="s">
        <v>651</v>
      </c>
      <c r="O113" t="s">
        <v>653</v>
      </c>
      <c r="P113" t="s">
        <v>122</v>
      </c>
      <c r="Q113" t="s">
        <v>664</v>
      </c>
      <c r="R113" t="s">
        <v>124</v>
      </c>
      <c r="S113" t="s">
        <v>125</v>
      </c>
      <c r="T113" t="s">
        <v>51</v>
      </c>
      <c r="U113" t="s">
        <v>126</v>
      </c>
      <c r="V113" t="s">
        <v>53</v>
      </c>
      <c r="W113" t="b">
        <v>1</v>
      </c>
      <c r="X113" t="b">
        <v>1</v>
      </c>
      <c r="Y113">
        <v>1</v>
      </c>
      <c r="Z113">
        <v>1</v>
      </c>
      <c r="AA113" t="s">
        <v>56</v>
      </c>
      <c r="AB113" t="s">
        <v>57</v>
      </c>
      <c r="AC113">
        <v>0.75</v>
      </c>
      <c r="AD113" t="b">
        <v>1</v>
      </c>
      <c r="AE113" t="s">
        <v>23</v>
      </c>
      <c r="AF113">
        <v>20000</v>
      </c>
      <c r="AG113">
        <v>500</v>
      </c>
      <c r="AH113" t="s">
        <v>121</v>
      </c>
      <c r="AI113" t="b">
        <v>0</v>
      </c>
      <c r="AJ113" t="b">
        <v>0</v>
      </c>
      <c r="AK113" t="b">
        <v>1</v>
      </c>
      <c r="AL113" t="b">
        <v>0</v>
      </c>
    </row>
    <row r="114" spans="1:40" hidden="1" x14ac:dyDescent="0.25">
      <c r="A114">
        <v>113</v>
      </c>
      <c r="B114" t="s">
        <v>666</v>
      </c>
      <c r="C114" t="s">
        <v>41</v>
      </c>
      <c r="D114">
        <v>500</v>
      </c>
      <c r="E114">
        <v>2.5000000000000001E-2</v>
      </c>
      <c r="F114" t="s">
        <v>654</v>
      </c>
      <c r="G114" t="s">
        <v>42</v>
      </c>
      <c r="H114" t="s">
        <v>64</v>
      </c>
      <c r="I114" t="s">
        <v>44</v>
      </c>
      <c r="J114">
        <v>5</v>
      </c>
      <c r="K114">
        <v>2</v>
      </c>
      <c r="L114" t="s">
        <v>650</v>
      </c>
      <c r="M114" t="s">
        <v>652</v>
      </c>
      <c r="N114" t="s">
        <v>651</v>
      </c>
      <c r="O114" t="s">
        <v>653</v>
      </c>
      <c r="P114" t="s">
        <v>122</v>
      </c>
      <c r="Q114" t="s">
        <v>664</v>
      </c>
      <c r="R114" t="s">
        <v>124</v>
      </c>
      <c r="S114" t="s">
        <v>125</v>
      </c>
      <c r="T114" t="s">
        <v>51</v>
      </c>
      <c r="U114" t="s">
        <v>126</v>
      </c>
      <c r="V114" t="s">
        <v>53</v>
      </c>
      <c r="W114" t="b">
        <v>1</v>
      </c>
      <c r="X114" t="b">
        <v>1</v>
      </c>
      <c r="Y114">
        <v>1</v>
      </c>
      <c r="Z114">
        <v>1</v>
      </c>
      <c r="AA114" t="s">
        <v>56</v>
      </c>
      <c r="AB114" t="s">
        <v>57</v>
      </c>
      <c r="AC114">
        <v>0.5</v>
      </c>
      <c r="AD114" t="b">
        <v>1</v>
      </c>
      <c r="AE114" t="s">
        <v>23</v>
      </c>
      <c r="AF114">
        <v>20000</v>
      </c>
      <c r="AG114">
        <v>500</v>
      </c>
      <c r="AH114" t="s">
        <v>121</v>
      </c>
      <c r="AI114" t="b">
        <v>0</v>
      </c>
      <c r="AJ114" t="b">
        <v>0</v>
      </c>
      <c r="AK114" t="b">
        <v>1</v>
      </c>
      <c r="AL114" t="b">
        <v>0</v>
      </c>
    </row>
    <row r="115" spans="1:40" hidden="1" x14ac:dyDescent="0.25">
      <c r="A115">
        <v>114</v>
      </c>
      <c r="B115" t="s">
        <v>667</v>
      </c>
      <c r="C115" t="s">
        <v>41</v>
      </c>
      <c r="D115">
        <v>500</v>
      </c>
      <c r="E115">
        <v>2.5000000000000001E-2</v>
      </c>
      <c r="F115" t="s">
        <v>654</v>
      </c>
      <c r="G115" t="s">
        <v>42</v>
      </c>
      <c r="H115" t="s">
        <v>64</v>
      </c>
      <c r="I115" t="s">
        <v>44</v>
      </c>
      <c r="J115">
        <v>5</v>
      </c>
      <c r="K115">
        <v>2</v>
      </c>
      <c r="L115" t="s">
        <v>650</v>
      </c>
      <c r="M115" t="s">
        <v>652</v>
      </c>
      <c r="N115" t="s">
        <v>651</v>
      </c>
      <c r="O115" t="s">
        <v>653</v>
      </c>
      <c r="P115" t="s">
        <v>122</v>
      </c>
      <c r="Q115" t="s">
        <v>664</v>
      </c>
      <c r="R115" t="s">
        <v>124</v>
      </c>
      <c r="S115" t="s">
        <v>125</v>
      </c>
      <c r="T115" t="s">
        <v>51</v>
      </c>
      <c r="U115" t="s">
        <v>126</v>
      </c>
      <c r="V115" t="s">
        <v>53</v>
      </c>
      <c r="W115" t="b">
        <v>1</v>
      </c>
      <c r="X115" t="b">
        <v>1</v>
      </c>
      <c r="Y115">
        <v>1</v>
      </c>
      <c r="Z115">
        <v>1</v>
      </c>
      <c r="AA115" t="s">
        <v>56</v>
      </c>
      <c r="AB115" t="s">
        <v>57</v>
      </c>
      <c r="AC115">
        <v>0.25</v>
      </c>
      <c r="AD115" t="b">
        <v>1</v>
      </c>
      <c r="AE115" t="s">
        <v>23</v>
      </c>
      <c r="AF115">
        <v>20000</v>
      </c>
      <c r="AG115">
        <v>500</v>
      </c>
      <c r="AH115" t="s">
        <v>121</v>
      </c>
      <c r="AI115" t="b">
        <v>0</v>
      </c>
      <c r="AJ115" t="b">
        <v>0</v>
      </c>
      <c r="AK115" t="b">
        <v>1</v>
      </c>
      <c r="AL115" t="b">
        <v>0</v>
      </c>
    </row>
    <row r="116" spans="1:40" hidden="1" x14ac:dyDescent="0.25">
      <c r="A116">
        <v>115</v>
      </c>
      <c r="B116" t="s">
        <v>668</v>
      </c>
      <c r="C116" t="s">
        <v>41</v>
      </c>
      <c r="D116">
        <v>500</v>
      </c>
      <c r="E116">
        <v>2.5000000000000001E-2</v>
      </c>
      <c r="F116" t="s">
        <v>654</v>
      </c>
      <c r="G116" t="s">
        <v>42</v>
      </c>
      <c r="H116" t="s">
        <v>64</v>
      </c>
      <c r="I116" t="s">
        <v>44</v>
      </c>
      <c r="J116">
        <v>5</v>
      </c>
      <c r="K116">
        <v>2</v>
      </c>
      <c r="L116" t="s">
        <v>650</v>
      </c>
      <c r="M116" t="s">
        <v>652</v>
      </c>
      <c r="N116" t="s">
        <v>651</v>
      </c>
      <c r="O116" t="s">
        <v>653</v>
      </c>
      <c r="P116" t="s">
        <v>122</v>
      </c>
      <c r="Q116" t="s">
        <v>664</v>
      </c>
      <c r="R116" t="s">
        <v>124</v>
      </c>
      <c r="S116" t="s">
        <v>125</v>
      </c>
      <c r="T116" t="s">
        <v>51</v>
      </c>
      <c r="U116" t="s">
        <v>126</v>
      </c>
      <c r="V116" t="s">
        <v>53</v>
      </c>
      <c r="W116" t="b">
        <v>1</v>
      </c>
      <c r="X116" t="b">
        <v>1</v>
      </c>
      <c r="Y116">
        <v>1</v>
      </c>
      <c r="Z116">
        <v>1</v>
      </c>
      <c r="AA116" t="s">
        <v>56</v>
      </c>
      <c r="AB116" t="s">
        <v>60</v>
      </c>
      <c r="AC116">
        <v>1</v>
      </c>
      <c r="AD116" t="b">
        <v>1</v>
      </c>
      <c r="AE116" t="s">
        <v>23</v>
      </c>
      <c r="AF116">
        <v>20000</v>
      </c>
      <c r="AG116">
        <v>500</v>
      </c>
      <c r="AH116" t="s">
        <v>121</v>
      </c>
      <c r="AI116" t="b">
        <v>0</v>
      </c>
      <c r="AJ116" t="b">
        <v>0</v>
      </c>
      <c r="AK116" t="b">
        <v>1</v>
      </c>
      <c r="AL116" t="b">
        <v>0</v>
      </c>
    </row>
    <row r="117" spans="1:40" x14ac:dyDescent="0.25">
      <c r="A117">
        <v>116</v>
      </c>
      <c r="B117" t="s">
        <v>655</v>
      </c>
      <c r="C117" t="s">
        <v>41</v>
      </c>
      <c r="D117">
        <v>500</v>
      </c>
      <c r="E117">
        <v>2.5000000000000001E-2</v>
      </c>
      <c r="F117" t="s">
        <v>654</v>
      </c>
      <c r="G117" t="s">
        <v>42</v>
      </c>
      <c r="H117" t="s">
        <v>64</v>
      </c>
      <c r="I117" t="s">
        <v>44</v>
      </c>
      <c r="J117">
        <v>5</v>
      </c>
      <c r="K117">
        <v>2</v>
      </c>
      <c r="L117" t="s">
        <v>650</v>
      </c>
      <c r="M117" t="s">
        <v>652</v>
      </c>
      <c r="N117" t="s">
        <v>651</v>
      </c>
      <c r="O117" t="s">
        <v>653</v>
      </c>
      <c r="P117" t="s">
        <v>122</v>
      </c>
      <c r="Q117" t="s">
        <v>123</v>
      </c>
      <c r="R117" t="s">
        <v>124</v>
      </c>
      <c r="S117" t="s">
        <v>125</v>
      </c>
      <c r="T117" t="s">
        <v>51</v>
      </c>
      <c r="U117" t="s">
        <v>126</v>
      </c>
      <c r="V117" t="s">
        <v>53</v>
      </c>
      <c r="W117" t="b">
        <v>1</v>
      </c>
      <c r="X117" t="b">
        <v>1</v>
      </c>
      <c r="Y117">
        <v>1</v>
      </c>
      <c r="Z117">
        <v>1</v>
      </c>
      <c r="AA117" t="s">
        <v>56</v>
      </c>
      <c r="AB117" t="s">
        <v>57</v>
      </c>
      <c r="AC117">
        <v>0.75</v>
      </c>
      <c r="AD117" t="b">
        <v>1</v>
      </c>
      <c r="AE117" t="s">
        <v>23</v>
      </c>
      <c r="AF117">
        <v>20000</v>
      </c>
      <c r="AG117">
        <v>500</v>
      </c>
      <c r="AH117" t="s">
        <v>121</v>
      </c>
      <c r="AI117" t="b">
        <v>0</v>
      </c>
      <c r="AJ117" t="b">
        <v>0</v>
      </c>
      <c r="AK117" t="b">
        <v>1</v>
      </c>
      <c r="AL117" t="b">
        <v>0</v>
      </c>
      <c r="AN117" t="s">
        <v>1067</v>
      </c>
    </row>
    <row r="118" spans="1:40" x14ac:dyDescent="0.25">
      <c r="A118">
        <v>117</v>
      </c>
      <c r="B118" t="s">
        <v>656</v>
      </c>
      <c r="C118" t="s">
        <v>41</v>
      </c>
      <c r="D118">
        <v>500</v>
      </c>
      <c r="E118">
        <v>2.5000000000000001E-2</v>
      </c>
      <c r="F118" t="s">
        <v>654</v>
      </c>
      <c r="G118" t="s">
        <v>42</v>
      </c>
      <c r="H118" t="s">
        <v>64</v>
      </c>
      <c r="I118" t="s">
        <v>44</v>
      </c>
      <c r="J118">
        <v>5</v>
      </c>
      <c r="K118">
        <v>2</v>
      </c>
      <c r="L118" t="s">
        <v>650</v>
      </c>
      <c r="M118" t="s">
        <v>652</v>
      </c>
      <c r="N118" t="s">
        <v>651</v>
      </c>
      <c r="O118" t="s">
        <v>653</v>
      </c>
      <c r="P118" t="s">
        <v>122</v>
      </c>
      <c r="Q118" t="s">
        <v>123</v>
      </c>
      <c r="R118" t="s">
        <v>124</v>
      </c>
      <c r="S118" t="s">
        <v>125</v>
      </c>
      <c r="T118" t="s">
        <v>51</v>
      </c>
      <c r="U118" t="s">
        <v>126</v>
      </c>
      <c r="V118" t="s">
        <v>53</v>
      </c>
      <c r="W118" t="b">
        <v>1</v>
      </c>
      <c r="X118" t="b">
        <v>1</v>
      </c>
      <c r="Y118">
        <v>1</v>
      </c>
      <c r="Z118">
        <v>1</v>
      </c>
      <c r="AA118" t="s">
        <v>56</v>
      </c>
      <c r="AB118" t="s">
        <v>57</v>
      </c>
      <c r="AC118">
        <v>0.5</v>
      </c>
      <c r="AD118" t="b">
        <v>1</v>
      </c>
      <c r="AE118" t="s">
        <v>23</v>
      </c>
      <c r="AF118">
        <v>20000</v>
      </c>
      <c r="AG118">
        <v>500</v>
      </c>
      <c r="AH118" t="s">
        <v>121</v>
      </c>
      <c r="AI118" t="b">
        <v>0</v>
      </c>
      <c r="AJ118" t="b">
        <v>0</v>
      </c>
      <c r="AK118" t="b">
        <v>1</v>
      </c>
      <c r="AL118" t="b">
        <v>0</v>
      </c>
      <c r="AN118" t="s">
        <v>1067</v>
      </c>
    </row>
    <row r="119" spans="1:40" x14ac:dyDescent="0.25">
      <c r="A119">
        <v>118</v>
      </c>
      <c r="B119" t="s">
        <v>657</v>
      </c>
      <c r="C119" t="s">
        <v>41</v>
      </c>
      <c r="D119">
        <v>500</v>
      </c>
      <c r="E119">
        <v>2.5000000000000001E-2</v>
      </c>
      <c r="F119" t="s">
        <v>654</v>
      </c>
      <c r="G119" t="s">
        <v>42</v>
      </c>
      <c r="H119" t="s">
        <v>64</v>
      </c>
      <c r="I119" t="s">
        <v>44</v>
      </c>
      <c r="J119">
        <v>5</v>
      </c>
      <c r="K119">
        <v>2</v>
      </c>
      <c r="L119" t="s">
        <v>650</v>
      </c>
      <c r="M119" t="s">
        <v>652</v>
      </c>
      <c r="N119" t="s">
        <v>651</v>
      </c>
      <c r="O119" t="s">
        <v>653</v>
      </c>
      <c r="P119" t="s">
        <v>122</v>
      </c>
      <c r="Q119" t="s">
        <v>123</v>
      </c>
      <c r="R119" t="s">
        <v>124</v>
      </c>
      <c r="S119" t="s">
        <v>125</v>
      </c>
      <c r="T119" t="s">
        <v>51</v>
      </c>
      <c r="U119" t="s">
        <v>126</v>
      </c>
      <c r="V119" t="s">
        <v>53</v>
      </c>
      <c r="W119" t="b">
        <v>1</v>
      </c>
      <c r="X119" t="b">
        <v>1</v>
      </c>
      <c r="Y119">
        <v>1</v>
      </c>
      <c r="Z119">
        <v>1</v>
      </c>
      <c r="AA119" t="s">
        <v>56</v>
      </c>
      <c r="AB119" t="s">
        <v>57</v>
      </c>
      <c r="AC119">
        <v>0.25</v>
      </c>
      <c r="AD119" t="b">
        <v>1</v>
      </c>
      <c r="AE119" t="s">
        <v>23</v>
      </c>
      <c r="AF119">
        <v>20000</v>
      </c>
      <c r="AG119">
        <v>500</v>
      </c>
      <c r="AH119" t="s">
        <v>121</v>
      </c>
      <c r="AI119" t="b">
        <v>0</v>
      </c>
      <c r="AJ119" t="b">
        <v>0</v>
      </c>
      <c r="AK119" t="b">
        <v>1</v>
      </c>
      <c r="AL119" t="b">
        <v>0</v>
      </c>
      <c r="AN119" t="s">
        <v>1067</v>
      </c>
    </row>
    <row r="120" spans="1:40" x14ac:dyDescent="0.25">
      <c r="A120">
        <v>119</v>
      </c>
      <c r="B120" t="s">
        <v>658</v>
      </c>
      <c r="C120" t="s">
        <v>41</v>
      </c>
      <c r="D120">
        <v>500</v>
      </c>
      <c r="E120">
        <v>2.5000000000000001E-2</v>
      </c>
      <c r="F120" t="s">
        <v>654</v>
      </c>
      <c r="G120" t="s">
        <v>42</v>
      </c>
      <c r="H120" t="s">
        <v>64</v>
      </c>
      <c r="I120" t="s">
        <v>44</v>
      </c>
      <c r="J120">
        <v>5</v>
      </c>
      <c r="K120">
        <v>2</v>
      </c>
      <c r="L120" t="s">
        <v>650</v>
      </c>
      <c r="M120" t="s">
        <v>652</v>
      </c>
      <c r="N120" t="s">
        <v>651</v>
      </c>
      <c r="O120" t="s">
        <v>653</v>
      </c>
      <c r="P120" t="s">
        <v>122</v>
      </c>
      <c r="Q120" t="s">
        <v>123</v>
      </c>
      <c r="R120" t="s">
        <v>124</v>
      </c>
      <c r="S120" t="s">
        <v>125</v>
      </c>
      <c r="T120" t="s">
        <v>51</v>
      </c>
      <c r="U120" t="s">
        <v>126</v>
      </c>
      <c r="V120" t="s">
        <v>53</v>
      </c>
      <c r="W120" t="b">
        <v>1</v>
      </c>
      <c r="X120" t="b">
        <v>1</v>
      </c>
      <c r="Y120">
        <v>1</v>
      </c>
      <c r="Z120">
        <v>1</v>
      </c>
      <c r="AA120" t="s">
        <v>56</v>
      </c>
      <c r="AB120" t="s">
        <v>60</v>
      </c>
      <c r="AC120">
        <v>1</v>
      </c>
      <c r="AD120" t="b">
        <v>1</v>
      </c>
      <c r="AE120" t="s">
        <v>23</v>
      </c>
      <c r="AF120">
        <v>20000</v>
      </c>
      <c r="AG120">
        <v>500</v>
      </c>
      <c r="AH120" t="s">
        <v>121</v>
      </c>
      <c r="AI120" t="b">
        <v>0</v>
      </c>
      <c r="AJ120" t="b">
        <v>0</v>
      </c>
      <c r="AK120" t="b">
        <v>1</v>
      </c>
      <c r="AL120" t="b">
        <v>0</v>
      </c>
      <c r="AN120" t="s">
        <v>1067</v>
      </c>
    </row>
    <row r="121" spans="1:40" x14ac:dyDescent="0.25">
      <c r="A121">
        <v>120</v>
      </c>
      <c r="B121" t="s">
        <v>669</v>
      </c>
      <c r="C121" t="s">
        <v>41</v>
      </c>
      <c r="D121">
        <v>500</v>
      </c>
      <c r="E121">
        <v>2.5000000000000001E-2</v>
      </c>
      <c r="F121" t="s">
        <v>654</v>
      </c>
      <c r="G121" t="s">
        <v>42</v>
      </c>
      <c r="H121" t="s">
        <v>64</v>
      </c>
      <c r="I121" t="s">
        <v>44</v>
      </c>
      <c r="J121">
        <v>5</v>
      </c>
      <c r="K121">
        <v>2</v>
      </c>
      <c r="L121" t="s">
        <v>650</v>
      </c>
      <c r="M121" t="s">
        <v>652</v>
      </c>
      <c r="N121" t="s">
        <v>651</v>
      </c>
      <c r="O121" t="s">
        <v>653</v>
      </c>
      <c r="P121" t="s">
        <v>122</v>
      </c>
      <c r="Q121" t="s">
        <v>673</v>
      </c>
      <c r="R121" t="s">
        <v>124</v>
      </c>
      <c r="S121" t="s">
        <v>125</v>
      </c>
      <c r="T121" t="s">
        <v>51</v>
      </c>
      <c r="U121" t="s">
        <v>126</v>
      </c>
      <c r="V121" t="s">
        <v>53</v>
      </c>
      <c r="W121" t="b">
        <v>1</v>
      </c>
      <c r="X121" t="b">
        <v>1</v>
      </c>
      <c r="Y121">
        <v>1</v>
      </c>
      <c r="Z121">
        <v>1</v>
      </c>
      <c r="AA121" t="s">
        <v>56</v>
      </c>
      <c r="AB121" t="s">
        <v>57</v>
      </c>
      <c r="AC121">
        <v>0.75</v>
      </c>
      <c r="AD121" t="b">
        <v>1</v>
      </c>
      <c r="AE121" t="s">
        <v>23</v>
      </c>
      <c r="AF121">
        <v>20000</v>
      </c>
      <c r="AG121">
        <v>500</v>
      </c>
      <c r="AH121" t="s">
        <v>121</v>
      </c>
      <c r="AI121" t="b">
        <v>0</v>
      </c>
      <c r="AJ121" t="b">
        <v>0</v>
      </c>
      <c r="AK121" t="b">
        <v>1</v>
      </c>
      <c r="AL121" t="b">
        <v>0</v>
      </c>
      <c r="AN121" t="s">
        <v>1067</v>
      </c>
    </row>
    <row r="122" spans="1:40" x14ac:dyDescent="0.25">
      <c r="A122">
        <v>121</v>
      </c>
      <c r="B122" t="s">
        <v>670</v>
      </c>
      <c r="C122" t="s">
        <v>41</v>
      </c>
      <c r="D122">
        <v>500</v>
      </c>
      <c r="E122">
        <v>2.5000000000000001E-2</v>
      </c>
      <c r="F122" t="s">
        <v>654</v>
      </c>
      <c r="G122" t="s">
        <v>42</v>
      </c>
      <c r="H122" t="s">
        <v>64</v>
      </c>
      <c r="I122" t="s">
        <v>44</v>
      </c>
      <c r="J122">
        <v>5</v>
      </c>
      <c r="K122">
        <v>2</v>
      </c>
      <c r="L122" t="s">
        <v>650</v>
      </c>
      <c r="M122" t="s">
        <v>652</v>
      </c>
      <c r="N122" t="s">
        <v>651</v>
      </c>
      <c r="O122" t="s">
        <v>653</v>
      </c>
      <c r="P122" t="s">
        <v>122</v>
      </c>
      <c r="Q122" t="s">
        <v>673</v>
      </c>
      <c r="R122" t="s">
        <v>124</v>
      </c>
      <c r="S122" t="s">
        <v>125</v>
      </c>
      <c r="T122" t="s">
        <v>51</v>
      </c>
      <c r="U122" t="s">
        <v>126</v>
      </c>
      <c r="V122" t="s">
        <v>53</v>
      </c>
      <c r="W122" t="b">
        <v>1</v>
      </c>
      <c r="X122" t="b">
        <v>1</v>
      </c>
      <c r="Y122">
        <v>1</v>
      </c>
      <c r="Z122">
        <v>1</v>
      </c>
      <c r="AA122" t="s">
        <v>56</v>
      </c>
      <c r="AB122" t="s">
        <v>57</v>
      </c>
      <c r="AC122">
        <v>0.5</v>
      </c>
      <c r="AD122" t="b">
        <v>1</v>
      </c>
      <c r="AE122" t="s">
        <v>23</v>
      </c>
      <c r="AF122">
        <v>20000</v>
      </c>
      <c r="AG122">
        <v>500</v>
      </c>
      <c r="AH122" t="s">
        <v>121</v>
      </c>
      <c r="AI122" t="b">
        <v>0</v>
      </c>
      <c r="AJ122" t="b">
        <v>0</v>
      </c>
      <c r="AK122" t="b">
        <v>1</v>
      </c>
      <c r="AL122" t="b">
        <v>0</v>
      </c>
      <c r="AN122" t="s">
        <v>1067</v>
      </c>
    </row>
    <row r="123" spans="1:40" x14ac:dyDescent="0.25">
      <c r="A123">
        <v>122</v>
      </c>
      <c r="B123" t="s">
        <v>671</v>
      </c>
      <c r="C123" t="s">
        <v>41</v>
      </c>
      <c r="D123">
        <v>500</v>
      </c>
      <c r="E123">
        <v>2.5000000000000001E-2</v>
      </c>
      <c r="F123" t="s">
        <v>654</v>
      </c>
      <c r="G123" t="s">
        <v>42</v>
      </c>
      <c r="H123" t="s">
        <v>64</v>
      </c>
      <c r="I123" t="s">
        <v>44</v>
      </c>
      <c r="J123">
        <v>5</v>
      </c>
      <c r="K123">
        <v>2</v>
      </c>
      <c r="L123" t="s">
        <v>650</v>
      </c>
      <c r="M123" t="s">
        <v>652</v>
      </c>
      <c r="N123" t="s">
        <v>651</v>
      </c>
      <c r="O123" t="s">
        <v>653</v>
      </c>
      <c r="P123" t="s">
        <v>122</v>
      </c>
      <c r="Q123" t="s">
        <v>673</v>
      </c>
      <c r="R123" t="s">
        <v>124</v>
      </c>
      <c r="S123" t="s">
        <v>125</v>
      </c>
      <c r="T123" t="s">
        <v>51</v>
      </c>
      <c r="U123" t="s">
        <v>126</v>
      </c>
      <c r="V123" t="s">
        <v>53</v>
      </c>
      <c r="W123" t="b">
        <v>1</v>
      </c>
      <c r="X123" t="b">
        <v>1</v>
      </c>
      <c r="Y123">
        <v>1</v>
      </c>
      <c r="Z123">
        <v>1</v>
      </c>
      <c r="AA123" t="s">
        <v>56</v>
      </c>
      <c r="AB123" t="s">
        <v>57</v>
      </c>
      <c r="AC123">
        <v>0.25</v>
      </c>
      <c r="AD123" t="b">
        <v>1</v>
      </c>
      <c r="AE123" t="s">
        <v>23</v>
      </c>
      <c r="AF123">
        <v>20000</v>
      </c>
      <c r="AG123">
        <v>500</v>
      </c>
      <c r="AH123" t="s">
        <v>121</v>
      </c>
      <c r="AI123" t="b">
        <v>0</v>
      </c>
      <c r="AJ123" t="b">
        <v>0</v>
      </c>
      <c r="AK123" t="b">
        <v>1</v>
      </c>
      <c r="AL123" t="b">
        <v>0</v>
      </c>
      <c r="AN123" t="s">
        <v>1067</v>
      </c>
    </row>
    <row r="124" spans="1:40" x14ac:dyDescent="0.25">
      <c r="A124">
        <v>123</v>
      </c>
      <c r="B124" t="s">
        <v>672</v>
      </c>
      <c r="C124" t="s">
        <v>41</v>
      </c>
      <c r="D124">
        <v>500</v>
      </c>
      <c r="E124">
        <v>2.5000000000000001E-2</v>
      </c>
      <c r="F124" t="s">
        <v>654</v>
      </c>
      <c r="G124" t="s">
        <v>42</v>
      </c>
      <c r="H124" t="s">
        <v>64</v>
      </c>
      <c r="I124" t="s">
        <v>44</v>
      </c>
      <c r="J124">
        <v>5</v>
      </c>
      <c r="K124">
        <v>2</v>
      </c>
      <c r="L124" t="s">
        <v>650</v>
      </c>
      <c r="M124" t="s">
        <v>652</v>
      </c>
      <c r="N124" t="s">
        <v>651</v>
      </c>
      <c r="O124" t="s">
        <v>653</v>
      </c>
      <c r="P124" t="s">
        <v>122</v>
      </c>
      <c r="Q124" t="s">
        <v>673</v>
      </c>
      <c r="R124" t="s">
        <v>124</v>
      </c>
      <c r="S124" t="s">
        <v>125</v>
      </c>
      <c r="T124" t="s">
        <v>51</v>
      </c>
      <c r="U124" t="s">
        <v>126</v>
      </c>
      <c r="V124" t="s">
        <v>53</v>
      </c>
      <c r="W124" t="b">
        <v>1</v>
      </c>
      <c r="X124" t="b">
        <v>1</v>
      </c>
      <c r="Y124">
        <v>1</v>
      </c>
      <c r="Z124">
        <v>1</v>
      </c>
      <c r="AA124" t="s">
        <v>56</v>
      </c>
      <c r="AB124" t="s">
        <v>60</v>
      </c>
      <c r="AC124">
        <v>1</v>
      </c>
      <c r="AD124" t="b">
        <v>1</v>
      </c>
      <c r="AE124" t="s">
        <v>23</v>
      </c>
      <c r="AF124">
        <v>20000</v>
      </c>
      <c r="AG124">
        <v>500</v>
      </c>
      <c r="AH124" t="s">
        <v>121</v>
      </c>
      <c r="AI124" t="b">
        <v>0</v>
      </c>
      <c r="AJ124" t="b">
        <v>0</v>
      </c>
      <c r="AK124" t="b">
        <v>1</v>
      </c>
      <c r="AL124" t="b">
        <v>0</v>
      </c>
      <c r="AN124" t="s">
        <v>1067</v>
      </c>
    </row>
    <row r="125" spans="1:40" x14ac:dyDescent="0.25">
      <c r="A125">
        <v>124</v>
      </c>
      <c r="B125" s="3" t="s">
        <v>706</v>
      </c>
      <c r="C125" t="s">
        <v>41</v>
      </c>
      <c r="D125">
        <v>500</v>
      </c>
      <c r="E125">
        <v>2.5000000000000001E-2</v>
      </c>
      <c r="F125" t="s">
        <v>654</v>
      </c>
      <c r="G125" t="s">
        <v>42</v>
      </c>
      <c r="H125" t="s">
        <v>64</v>
      </c>
      <c r="I125" t="s">
        <v>44</v>
      </c>
      <c r="J125">
        <v>5</v>
      </c>
      <c r="K125">
        <v>2</v>
      </c>
      <c r="L125" t="s">
        <v>650</v>
      </c>
      <c r="M125" t="s">
        <v>710</v>
      </c>
      <c r="N125" t="s">
        <v>651</v>
      </c>
      <c r="O125" t="s">
        <v>711</v>
      </c>
      <c r="P125" t="s">
        <v>122</v>
      </c>
      <c r="Q125" t="s">
        <v>123</v>
      </c>
      <c r="R125" t="s">
        <v>124</v>
      </c>
      <c r="S125" t="s">
        <v>125</v>
      </c>
      <c r="T125" t="s">
        <v>51</v>
      </c>
      <c r="U125" t="s">
        <v>126</v>
      </c>
      <c r="V125" t="s">
        <v>53</v>
      </c>
      <c r="W125" t="b">
        <v>1</v>
      </c>
      <c r="X125" t="b">
        <v>1</v>
      </c>
      <c r="Y125">
        <v>1</v>
      </c>
      <c r="Z125">
        <v>1</v>
      </c>
      <c r="AA125" t="s">
        <v>56</v>
      </c>
      <c r="AB125" t="s">
        <v>57</v>
      </c>
      <c r="AC125">
        <v>0.75</v>
      </c>
      <c r="AD125" t="b">
        <v>1</v>
      </c>
      <c r="AE125" t="s">
        <v>23</v>
      </c>
      <c r="AF125">
        <v>20000</v>
      </c>
      <c r="AG125">
        <v>500</v>
      </c>
      <c r="AH125" t="s">
        <v>121</v>
      </c>
      <c r="AI125" t="b">
        <v>0</v>
      </c>
      <c r="AJ125" t="b">
        <v>0</v>
      </c>
      <c r="AK125" t="b">
        <v>1</v>
      </c>
      <c r="AL125" t="b">
        <v>0</v>
      </c>
      <c r="AN125" t="s">
        <v>1068</v>
      </c>
    </row>
    <row r="126" spans="1:40" x14ac:dyDescent="0.25">
      <c r="A126">
        <v>125</v>
      </c>
      <c r="B126" t="s">
        <v>707</v>
      </c>
      <c r="C126" t="s">
        <v>41</v>
      </c>
      <c r="D126">
        <v>500</v>
      </c>
      <c r="E126">
        <v>2.5000000000000001E-2</v>
      </c>
      <c r="F126" t="s">
        <v>654</v>
      </c>
      <c r="G126" t="s">
        <v>42</v>
      </c>
      <c r="H126" t="s">
        <v>64</v>
      </c>
      <c r="I126" t="s">
        <v>44</v>
      </c>
      <c r="J126">
        <v>5</v>
      </c>
      <c r="K126">
        <v>2</v>
      </c>
      <c r="L126" t="s">
        <v>650</v>
      </c>
      <c r="M126" t="s">
        <v>710</v>
      </c>
      <c r="N126" t="s">
        <v>651</v>
      </c>
      <c r="O126" t="s">
        <v>711</v>
      </c>
      <c r="P126" t="s">
        <v>122</v>
      </c>
      <c r="Q126" t="s">
        <v>123</v>
      </c>
      <c r="R126" t="s">
        <v>124</v>
      </c>
      <c r="S126" t="s">
        <v>125</v>
      </c>
      <c r="T126" t="s">
        <v>51</v>
      </c>
      <c r="U126" t="s">
        <v>126</v>
      </c>
      <c r="V126" t="s">
        <v>53</v>
      </c>
      <c r="W126" t="b">
        <v>1</v>
      </c>
      <c r="X126" t="b">
        <v>1</v>
      </c>
      <c r="Y126">
        <v>1</v>
      </c>
      <c r="Z126">
        <v>1</v>
      </c>
      <c r="AA126" t="s">
        <v>56</v>
      </c>
      <c r="AB126" t="s">
        <v>57</v>
      </c>
      <c r="AC126">
        <v>0.5</v>
      </c>
      <c r="AD126" t="b">
        <v>1</v>
      </c>
      <c r="AE126" t="s">
        <v>23</v>
      </c>
      <c r="AF126">
        <v>20000</v>
      </c>
      <c r="AG126">
        <v>500</v>
      </c>
      <c r="AH126" t="s">
        <v>121</v>
      </c>
      <c r="AI126" t="b">
        <v>0</v>
      </c>
      <c r="AJ126" t="b">
        <v>0</v>
      </c>
      <c r="AK126" t="b">
        <v>1</v>
      </c>
      <c r="AL126" t="b">
        <v>0</v>
      </c>
      <c r="AN126" t="s">
        <v>1068</v>
      </c>
    </row>
    <row r="127" spans="1:40" x14ac:dyDescent="0.25">
      <c r="A127">
        <v>126</v>
      </c>
      <c r="B127" t="s">
        <v>708</v>
      </c>
      <c r="C127" t="s">
        <v>41</v>
      </c>
      <c r="D127">
        <v>500</v>
      </c>
      <c r="E127">
        <v>2.5000000000000001E-2</v>
      </c>
      <c r="F127" t="s">
        <v>654</v>
      </c>
      <c r="G127" t="s">
        <v>42</v>
      </c>
      <c r="H127" t="s">
        <v>64</v>
      </c>
      <c r="I127" t="s">
        <v>44</v>
      </c>
      <c r="J127">
        <v>5</v>
      </c>
      <c r="K127">
        <v>2</v>
      </c>
      <c r="L127" t="s">
        <v>650</v>
      </c>
      <c r="M127" t="s">
        <v>710</v>
      </c>
      <c r="N127" t="s">
        <v>651</v>
      </c>
      <c r="O127" t="s">
        <v>711</v>
      </c>
      <c r="P127" t="s">
        <v>122</v>
      </c>
      <c r="Q127" t="s">
        <v>123</v>
      </c>
      <c r="R127" t="s">
        <v>124</v>
      </c>
      <c r="S127" t="s">
        <v>125</v>
      </c>
      <c r="T127" t="s">
        <v>51</v>
      </c>
      <c r="U127" t="s">
        <v>126</v>
      </c>
      <c r="V127" t="s">
        <v>53</v>
      </c>
      <c r="W127" t="b">
        <v>1</v>
      </c>
      <c r="X127" t="b">
        <v>1</v>
      </c>
      <c r="Y127">
        <v>1</v>
      </c>
      <c r="Z127">
        <v>1</v>
      </c>
      <c r="AA127" t="s">
        <v>56</v>
      </c>
      <c r="AB127" t="s">
        <v>57</v>
      </c>
      <c r="AC127">
        <v>0.25</v>
      </c>
      <c r="AD127" t="b">
        <v>1</v>
      </c>
      <c r="AE127" t="s">
        <v>23</v>
      </c>
      <c r="AF127">
        <v>20000</v>
      </c>
      <c r="AG127">
        <v>500</v>
      </c>
      <c r="AH127" t="s">
        <v>121</v>
      </c>
      <c r="AI127" t="b">
        <v>0</v>
      </c>
      <c r="AJ127" t="b">
        <v>0</v>
      </c>
      <c r="AK127" t="b">
        <v>1</v>
      </c>
      <c r="AL127" t="b">
        <v>0</v>
      </c>
      <c r="AN127" t="s">
        <v>1068</v>
      </c>
    </row>
    <row r="128" spans="1:40" x14ac:dyDescent="0.25">
      <c r="A128">
        <v>127</v>
      </c>
      <c r="B128" t="s">
        <v>709</v>
      </c>
      <c r="C128" t="s">
        <v>41</v>
      </c>
      <c r="D128">
        <v>500</v>
      </c>
      <c r="E128">
        <v>2.5000000000000001E-2</v>
      </c>
      <c r="F128" t="s">
        <v>654</v>
      </c>
      <c r="G128" t="s">
        <v>42</v>
      </c>
      <c r="H128" t="s">
        <v>64</v>
      </c>
      <c r="I128" t="s">
        <v>44</v>
      </c>
      <c r="J128">
        <v>5</v>
      </c>
      <c r="K128">
        <v>2</v>
      </c>
      <c r="L128" t="s">
        <v>650</v>
      </c>
      <c r="M128" t="s">
        <v>710</v>
      </c>
      <c r="N128" t="s">
        <v>651</v>
      </c>
      <c r="O128" t="s">
        <v>711</v>
      </c>
      <c r="P128" t="s">
        <v>122</v>
      </c>
      <c r="Q128" t="s">
        <v>123</v>
      </c>
      <c r="R128" t="s">
        <v>124</v>
      </c>
      <c r="S128" t="s">
        <v>125</v>
      </c>
      <c r="T128" t="s">
        <v>51</v>
      </c>
      <c r="U128" t="s">
        <v>126</v>
      </c>
      <c r="V128" t="s">
        <v>53</v>
      </c>
      <c r="W128" t="b">
        <v>1</v>
      </c>
      <c r="X128" t="b">
        <v>1</v>
      </c>
      <c r="Y128">
        <v>1</v>
      </c>
      <c r="Z128">
        <v>1</v>
      </c>
      <c r="AA128" t="s">
        <v>56</v>
      </c>
      <c r="AB128" t="s">
        <v>60</v>
      </c>
      <c r="AC128">
        <v>1</v>
      </c>
      <c r="AD128" t="b">
        <v>1</v>
      </c>
      <c r="AE128" t="s">
        <v>23</v>
      </c>
      <c r="AF128">
        <v>20000</v>
      </c>
      <c r="AG128">
        <v>500</v>
      </c>
      <c r="AH128" t="s">
        <v>121</v>
      </c>
      <c r="AI128" t="b">
        <v>0</v>
      </c>
      <c r="AJ128" t="b">
        <v>0</v>
      </c>
      <c r="AK128" t="b">
        <v>1</v>
      </c>
      <c r="AL128" t="b">
        <v>0</v>
      </c>
      <c r="AN128" t="s">
        <v>1068</v>
      </c>
    </row>
    <row r="129" spans="1:40" x14ac:dyDescent="0.25">
      <c r="A129">
        <v>128</v>
      </c>
      <c r="B129" t="s">
        <v>712</v>
      </c>
      <c r="C129" t="s">
        <v>41</v>
      </c>
      <c r="D129">
        <v>500</v>
      </c>
      <c r="E129">
        <v>2.5000000000000001E-2</v>
      </c>
      <c r="F129" t="s">
        <v>654</v>
      </c>
      <c r="G129" t="s">
        <v>42</v>
      </c>
      <c r="H129" t="s">
        <v>64</v>
      </c>
      <c r="I129" t="s">
        <v>44</v>
      </c>
      <c r="J129">
        <v>5</v>
      </c>
      <c r="K129">
        <v>2</v>
      </c>
      <c r="L129" t="s">
        <v>650</v>
      </c>
      <c r="M129" t="s">
        <v>724</v>
      </c>
      <c r="N129" t="s">
        <v>651</v>
      </c>
      <c r="O129" t="s">
        <v>727</v>
      </c>
      <c r="P129" t="s">
        <v>122</v>
      </c>
      <c r="Q129" t="s">
        <v>123</v>
      </c>
      <c r="R129" t="s">
        <v>124</v>
      </c>
      <c r="S129" t="s">
        <v>125</v>
      </c>
      <c r="T129" t="s">
        <v>51</v>
      </c>
      <c r="U129" t="s">
        <v>126</v>
      </c>
      <c r="V129" t="s">
        <v>53</v>
      </c>
      <c r="W129" t="b">
        <v>1</v>
      </c>
      <c r="X129" t="b">
        <v>1</v>
      </c>
      <c r="Y129">
        <v>1</v>
      </c>
      <c r="Z129">
        <v>1</v>
      </c>
      <c r="AA129" t="s">
        <v>56</v>
      </c>
      <c r="AB129" t="s">
        <v>57</v>
      </c>
      <c r="AC129">
        <v>0.75</v>
      </c>
      <c r="AD129" t="b">
        <v>1</v>
      </c>
      <c r="AE129" t="s">
        <v>23</v>
      </c>
      <c r="AF129">
        <v>20000</v>
      </c>
      <c r="AG129">
        <v>500</v>
      </c>
      <c r="AH129" t="s">
        <v>121</v>
      </c>
      <c r="AI129" t="b">
        <v>0</v>
      </c>
      <c r="AJ129" t="b">
        <v>0</v>
      </c>
      <c r="AK129" t="b">
        <v>1</v>
      </c>
      <c r="AL129" t="b">
        <v>0</v>
      </c>
      <c r="AN129" t="s">
        <v>1068</v>
      </c>
    </row>
    <row r="130" spans="1:40" x14ac:dyDescent="0.25">
      <c r="A130">
        <v>129</v>
      </c>
      <c r="B130" t="s">
        <v>713</v>
      </c>
      <c r="C130" t="s">
        <v>41</v>
      </c>
      <c r="D130">
        <v>500</v>
      </c>
      <c r="E130">
        <v>2.5000000000000001E-2</v>
      </c>
      <c r="F130" t="s">
        <v>654</v>
      </c>
      <c r="G130" t="s">
        <v>42</v>
      </c>
      <c r="H130" t="s">
        <v>64</v>
      </c>
      <c r="I130" t="s">
        <v>44</v>
      </c>
      <c r="J130">
        <v>5</v>
      </c>
      <c r="K130">
        <v>2</v>
      </c>
      <c r="L130" t="s">
        <v>650</v>
      </c>
      <c r="M130" t="s">
        <v>724</v>
      </c>
      <c r="N130" t="s">
        <v>651</v>
      </c>
      <c r="O130" t="s">
        <v>727</v>
      </c>
      <c r="P130" t="s">
        <v>122</v>
      </c>
      <c r="Q130" t="s">
        <v>123</v>
      </c>
      <c r="R130" t="s">
        <v>124</v>
      </c>
      <c r="S130" t="s">
        <v>125</v>
      </c>
      <c r="T130" t="s">
        <v>51</v>
      </c>
      <c r="U130" t="s">
        <v>126</v>
      </c>
      <c r="V130" t="s">
        <v>53</v>
      </c>
      <c r="W130" t="b">
        <v>1</v>
      </c>
      <c r="X130" t="b">
        <v>1</v>
      </c>
      <c r="Y130">
        <v>1</v>
      </c>
      <c r="Z130">
        <v>1</v>
      </c>
      <c r="AA130" t="s">
        <v>56</v>
      </c>
      <c r="AB130" t="s">
        <v>57</v>
      </c>
      <c r="AC130">
        <v>0.5</v>
      </c>
      <c r="AD130" t="b">
        <v>1</v>
      </c>
      <c r="AE130" t="s">
        <v>23</v>
      </c>
      <c r="AF130">
        <v>20000</v>
      </c>
      <c r="AG130">
        <v>500</v>
      </c>
      <c r="AH130" t="s">
        <v>121</v>
      </c>
      <c r="AI130" t="b">
        <v>0</v>
      </c>
      <c r="AJ130" t="b">
        <v>0</v>
      </c>
      <c r="AK130" t="b">
        <v>1</v>
      </c>
      <c r="AL130" t="b">
        <v>0</v>
      </c>
      <c r="AN130" t="s">
        <v>1068</v>
      </c>
    </row>
    <row r="131" spans="1:40" x14ac:dyDescent="0.25">
      <c r="A131">
        <v>130</v>
      </c>
      <c r="B131" t="s">
        <v>714</v>
      </c>
      <c r="C131" t="s">
        <v>41</v>
      </c>
      <c r="D131">
        <v>500</v>
      </c>
      <c r="E131">
        <v>2.5000000000000001E-2</v>
      </c>
      <c r="F131" t="s">
        <v>654</v>
      </c>
      <c r="G131" t="s">
        <v>42</v>
      </c>
      <c r="H131" t="s">
        <v>64</v>
      </c>
      <c r="I131" t="s">
        <v>44</v>
      </c>
      <c r="J131">
        <v>5</v>
      </c>
      <c r="K131">
        <v>2</v>
      </c>
      <c r="L131" t="s">
        <v>650</v>
      </c>
      <c r="M131" t="s">
        <v>724</v>
      </c>
      <c r="N131" t="s">
        <v>651</v>
      </c>
      <c r="O131" t="s">
        <v>727</v>
      </c>
      <c r="P131" t="s">
        <v>122</v>
      </c>
      <c r="Q131" t="s">
        <v>123</v>
      </c>
      <c r="R131" t="s">
        <v>124</v>
      </c>
      <c r="S131" t="s">
        <v>125</v>
      </c>
      <c r="T131" t="s">
        <v>51</v>
      </c>
      <c r="U131" t="s">
        <v>126</v>
      </c>
      <c r="V131" t="s">
        <v>53</v>
      </c>
      <c r="W131" t="b">
        <v>1</v>
      </c>
      <c r="X131" t="b">
        <v>1</v>
      </c>
      <c r="Y131">
        <v>1</v>
      </c>
      <c r="Z131">
        <v>1</v>
      </c>
      <c r="AA131" t="s">
        <v>56</v>
      </c>
      <c r="AB131" t="s">
        <v>57</v>
      </c>
      <c r="AC131">
        <v>0.25</v>
      </c>
      <c r="AD131" t="b">
        <v>1</v>
      </c>
      <c r="AE131" t="s">
        <v>23</v>
      </c>
      <c r="AF131">
        <v>20000</v>
      </c>
      <c r="AG131">
        <v>500</v>
      </c>
      <c r="AH131" t="s">
        <v>121</v>
      </c>
      <c r="AI131" t="b">
        <v>0</v>
      </c>
      <c r="AJ131" t="b">
        <v>0</v>
      </c>
      <c r="AK131" t="b">
        <v>1</v>
      </c>
      <c r="AL131" t="b">
        <v>0</v>
      </c>
      <c r="AN131" t="s">
        <v>1068</v>
      </c>
    </row>
    <row r="132" spans="1:40" x14ac:dyDescent="0.25">
      <c r="A132">
        <v>131</v>
      </c>
      <c r="B132" t="s">
        <v>715</v>
      </c>
      <c r="C132" t="s">
        <v>41</v>
      </c>
      <c r="D132">
        <v>500</v>
      </c>
      <c r="E132">
        <v>2.5000000000000001E-2</v>
      </c>
      <c r="F132" t="s">
        <v>654</v>
      </c>
      <c r="G132" t="s">
        <v>42</v>
      </c>
      <c r="H132" t="s">
        <v>64</v>
      </c>
      <c r="I132" t="s">
        <v>44</v>
      </c>
      <c r="J132">
        <v>5</v>
      </c>
      <c r="K132">
        <v>2</v>
      </c>
      <c r="L132" t="s">
        <v>650</v>
      </c>
      <c r="M132" t="s">
        <v>724</v>
      </c>
      <c r="N132" t="s">
        <v>651</v>
      </c>
      <c r="O132" t="s">
        <v>727</v>
      </c>
      <c r="P132" t="s">
        <v>122</v>
      </c>
      <c r="Q132" t="s">
        <v>123</v>
      </c>
      <c r="R132" t="s">
        <v>124</v>
      </c>
      <c r="S132" t="s">
        <v>125</v>
      </c>
      <c r="T132" t="s">
        <v>51</v>
      </c>
      <c r="U132" t="s">
        <v>126</v>
      </c>
      <c r="V132" t="s">
        <v>53</v>
      </c>
      <c r="W132" t="b">
        <v>1</v>
      </c>
      <c r="X132" t="b">
        <v>1</v>
      </c>
      <c r="Y132">
        <v>1</v>
      </c>
      <c r="Z132">
        <v>1</v>
      </c>
      <c r="AA132" t="s">
        <v>56</v>
      </c>
      <c r="AB132" t="s">
        <v>60</v>
      </c>
      <c r="AC132">
        <v>1</v>
      </c>
      <c r="AD132" t="b">
        <v>1</v>
      </c>
      <c r="AE132" t="s">
        <v>23</v>
      </c>
      <c r="AF132">
        <v>20000</v>
      </c>
      <c r="AG132">
        <v>500</v>
      </c>
      <c r="AH132" t="s">
        <v>121</v>
      </c>
      <c r="AI132" t="b">
        <v>0</v>
      </c>
      <c r="AJ132" t="b">
        <v>0</v>
      </c>
      <c r="AK132" t="b">
        <v>1</v>
      </c>
      <c r="AL132" t="b">
        <v>0</v>
      </c>
      <c r="AN132" t="s">
        <v>1068</v>
      </c>
    </row>
    <row r="133" spans="1:40" x14ac:dyDescent="0.25">
      <c r="A133">
        <v>132</v>
      </c>
      <c r="B133" t="s">
        <v>716</v>
      </c>
      <c r="C133" t="s">
        <v>41</v>
      </c>
      <c r="D133">
        <v>500</v>
      </c>
      <c r="E133">
        <v>2.5000000000000001E-2</v>
      </c>
      <c r="F133" t="s">
        <v>654</v>
      </c>
      <c r="G133" t="s">
        <v>42</v>
      </c>
      <c r="H133" t="s">
        <v>64</v>
      </c>
      <c r="I133" t="s">
        <v>44</v>
      </c>
      <c r="J133">
        <v>5</v>
      </c>
      <c r="K133">
        <v>2</v>
      </c>
      <c r="L133" t="s">
        <v>650</v>
      </c>
      <c r="M133" t="s">
        <v>725</v>
      </c>
      <c r="N133" t="s">
        <v>651</v>
      </c>
      <c r="O133" t="s">
        <v>728</v>
      </c>
      <c r="P133" t="s">
        <v>122</v>
      </c>
      <c r="Q133" t="s">
        <v>123</v>
      </c>
      <c r="R133" t="s">
        <v>124</v>
      </c>
      <c r="S133" t="s">
        <v>125</v>
      </c>
      <c r="T133" t="s">
        <v>51</v>
      </c>
      <c r="U133" t="s">
        <v>126</v>
      </c>
      <c r="V133" t="s">
        <v>53</v>
      </c>
      <c r="W133" t="b">
        <v>1</v>
      </c>
      <c r="X133" t="b">
        <v>1</v>
      </c>
      <c r="Y133">
        <v>1</v>
      </c>
      <c r="Z133">
        <v>1</v>
      </c>
      <c r="AA133" t="s">
        <v>56</v>
      </c>
      <c r="AB133" t="s">
        <v>57</v>
      </c>
      <c r="AC133">
        <v>0.75</v>
      </c>
      <c r="AD133" t="b">
        <v>1</v>
      </c>
      <c r="AE133" t="s">
        <v>23</v>
      </c>
      <c r="AF133">
        <v>20000</v>
      </c>
      <c r="AG133">
        <v>500</v>
      </c>
      <c r="AH133" t="s">
        <v>121</v>
      </c>
      <c r="AI133" t="b">
        <v>0</v>
      </c>
      <c r="AJ133" t="b">
        <v>0</v>
      </c>
      <c r="AK133" t="b">
        <v>1</v>
      </c>
      <c r="AL133" t="b">
        <v>0</v>
      </c>
      <c r="AN133" t="s">
        <v>1068</v>
      </c>
    </row>
    <row r="134" spans="1:40" x14ac:dyDescent="0.25">
      <c r="A134">
        <v>133</v>
      </c>
      <c r="B134" t="s">
        <v>717</v>
      </c>
      <c r="C134" t="s">
        <v>41</v>
      </c>
      <c r="D134">
        <v>500</v>
      </c>
      <c r="E134">
        <v>2.5000000000000001E-2</v>
      </c>
      <c r="F134" t="s">
        <v>654</v>
      </c>
      <c r="G134" t="s">
        <v>42</v>
      </c>
      <c r="H134" t="s">
        <v>64</v>
      </c>
      <c r="I134" t="s">
        <v>44</v>
      </c>
      <c r="J134">
        <v>5</v>
      </c>
      <c r="K134">
        <v>2</v>
      </c>
      <c r="L134" t="s">
        <v>650</v>
      </c>
      <c r="M134" t="s">
        <v>725</v>
      </c>
      <c r="N134" t="s">
        <v>651</v>
      </c>
      <c r="O134" t="s">
        <v>728</v>
      </c>
      <c r="P134" t="s">
        <v>122</v>
      </c>
      <c r="Q134" t="s">
        <v>123</v>
      </c>
      <c r="R134" t="s">
        <v>124</v>
      </c>
      <c r="S134" t="s">
        <v>125</v>
      </c>
      <c r="T134" t="s">
        <v>51</v>
      </c>
      <c r="U134" t="s">
        <v>126</v>
      </c>
      <c r="V134" t="s">
        <v>53</v>
      </c>
      <c r="W134" t="b">
        <v>1</v>
      </c>
      <c r="X134" t="b">
        <v>1</v>
      </c>
      <c r="Y134">
        <v>1</v>
      </c>
      <c r="Z134">
        <v>1</v>
      </c>
      <c r="AA134" t="s">
        <v>56</v>
      </c>
      <c r="AB134" t="s">
        <v>57</v>
      </c>
      <c r="AC134">
        <v>0.5</v>
      </c>
      <c r="AD134" t="b">
        <v>1</v>
      </c>
      <c r="AE134" t="s">
        <v>23</v>
      </c>
      <c r="AF134">
        <v>20000</v>
      </c>
      <c r="AG134">
        <v>500</v>
      </c>
      <c r="AH134" t="s">
        <v>121</v>
      </c>
      <c r="AI134" t="b">
        <v>0</v>
      </c>
      <c r="AJ134" t="b">
        <v>0</v>
      </c>
      <c r="AK134" t="b">
        <v>1</v>
      </c>
      <c r="AL134" t="b">
        <v>0</v>
      </c>
      <c r="AN134" t="s">
        <v>1068</v>
      </c>
    </row>
    <row r="135" spans="1:40" x14ac:dyDescent="0.25">
      <c r="A135">
        <v>134</v>
      </c>
      <c r="B135" t="s">
        <v>718</v>
      </c>
      <c r="C135" t="s">
        <v>41</v>
      </c>
      <c r="D135">
        <v>500</v>
      </c>
      <c r="E135">
        <v>2.5000000000000001E-2</v>
      </c>
      <c r="F135" t="s">
        <v>654</v>
      </c>
      <c r="G135" t="s">
        <v>42</v>
      </c>
      <c r="H135" t="s">
        <v>64</v>
      </c>
      <c r="I135" t="s">
        <v>44</v>
      </c>
      <c r="J135">
        <v>5</v>
      </c>
      <c r="K135">
        <v>2</v>
      </c>
      <c r="L135" t="s">
        <v>650</v>
      </c>
      <c r="M135" t="s">
        <v>725</v>
      </c>
      <c r="N135" t="s">
        <v>651</v>
      </c>
      <c r="O135" t="s">
        <v>728</v>
      </c>
      <c r="P135" t="s">
        <v>122</v>
      </c>
      <c r="Q135" t="s">
        <v>123</v>
      </c>
      <c r="R135" t="s">
        <v>124</v>
      </c>
      <c r="S135" t="s">
        <v>125</v>
      </c>
      <c r="T135" t="s">
        <v>51</v>
      </c>
      <c r="U135" t="s">
        <v>126</v>
      </c>
      <c r="V135" t="s">
        <v>53</v>
      </c>
      <c r="W135" t="b">
        <v>1</v>
      </c>
      <c r="X135" t="b">
        <v>1</v>
      </c>
      <c r="Y135">
        <v>1</v>
      </c>
      <c r="Z135">
        <v>1</v>
      </c>
      <c r="AA135" t="s">
        <v>56</v>
      </c>
      <c r="AB135" t="s">
        <v>57</v>
      </c>
      <c r="AC135">
        <v>0.25</v>
      </c>
      <c r="AD135" t="b">
        <v>1</v>
      </c>
      <c r="AE135" t="s">
        <v>23</v>
      </c>
      <c r="AF135">
        <v>20000</v>
      </c>
      <c r="AG135">
        <v>500</v>
      </c>
      <c r="AH135" t="s">
        <v>121</v>
      </c>
      <c r="AI135" t="b">
        <v>0</v>
      </c>
      <c r="AJ135" t="b">
        <v>0</v>
      </c>
      <c r="AK135" t="b">
        <v>1</v>
      </c>
      <c r="AL135" t="b">
        <v>0</v>
      </c>
      <c r="AN135" t="s">
        <v>1068</v>
      </c>
    </row>
    <row r="136" spans="1:40" x14ac:dyDescent="0.25">
      <c r="A136">
        <v>135</v>
      </c>
      <c r="B136" t="s">
        <v>719</v>
      </c>
      <c r="C136" t="s">
        <v>41</v>
      </c>
      <c r="D136">
        <v>500</v>
      </c>
      <c r="E136">
        <v>2.5000000000000001E-2</v>
      </c>
      <c r="F136" t="s">
        <v>654</v>
      </c>
      <c r="G136" t="s">
        <v>42</v>
      </c>
      <c r="H136" t="s">
        <v>64</v>
      </c>
      <c r="I136" t="s">
        <v>44</v>
      </c>
      <c r="J136">
        <v>5</v>
      </c>
      <c r="K136">
        <v>2</v>
      </c>
      <c r="L136" t="s">
        <v>650</v>
      </c>
      <c r="M136" t="s">
        <v>725</v>
      </c>
      <c r="N136" t="s">
        <v>651</v>
      </c>
      <c r="O136" t="s">
        <v>728</v>
      </c>
      <c r="P136" t="s">
        <v>122</v>
      </c>
      <c r="Q136" t="s">
        <v>123</v>
      </c>
      <c r="R136" t="s">
        <v>124</v>
      </c>
      <c r="S136" t="s">
        <v>125</v>
      </c>
      <c r="T136" t="s">
        <v>51</v>
      </c>
      <c r="U136" t="s">
        <v>126</v>
      </c>
      <c r="V136" t="s">
        <v>53</v>
      </c>
      <c r="W136" t="b">
        <v>1</v>
      </c>
      <c r="X136" t="b">
        <v>1</v>
      </c>
      <c r="Y136">
        <v>1</v>
      </c>
      <c r="Z136">
        <v>1</v>
      </c>
      <c r="AA136" t="s">
        <v>56</v>
      </c>
      <c r="AB136" t="s">
        <v>60</v>
      </c>
      <c r="AC136">
        <v>1</v>
      </c>
      <c r="AD136" t="b">
        <v>1</v>
      </c>
      <c r="AE136" t="s">
        <v>23</v>
      </c>
      <c r="AF136">
        <v>20000</v>
      </c>
      <c r="AG136">
        <v>500</v>
      </c>
      <c r="AH136" t="s">
        <v>121</v>
      </c>
      <c r="AI136" t="b">
        <v>0</v>
      </c>
      <c r="AJ136" t="b">
        <v>0</v>
      </c>
      <c r="AK136" t="b">
        <v>1</v>
      </c>
      <c r="AL136" t="b">
        <v>0</v>
      </c>
      <c r="AN136" t="s">
        <v>1068</v>
      </c>
    </row>
    <row r="137" spans="1:40" x14ac:dyDescent="0.25">
      <c r="A137">
        <v>136</v>
      </c>
      <c r="B137" t="s">
        <v>720</v>
      </c>
      <c r="C137" t="s">
        <v>41</v>
      </c>
      <c r="D137">
        <v>500</v>
      </c>
      <c r="E137">
        <v>2.5000000000000001E-2</v>
      </c>
      <c r="F137" t="s">
        <v>654</v>
      </c>
      <c r="G137" t="s">
        <v>42</v>
      </c>
      <c r="H137" t="s">
        <v>64</v>
      </c>
      <c r="I137" t="s">
        <v>44</v>
      </c>
      <c r="J137">
        <v>5</v>
      </c>
      <c r="K137">
        <v>2</v>
      </c>
      <c r="L137" t="s">
        <v>650</v>
      </c>
      <c r="M137" t="s">
        <v>726</v>
      </c>
      <c r="N137" t="s">
        <v>651</v>
      </c>
      <c r="O137" t="s">
        <v>729</v>
      </c>
      <c r="P137" t="s">
        <v>122</v>
      </c>
      <c r="Q137" t="s">
        <v>123</v>
      </c>
      <c r="R137" t="s">
        <v>124</v>
      </c>
      <c r="S137" t="s">
        <v>125</v>
      </c>
      <c r="T137" t="s">
        <v>51</v>
      </c>
      <c r="U137" t="s">
        <v>126</v>
      </c>
      <c r="V137" t="s">
        <v>53</v>
      </c>
      <c r="W137" t="b">
        <v>1</v>
      </c>
      <c r="X137" t="b">
        <v>1</v>
      </c>
      <c r="Y137">
        <v>1</v>
      </c>
      <c r="Z137">
        <v>1</v>
      </c>
      <c r="AA137" t="s">
        <v>56</v>
      </c>
      <c r="AB137" t="s">
        <v>57</v>
      </c>
      <c r="AC137">
        <v>0.75</v>
      </c>
      <c r="AD137" t="b">
        <v>1</v>
      </c>
      <c r="AE137" t="s">
        <v>23</v>
      </c>
      <c r="AF137">
        <v>20000</v>
      </c>
      <c r="AG137">
        <v>500</v>
      </c>
      <c r="AH137" t="s">
        <v>121</v>
      </c>
      <c r="AI137" t="b">
        <v>0</v>
      </c>
      <c r="AJ137" t="b">
        <v>0</v>
      </c>
      <c r="AK137" t="b">
        <v>1</v>
      </c>
      <c r="AL137" t="b">
        <v>0</v>
      </c>
      <c r="AN137" t="s">
        <v>1068</v>
      </c>
    </row>
    <row r="138" spans="1:40" x14ac:dyDescent="0.25">
      <c r="A138">
        <v>137</v>
      </c>
      <c r="B138" t="s">
        <v>721</v>
      </c>
      <c r="C138" t="s">
        <v>41</v>
      </c>
      <c r="D138">
        <v>500</v>
      </c>
      <c r="E138">
        <v>2.5000000000000001E-2</v>
      </c>
      <c r="F138" t="s">
        <v>654</v>
      </c>
      <c r="G138" t="s">
        <v>42</v>
      </c>
      <c r="H138" t="s">
        <v>64</v>
      </c>
      <c r="I138" t="s">
        <v>44</v>
      </c>
      <c r="J138">
        <v>5</v>
      </c>
      <c r="K138">
        <v>2</v>
      </c>
      <c r="L138" t="s">
        <v>650</v>
      </c>
      <c r="M138" t="s">
        <v>726</v>
      </c>
      <c r="N138" t="s">
        <v>651</v>
      </c>
      <c r="O138" t="s">
        <v>729</v>
      </c>
      <c r="P138" t="s">
        <v>122</v>
      </c>
      <c r="Q138" t="s">
        <v>123</v>
      </c>
      <c r="R138" t="s">
        <v>124</v>
      </c>
      <c r="S138" t="s">
        <v>125</v>
      </c>
      <c r="T138" t="s">
        <v>51</v>
      </c>
      <c r="U138" t="s">
        <v>126</v>
      </c>
      <c r="V138" t="s">
        <v>53</v>
      </c>
      <c r="W138" t="b">
        <v>1</v>
      </c>
      <c r="X138" t="b">
        <v>1</v>
      </c>
      <c r="Y138">
        <v>1</v>
      </c>
      <c r="Z138">
        <v>1</v>
      </c>
      <c r="AA138" t="s">
        <v>56</v>
      </c>
      <c r="AB138" t="s">
        <v>57</v>
      </c>
      <c r="AC138">
        <v>0.5</v>
      </c>
      <c r="AD138" t="b">
        <v>1</v>
      </c>
      <c r="AE138" t="s">
        <v>23</v>
      </c>
      <c r="AF138">
        <v>20000</v>
      </c>
      <c r="AG138">
        <v>500</v>
      </c>
      <c r="AH138" t="s">
        <v>121</v>
      </c>
      <c r="AI138" t="b">
        <v>0</v>
      </c>
      <c r="AJ138" t="b">
        <v>0</v>
      </c>
      <c r="AK138" t="b">
        <v>1</v>
      </c>
      <c r="AL138" t="b">
        <v>0</v>
      </c>
      <c r="AN138" t="s">
        <v>1068</v>
      </c>
    </row>
    <row r="139" spans="1:40" x14ac:dyDescent="0.25">
      <c r="A139">
        <v>138</v>
      </c>
      <c r="B139" t="s">
        <v>722</v>
      </c>
      <c r="C139" t="s">
        <v>41</v>
      </c>
      <c r="D139">
        <v>500</v>
      </c>
      <c r="E139">
        <v>2.5000000000000001E-2</v>
      </c>
      <c r="F139" t="s">
        <v>654</v>
      </c>
      <c r="G139" t="s">
        <v>42</v>
      </c>
      <c r="H139" t="s">
        <v>64</v>
      </c>
      <c r="I139" t="s">
        <v>44</v>
      </c>
      <c r="J139">
        <v>5</v>
      </c>
      <c r="K139">
        <v>2</v>
      </c>
      <c r="L139" t="s">
        <v>650</v>
      </c>
      <c r="M139" t="s">
        <v>726</v>
      </c>
      <c r="N139" t="s">
        <v>651</v>
      </c>
      <c r="O139" t="s">
        <v>729</v>
      </c>
      <c r="P139" t="s">
        <v>122</v>
      </c>
      <c r="Q139" t="s">
        <v>123</v>
      </c>
      <c r="R139" t="s">
        <v>124</v>
      </c>
      <c r="S139" t="s">
        <v>125</v>
      </c>
      <c r="T139" t="s">
        <v>51</v>
      </c>
      <c r="U139" t="s">
        <v>126</v>
      </c>
      <c r="V139" t="s">
        <v>53</v>
      </c>
      <c r="W139" t="b">
        <v>1</v>
      </c>
      <c r="X139" t="b">
        <v>1</v>
      </c>
      <c r="Y139">
        <v>1</v>
      </c>
      <c r="Z139">
        <v>1</v>
      </c>
      <c r="AA139" t="s">
        <v>56</v>
      </c>
      <c r="AB139" t="s">
        <v>57</v>
      </c>
      <c r="AC139">
        <v>0.25</v>
      </c>
      <c r="AD139" t="b">
        <v>1</v>
      </c>
      <c r="AE139" t="s">
        <v>23</v>
      </c>
      <c r="AF139">
        <v>20000</v>
      </c>
      <c r="AG139">
        <v>500</v>
      </c>
      <c r="AH139" t="s">
        <v>121</v>
      </c>
      <c r="AI139" t="b">
        <v>0</v>
      </c>
      <c r="AJ139" t="b">
        <v>0</v>
      </c>
      <c r="AK139" t="b">
        <v>1</v>
      </c>
      <c r="AL139" t="b">
        <v>0</v>
      </c>
      <c r="AN139" t="s">
        <v>1068</v>
      </c>
    </row>
    <row r="140" spans="1:40" x14ac:dyDescent="0.25">
      <c r="A140">
        <v>139</v>
      </c>
      <c r="B140" t="s">
        <v>723</v>
      </c>
      <c r="C140" t="s">
        <v>41</v>
      </c>
      <c r="D140">
        <v>500</v>
      </c>
      <c r="E140">
        <v>2.5000000000000001E-2</v>
      </c>
      <c r="F140" t="s">
        <v>654</v>
      </c>
      <c r="G140" t="s">
        <v>42</v>
      </c>
      <c r="H140" t="s">
        <v>64</v>
      </c>
      <c r="I140" t="s">
        <v>44</v>
      </c>
      <c r="J140">
        <v>5</v>
      </c>
      <c r="K140">
        <v>2</v>
      </c>
      <c r="L140" t="s">
        <v>650</v>
      </c>
      <c r="M140" t="s">
        <v>726</v>
      </c>
      <c r="N140" t="s">
        <v>651</v>
      </c>
      <c r="O140" t="s">
        <v>729</v>
      </c>
      <c r="P140" t="s">
        <v>122</v>
      </c>
      <c r="Q140" t="s">
        <v>123</v>
      </c>
      <c r="R140" t="s">
        <v>124</v>
      </c>
      <c r="S140" t="s">
        <v>125</v>
      </c>
      <c r="T140" t="s">
        <v>51</v>
      </c>
      <c r="U140" t="s">
        <v>126</v>
      </c>
      <c r="V140" t="s">
        <v>53</v>
      </c>
      <c r="W140" t="b">
        <v>1</v>
      </c>
      <c r="X140" t="b">
        <v>1</v>
      </c>
      <c r="Y140">
        <v>1</v>
      </c>
      <c r="Z140">
        <v>1</v>
      </c>
      <c r="AA140" t="s">
        <v>56</v>
      </c>
      <c r="AB140" t="s">
        <v>60</v>
      </c>
      <c r="AC140">
        <v>1</v>
      </c>
      <c r="AD140" t="b">
        <v>1</v>
      </c>
      <c r="AE140" t="s">
        <v>23</v>
      </c>
      <c r="AF140">
        <v>20000</v>
      </c>
      <c r="AG140">
        <v>500</v>
      </c>
      <c r="AH140" t="s">
        <v>121</v>
      </c>
      <c r="AI140" t="b">
        <v>0</v>
      </c>
      <c r="AJ140" t="b">
        <v>0</v>
      </c>
      <c r="AK140" t="b">
        <v>1</v>
      </c>
      <c r="AL140" t="b">
        <v>0</v>
      </c>
      <c r="AN140" t="s">
        <v>1068</v>
      </c>
    </row>
    <row r="141" spans="1:40" hidden="1" x14ac:dyDescent="0.25">
      <c r="A141">
        <v>140</v>
      </c>
      <c r="B141" s="3" t="s">
        <v>813</v>
      </c>
      <c r="C141" t="s">
        <v>41</v>
      </c>
      <c r="D141">
        <v>500</v>
      </c>
      <c r="E141">
        <v>2.5000000000000001E-2</v>
      </c>
      <c r="F141" t="s">
        <v>654</v>
      </c>
      <c r="G141" t="s">
        <v>42</v>
      </c>
      <c r="H141" t="s">
        <v>64</v>
      </c>
      <c r="I141" t="s">
        <v>44</v>
      </c>
      <c r="J141">
        <v>5</v>
      </c>
      <c r="K141">
        <v>2</v>
      </c>
      <c r="L141" t="s">
        <v>650</v>
      </c>
      <c r="M141" t="s">
        <v>652</v>
      </c>
      <c r="N141" t="s">
        <v>651</v>
      </c>
      <c r="O141" t="s">
        <v>653</v>
      </c>
      <c r="P141" t="s">
        <v>122</v>
      </c>
      <c r="Q141" t="s">
        <v>123</v>
      </c>
      <c r="R141" t="s">
        <v>124</v>
      </c>
      <c r="S141" t="s">
        <v>125</v>
      </c>
      <c r="T141" t="s">
        <v>51</v>
      </c>
      <c r="U141" t="s">
        <v>126</v>
      </c>
      <c r="V141" t="s">
        <v>53</v>
      </c>
      <c r="W141" t="b">
        <v>1</v>
      </c>
      <c r="X141" t="b">
        <v>1</v>
      </c>
      <c r="Y141">
        <v>1</v>
      </c>
      <c r="Z141">
        <v>1</v>
      </c>
      <c r="AA141" t="s">
        <v>56</v>
      </c>
      <c r="AB141" t="s">
        <v>57</v>
      </c>
      <c r="AC141">
        <v>0.75</v>
      </c>
      <c r="AD141" t="b">
        <v>1</v>
      </c>
      <c r="AE141" t="s">
        <v>23</v>
      </c>
      <c r="AF141">
        <v>50000</v>
      </c>
      <c r="AG141">
        <v>200</v>
      </c>
      <c r="AH141" t="s">
        <v>121</v>
      </c>
      <c r="AI141" t="b">
        <v>0</v>
      </c>
      <c r="AJ141" t="b">
        <v>0</v>
      </c>
      <c r="AK141" t="b">
        <v>1</v>
      </c>
      <c r="AL141" t="b">
        <v>0</v>
      </c>
    </row>
    <row r="142" spans="1:40" hidden="1" x14ac:dyDescent="0.25">
      <c r="A142">
        <v>141</v>
      </c>
      <c r="B142" t="s">
        <v>814</v>
      </c>
      <c r="C142" t="s">
        <v>41</v>
      </c>
      <c r="D142">
        <v>500</v>
      </c>
      <c r="E142">
        <v>2.5000000000000001E-2</v>
      </c>
      <c r="F142" t="s">
        <v>654</v>
      </c>
      <c r="G142" t="s">
        <v>42</v>
      </c>
      <c r="H142" t="s">
        <v>64</v>
      </c>
      <c r="I142" t="s">
        <v>44</v>
      </c>
      <c r="J142">
        <v>5</v>
      </c>
      <c r="K142">
        <v>2</v>
      </c>
      <c r="L142" t="s">
        <v>650</v>
      </c>
      <c r="M142" t="s">
        <v>652</v>
      </c>
      <c r="N142" t="s">
        <v>651</v>
      </c>
      <c r="O142" t="s">
        <v>653</v>
      </c>
      <c r="P142" t="s">
        <v>122</v>
      </c>
      <c r="Q142" t="s">
        <v>123</v>
      </c>
      <c r="R142" t="s">
        <v>124</v>
      </c>
      <c r="S142" t="s">
        <v>125</v>
      </c>
      <c r="T142" t="s">
        <v>51</v>
      </c>
      <c r="U142" t="s">
        <v>126</v>
      </c>
      <c r="V142" t="s">
        <v>53</v>
      </c>
      <c r="W142" t="b">
        <v>1</v>
      </c>
      <c r="X142" t="b">
        <v>1</v>
      </c>
      <c r="Y142">
        <v>1</v>
      </c>
      <c r="Z142">
        <v>1</v>
      </c>
      <c r="AA142" t="s">
        <v>56</v>
      </c>
      <c r="AB142" t="s">
        <v>57</v>
      </c>
      <c r="AC142">
        <v>0.5</v>
      </c>
      <c r="AD142" t="b">
        <v>1</v>
      </c>
      <c r="AE142" t="s">
        <v>23</v>
      </c>
      <c r="AF142">
        <v>50000</v>
      </c>
      <c r="AG142">
        <v>200</v>
      </c>
      <c r="AH142" t="s">
        <v>121</v>
      </c>
      <c r="AI142" t="b">
        <v>0</v>
      </c>
      <c r="AJ142" t="b">
        <v>0</v>
      </c>
      <c r="AK142" t="b">
        <v>1</v>
      </c>
      <c r="AL142" t="b">
        <v>0</v>
      </c>
    </row>
    <row r="143" spans="1:40" hidden="1" x14ac:dyDescent="0.25">
      <c r="A143">
        <v>142</v>
      </c>
      <c r="B143" t="s">
        <v>815</v>
      </c>
      <c r="C143" t="s">
        <v>41</v>
      </c>
      <c r="D143">
        <v>500</v>
      </c>
      <c r="E143">
        <v>2.5000000000000001E-2</v>
      </c>
      <c r="F143" t="s">
        <v>654</v>
      </c>
      <c r="G143" t="s">
        <v>42</v>
      </c>
      <c r="H143" t="s">
        <v>64</v>
      </c>
      <c r="I143" t="s">
        <v>44</v>
      </c>
      <c r="J143">
        <v>5</v>
      </c>
      <c r="K143">
        <v>2</v>
      </c>
      <c r="L143" t="s">
        <v>650</v>
      </c>
      <c r="M143" t="s">
        <v>652</v>
      </c>
      <c r="N143" t="s">
        <v>651</v>
      </c>
      <c r="O143" t="s">
        <v>653</v>
      </c>
      <c r="P143" t="s">
        <v>122</v>
      </c>
      <c r="Q143" t="s">
        <v>123</v>
      </c>
      <c r="R143" t="s">
        <v>124</v>
      </c>
      <c r="S143" t="s">
        <v>125</v>
      </c>
      <c r="T143" t="s">
        <v>51</v>
      </c>
      <c r="U143" t="s">
        <v>126</v>
      </c>
      <c r="V143" t="s">
        <v>53</v>
      </c>
      <c r="W143" t="b">
        <v>1</v>
      </c>
      <c r="X143" t="b">
        <v>1</v>
      </c>
      <c r="Y143">
        <v>1</v>
      </c>
      <c r="Z143">
        <v>1</v>
      </c>
      <c r="AA143" t="s">
        <v>56</v>
      </c>
      <c r="AB143" t="s">
        <v>57</v>
      </c>
      <c r="AC143">
        <v>0.25</v>
      </c>
      <c r="AD143" t="b">
        <v>1</v>
      </c>
      <c r="AE143" t="s">
        <v>23</v>
      </c>
      <c r="AF143">
        <v>50000</v>
      </c>
      <c r="AG143">
        <v>200</v>
      </c>
      <c r="AH143" t="s">
        <v>121</v>
      </c>
      <c r="AI143" t="b">
        <v>0</v>
      </c>
      <c r="AJ143" t="b">
        <v>0</v>
      </c>
      <c r="AK143" t="b">
        <v>1</v>
      </c>
      <c r="AL143" t="b">
        <v>0</v>
      </c>
    </row>
    <row r="144" spans="1:40" hidden="1" x14ac:dyDescent="0.25">
      <c r="A144">
        <v>143</v>
      </c>
      <c r="B144" t="s">
        <v>816</v>
      </c>
      <c r="C144" t="s">
        <v>41</v>
      </c>
      <c r="D144">
        <v>500</v>
      </c>
      <c r="E144">
        <v>2.5000000000000001E-2</v>
      </c>
      <c r="F144" t="s">
        <v>654</v>
      </c>
      <c r="G144" t="s">
        <v>42</v>
      </c>
      <c r="H144" t="s">
        <v>64</v>
      </c>
      <c r="I144" t="s">
        <v>44</v>
      </c>
      <c r="J144">
        <v>5</v>
      </c>
      <c r="K144">
        <v>2</v>
      </c>
      <c r="L144" t="s">
        <v>650</v>
      </c>
      <c r="M144" t="s">
        <v>652</v>
      </c>
      <c r="N144" t="s">
        <v>651</v>
      </c>
      <c r="O144" t="s">
        <v>653</v>
      </c>
      <c r="P144" t="s">
        <v>122</v>
      </c>
      <c r="Q144" t="s">
        <v>123</v>
      </c>
      <c r="R144" t="s">
        <v>124</v>
      </c>
      <c r="S144" t="s">
        <v>125</v>
      </c>
      <c r="T144" t="s">
        <v>51</v>
      </c>
      <c r="U144" t="s">
        <v>126</v>
      </c>
      <c r="V144" t="s">
        <v>53</v>
      </c>
      <c r="W144" t="b">
        <v>1</v>
      </c>
      <c r="X144" t="b">
        <v>1</v>
      </c>
      <c r="Y144">
        <v>1</v>
      </c>
      <c r="Z144">
        <v>1</v>
      </c>
      <c r="AA144" t="s">
        <v>56</v>
      </c>
      <c r="AB144" t="s">
        <v>60</v>
      </c>
      <c r="AC144">
        <v>1</v>
      </c>
      <c r="AD144" t="b">
        <v>1</v>
      </c>
      <c r="AE144" t="s">
        <v>23</v>
      </c>
      <c r="AF144">
        <v>50000</v>
      </c>
      <c r="AG144">
        <v>200</v>
      </c>
      <c r="AH144" t="s">
        <v>121</v>
      </c>
      <c r="AI144" t="b">
        <v>0</v>
      </c>
      <c r="AJ144" t="b">
        <v>0</v>
      </c>
      <c r="AK144" t="b">
        <v>1</v>
      </c>
      <c r="AL144" t="b">
        <v>0</v>
      </c>
    </row>
    <row r="145" spans="1:39" hidden="1" x14ac:dyDescent="0.25">
      <c r="A145">
        <v>144</v>
      </c>
      <c r="B145" t="s">
        <v>817</v>
      </c>
      <c r="C145" t="s">
        <v>41</v>
      </c>
      <c r="D145">
        <v>500</v>
      </c>
      <c r="E145">
        <v>2.5000000000000001E-2</v>
      </c>
      <c r="F145" t="s">
        <v>654</v>
      </c>
      <c r="G145" t="s">
        <v>42</v>
      </c>
      <c r="H145" t="s">
        <v>64</v>
      </c>
      <c r="I145" t="s">
        <v>44</v>
      </c>
      <c r="J145">
        <v>5</v>
      </c>
      <c r="K145">
        <v>2</v>
      </c>
      <c r="L145" t="s">
        <v>650</v>
      </c>
      <c r="M145" t="s">
        <v>710</v>
      </c>
      <c r="N145" t="s">
        <v>651</v>
      </c>
      <c r="O145" t="s">
        <v>711</v>
      </c>
      <c r="P145" t="s">
        <v>122</v>
      </c>
      <c r="Q145" t="s">
        <v>123</v>
      </c>
      <c r="R145" t="s">
        <v>124</v>
      </c>
      <c r="S145" t="s">
        <v>125</v>
      </c>
      <c r="T145" t="s">
        <v>51</v>
      </c>
      <c r="U145" t="s">
        <v>126</v>
      </c>
      <c r="V145" t="s">
        <v>53</v>
      </c>
      <c r="W145" t="b">
        <v>1</v>
      </c>
      <c r="X145" t="b">
        <v>1</v>
      </c>
      <c r="Y145">
        <v>1</v>
      </c>
      <c r="Z145">
        <v>1</v>
      </c>
      <c r="AA145" t="s">
        <v>56</v>
      </c>
      <c r="AB145" t="s">
        <v>57</v>
      </c>
      <c r="AC145">
        <v>0.75</v>
      </c>
      <c r="AD145" t="b">
        <v>1</v>
      </c>
      <c r="AE145" t="s">
        <v>23</v>
      </c>
      <c r="AF145">
        <v>50000</v>
      </c>
      <c r="AG145">
        <v>200</v>
      </c>
      <c r="AH145" t="s">
        <v>121</v>
      </c>
      <c r="AI145" t="b">
        <v>0</v>
      </c>
      <c r="AJ145" t="b">
        <v>0</v>
      </c>
      <c r="AK145" t="b">
        <v>1</v>
      </c>
      <c r="AL145" t="b">
        <v>0</v>
      </c>
    </row>
    <row r="146" spans="1:39" hidden="1" x14ac:dyDescent="0.25">
      <c r="A146">
        <v>145</v>
      </c>
      <c r="B146" t="s">
        <v>818</v>
      </c>
      <c r="C146" t="s">
        <v>41</v>
      </c>
      <c r="D146">
        <v>500</v>
      </c>
      <c r="E146">
        <v>2.5000000000000001E-2</v>
      </c>
      <c r="F146" t="s">
        <v>654</v>
      </c>
      <c r="G146" t="s">
        <v>42</v>
      </c>
      <c r="H146" t="s">
        <v>64</v>
      </c>
      <c r="I146" t="s">
        <v>44</v>
      </c>
      <c r="J146">
        <v>5</v>
      </c>
      <c r="K146">
        <v>2</v>
      </c>
      <c r="L146" t="s">
        <v>650</v>
      </c>
      <c r="M146" t="s">
        <v>724</v>
      </c>
      <c r="N146" t="s">
        <v>651</v>
      </c>
      <c r="O146" t="s">
        <v>727</v>
      </c>
      <c r="P146" t="s">
        <v>122</v>
      </c>
      <c r="Q146" t="s">
        <v>123</v>
      </c>
      <c r="R146" t="s">
        <v>124</v>
      </c>
      <c r="S146" t="s">
        <v>125</v>
      </c>
      <c r="T146" t="s">
        <v>51</v>
      </c>
      <c r="U146" t="s">
        <v>126</v>
      </c>
      <c r="V146" t="s">
        <v>53</v>
      </c>
      <c r="W146" t="b">
        <v>1</v>
      </c>
      <c r="X146" t="b">
        <v>1</v>
      </c>
      <c r="Y146">
        <v>1</v>
      </c>
      <c r="Z146">
        <v>1</v>
      </c>
      <c r="AA146" t="s">
        <v>56</v>
      </c>
      <c r="AB146" t="s">
        <v>60</v>
      </c>
      <c r="AC146">
        <v>1</v>
      </c>
      <c r="AD146" t="b">
        <v>1</v>
      </c>
      <c r="AE146" t="s">
        <v>23</v>
      </c>
      <c r="AF146">
        <v>50000</v>
      </c>
      <c r="AG146">
        <v>200</v>
      </c>
      <c r="AH146" t="s">
        <v>121</v>
      </c>
      <c r="AI146" t="b">
        <v>0</v>
      </c>
      <c r="AJ146" t="b">
        <v>0</v>
      </c>
      <c r="AK146" t="b">
        <v>1</v>
      </c>
      <c r="AL146" t="b">
        <v>0</v>
      </c>
    </row>
    <row r="147" spans="1:39" hidden="1" x14ac:dyDescent="0.25">
      <c r="A147">
        <v>146</v>
      </c>
      <c r="B147" t="s">
        <v>819</v>
      </c>
      <c r="C147" t="s">
        <v>41</v>
      </c>
      <c r="D147">
        <v>500</v>
      </c>
      <c r="E147">
        <v>2.5000000000000001E-2</v>
      </c>
      <c r="F147" t="s">
        <v>654</v>
      </c>
      <c r="G147" t="s">
        <v>42</v>
      </c>
      <c r="H147" t="s">
        <v>64</v>
      </c>
      <c r="I147" t="s">
        <v>44</v>
      </c>
      <c r="J147">
        <v>5</v>
      </c>
      <c r="K147">
        <v>2</v>
      </c>
      <c r="L147" t="s">
        <v>650</v>
      </c>
      <c r="M147" t="s">
        <v>725</v>
      </c>
      <c r="N147" t="s">
        <v>651</v>
      </c>
      <c r="O147" t="s">
        <v>728</v>
      </c>
      <c r="P147" t="s">
        <v>122</v>
      </c>
      <c r="Q147" t="s">
        <v>123</v>
      </c>
      <c r="R147" t="s">
        <v>124</v>
      </c>
      <c r="S147" t="s">
        <v>125</v>
      </c>
      <c r="T147" t="s">
        <v>51</v>
      </c>
      <c r="U147" t="s">
        <v>126</v>
      </c>
      <c r="V147" t="s">
        <v>53</v>
      </c>
      <c r="W147" t="b">
        <v>1</v>
      </c>
      <c r="X147" t="b">
        <v>1</v>
      </c>
      <c r="Y147">
        <v>1</v>
      </c>
      <c r="Z147">
        <v>1</v>
      </c>
      <c r="AA147" t="s">
        <v>56</v>
      </c>
      <c r="AB147" t="s">
        <v>57</v>
      </c>
      <c r="AC147">
        <v>0.5</v>
      </c>
      <c r="AD147" t="b">
        <v>1</v>
      </c>
      <c r="AE147" t="s">
        <v>23</v>
      </c>
      <c r="AF147">
        <v>50000</v>
      </c>
      <c r="AG147">
        <v>200</v>
      </c>
      <c r="AH147" t="s">
        <v>121</v>
      </c>
      <c r="AI147" t="b">
        <v>0</v>
      </c>
      <c r="AJ147" t="b">
        <v>0</v>
      </c>
      <c r="AK147" t="b">
        <v>1</v>
      </c>
      <c r="AL147" t="b">
        <v>0</v>
      </c>
    </row>
    <row r="148" spans="1:39" hidden="1" x14ac:dyDescent="0.25">
      <c r="A148">
        <v>147</v>
      </c>
      <c r="B148" t="s">
        <v>820</v>
      </c>
      <c r="C148" t="s">
        <v>41</v>
      </c>
      <c r="D148">
        <v>500</v>
      </c>
      <c r="E148">
        <v>2.5000000000000001E-2</v>
      </c>
      <c r="F148" t="s">
        <v>654</v>
      </c>
      <c r="G148" t="s">
        <v>42</v>
      </c>
      <c r="H148" t="s">
        <v>64</v>
      </c>
      <c r="I148" t="s">
        <v>44</v>
      </c>
      <c r="J148">
        <v>5</v>
      </c>
      <c r="K148">
        <v>2</v>
      </c>
      <c r="L148" t="s">
        <v>650</v>
      </c>
      <c r="M148" t="s">
        <v>726</v>
      </c>
      <c r="N148" t="s">
        <v>651</v>
      </c>
      <c r="O148" t="s">
        <v>729</v>
      </c>
      <c r="P148" t="s">
        <v>122</v>
      </c>
      <c r="Q148" t="s">
        <v>123</v>
      </c>
      <c r="R148" t="s">
        <v>124</v>
      </c>
      <c r="S148" t="s">
        <v>125</v>
      </c>
      <c r="T148" t="s">
        <v>51</v>
      </c>
      <c r="U148" t="s">
        <v>126</v>
      </c>
      <c r="V148" t="s">
        <v>53</v>
      </c>
      <c r="W148" t="b">
        <v>1</v>
      </c>
      <c r="X148" t="b">
        <v>1</v>
      </c>
      <c r="Y148">
        <v>1</v>
      </c>
      <c r="Z148">
        <v>1</v>
      </c>
      <c r="AA148" t="s">
        <v>56</v>
      </c>
      <c r="AB148" t="s">
        <v>57</v>
      </c>
      <c r="AC148">
        <v>0.25</v>
      </c>
      <c r="AD148" t="b">
        <v>1</v>
      </c>
      <c r="AE148" t="s">
        <v>23</v>
      </c>
      <c r="AF148">
        <v>50000</v>
      </c>
      <c r="AG148">
        <v>200</v>
      </c>
      <c r="AH148" t="s">
        <v>121</v>
      </c>
      <c r="AI148" t="b">
        <v>0</v>
      </c>
      <c r="AJ148" t="b">
        <v>0</v>
      </c>
      <c r="AK148" t="b">
        <v>1</v>
      </c>
      <c r="AL148" t="b">
        <v>0</v>
      </c>
    </row>
    <row r="149" spans="1:39" hidden="1" x14ac:dyDescent="0.25">
      <c r="A149">
        <v>148</v>
      </c>
      <c r="B149" s="3" t="s">
        <v>957</v>
      </c>
      <c r="C149" t="s">
        <v>41</v>
      </c>
      <c r="D149" s="2">
        <v>2000</v>
      </c>
      <c r="E149">
        <v>2.5000000000000001E-2</v>
      </c>
      <c r="F149" t="s">
        <v>42</v>
      </c>
      <c r="G149" t="s">
        <v>42</v>
      </c>
      <c r="H149" t="s">
        <v>43</v>
      </c>
      <c r="I149" s="2" t="s">
        <v>44</v>
      </c>
      <c r="J149">
        <v>5</v>
      </c>
      <c r="K149">
        <v>2</v>
      </c>
      <c r="L149" s="2" t="s">
        <v>118</v>
      </c>
      <c r="M149" s="2" t="s">
        <v>42</v>
      </c>
      <c r="N149" s="2" t="s">
        <v>42</v>
      </c>
      <c r="O149" s="2" t="s">
        <v>128</v>
      </c>
      <c r="P149" t="s">
        <v>122</v>
      </c>
      <c r="Q149" t="s">
        <v>123</v>
      </c>
      <c r="R149" t="s">
        <v>124</v>
      </c>
      <c r="S149" t="s">
        <v>125</v>
      </c>
      <c r="T149" t="s">
        <v>51</v>
      </c>
      <c r="U149" t="s">
        <v>126</v>
      </c>
      <c r="V149" t="s">
        <v>53</v>
      </c>
      <c r="W149" t="b">
        <v>1</v>
      </c>
      <c r="X149" t="b">
        <v>1</v>
      </c>
      <c r="Y149">
        <v>1</v>
      </c>
      <c r="Z149">
        <v>1</v>
      </c>
      <c r="AA149" t="s">
        <v>56</v>
      </c>
      <c r="AB149" t="s">
        <v>60</v>
      </c>
      <c r="AC149">
        <v>1</v>
      </c>
      <c r="AD149" t="b">
        <v>0</v>
      </c>
      <c r="AE149" t="s">
        <v>23</v>
      </c>
      <c r="AF149">
        <v>20000</v>
      </c>
      <c r="AG149">
        <v>500</v>
      </c>
      <c r="AH149" t="s">
        <v>121</v>
      </c>
      <c r="AI149" t="b">
        <v>0</v>
      </c>
      <c r="AJ149" t="b">
        <v>0</v>
      </c>
      <c r="AK149" t="b">
        <v>1</v>
      </c>
      <c r="AL149" t="b">
        <v>0</v>
      </c>
      <c r="AM149">
        <v>47</v>
      </c>
    </row>
    <row r="150" spans="1:39" hidden="1" x14ac:dyDescent="0.25">
      <c r="A150">
        <v>149</v>
      </c>
      <c r="B150" t="s">
        <v>961</v>
      </c>
      <c r="C150" t="s">
        <v>41</v>
      </c>
      <c r="D150" s="2">
        <v>2000</v>
      </c>
      <c r="E150">
        <v>2.5000000000000001E-2</v>
      </c>
      <c r="F150" t="s">
        <v>42</v>
      </c>
      <c r="G150" t="s">
        <v>42</v>
      </c>
      <c r="H150" t="s">
        <v>43</v>
      </c>
      <c r="I150" s="2" t="s">
        <v>44</v>
      </c>
      <c r="J150">
        <v>5</v>
      </c>
      <c r="K150">
        <v>2</v>
      </c>
      <c r="L150" s="2" t="s">
        <v>118</v>
      </c>
      <c r="M150" s="2" t="s">
        <v>42</v>
      </c>
      <c r="N150" s="2" t="s">
        <v>42</v>
      </c>
      <c r="O150" s="2" t="s">
        <v>129</v>
      </c>
      <c r="P150" t="s">
        <v>122</v>
      </c>
      <c r="Q150" t="s">
        <v>123</v>
      </c>
      <c r="R150" t="s">
        <v>124</v>
      </c>
      <c r="S150" t="s">
        <v>125</v>
      </c>
      <c r="T150" t="s">
        <v>51</v>
      </c>
      <c r="U150" t="s">
        <v>126</v>
      </c>
      <c r="V150" t="s">
        <v>53</v>
      </c>
      <c r="W150" t="b">
        <v>1</v>
      </c>
      <c r="X150" t="b">
        <v>1</v>
      </c>
      <c r="Y150">
        <v>1</v>
      </c>
      <c r="Z150">
        <v>1</v>
      </c>
      <c r="AA150" t="s">
        <v>56</v>
      </c>
      <c r="AB150" t="s">
        <v>60</v>
      </c>
      <c r="AC150">
        <v>1</v>
      </c>
      <c r="AD150" t="b">
        <v>0</v>
      </c>
      <c r="AE150" t="s">
        <v>23</v>
      </c>
      <c r="AF150">
        <v>20000</v>
      </c>
      <c r="AG150">
        <v>500</v>
      </c>
      <c r="AH150" t="s">
        <v>121</v>
      </c>
      <c r="AI150" t="b">
        <v>0</v>
      </c>
      <c r="AJ150" t="b">
        <v>0</v>
      </c>
      <c r="AK150" t="b">
        <v>1</v>
      </c>
      <c r="AL150" t="b">
        <v>0</v>
      </c>
      <c r="AM150">
        <v>57</v>
      </c>
    </row>
    <row r="151" spans="1:39" hidden="1" x14ac:dyDescent="0.25">
      <c r="A151">
        <v>150</v>
      </c>
      <c r="B151" t="s">
        <v>963</v>
      </c>
      <c r="C151" t="s">
        <v>41</v>
      </c>
      <c r="D151" s="2">
        <v>2000</v>
      </c>
      <c r="E151">
        <v>2.5000000000000001E-2</v>
      </c>
      <c r="F151" t="s">
        <v>42</v>
      </c>
      <c r="G151" t="s">
        <v>42</v>
      </c>
      <c r="H151" t="s">
        <v>43</v>
      </c>
      <c r="I151" s="2" t="s">
        <v>44</v>
      </c>
      <c r="J151">
        <v>5</v>
      </c>
      <c r="K151">
        <v>2</v>
      </c>
      <c r="L151" s="2" t="s">
        <v>118</v>
      </c>
      <c r="M151" s="2" t="s">
        <v>42</v>
      </c>
      <c r="N151" s="2" t="s">
        <v>42</v>
      </c>
      <c r="O151" s="2" t="s">
        <v>130</v>
      </c>
      <c r="P151" t="s">
        <v>122</v>
      </c>
      <c r="Q151" t="s">
        <v>123</v>
      </c>
      <c r="R151" t="s">
        <v>124</v>
      </c>
      <c r="S151" t="s">
        <v>125</v>
      </c>
      <c r="T151" t="s">
        <v>51</v>
      </c>
      <c r="U151" t="s">
        <v>126</v>
      </c>
      <c r="V151" t="s">
        <v>53</v>
      </c>
      <c r="W151" t="b">
        <v>1</v>
      </c>
      <c r="X151" t="b">
        <v>1</v>
      </c>
      <c r="Y151">
        <v>1</v>
      </c>
      <c r="Z151">
        <v>1</v>
      </c>
      <c r="AA151" t="s">
        <v>56</v>
      </c>
      <c r="AB151" t="s">
        <v>60</v>
      </c>
      <c r="AC151">
        <v>1</v>
      </c>
      <c r="AD151" t="b">
        <v>0</v>
      </c>
      <c r="AE151" t="s">
        <v>23</v>
      </c>
      <c r="AF151">
        <v>20000</v>
      </c>
      <c r="AG151">
        <v>500</v>
      </c>
      <c r="AH151" t="s">
        <v>121</v>
      </c>
      <c r="AI151" t="b">
        <v>0</v>
      </c>
      <c r="AJ151" t="b">
        <v>0</v>
      </c>
      <c r="AK151" t="b">
        <v>1</v>
      </c>
      <c r="AL151" t="b">
        <v>0</v>
      </c>
      <c r="AM151">
        <v>67</v>
      </c>
    </row>
    <row r="152" spans="1:39" hidden="1" x14ac:dyDescent="0.25">
      <c r="A152">
        <v>151</v>
      </c>
      <c r="B152" t="s">
        <v>958</v>
      </c>
      <c r="C152" t="s">
        <v>41</v>
      </c>
      <c r="D152">
        <v>800</v>
      </c>
      <c r="E152">
        <v>2.5000000000000001E-2</v>
      </c>
      <c r="F152" t="s">
        <v>42</v>
      </c>
      <c r="G152" t="s">
        <v>42</v>
      </c>
      <c r="H152" t="s">
        <v>43</v>
      </c>
      <c r="I152" t="s">
        <v>44</v>
      </c>
      <c r="J152">
        <v>5</v>
      </c>
      <c r="K152">
        <v>2</v>
      </c>
      <c r="L152" t="s">
        <v>118</v>
      </c>
      <c r="M152" t="s">
        <v>42</v>
      </c>
      <c r="N152" t="s">
        <v>42</v>
      </c>
      <c r="O152" t="s">
        <v>128</v>
      </c>
      <c r="P152" t="s">
        <v>122</v>
      </c>
      <c r="Q152" t="s">
        <v>123</v>
      </c>
      <c r="R152" t="s">
        <v>124</v>
      </c>
      <c r="S152" t="s">
        <v>125</v>
      </c>
      <c r="T152" t="s">
        <v>51</v>
      </c>
      <c r="U152" t="s">
        <v>126</v>
      </c>
      <c r="V152" t="s">
        <v>53</v>
      </c>
      <c r="W152" t="b">
        <v>1</v>
      </c>
      <c r="X152" t="b">
        <v>1</v>
      </c>
      <c r="Y152">
        <v>1</v>
      </c>
      <c r="Z152">
        <v>1</v>
      </c>
      <c r="AA152" t="s">
        <v>56</v>
      </c>
      <c r="AB152" t="s">
        <v>60</v>
      </c>
      <c r="AC152">
        <v>1</v>
      </c>
      <c r="AD152" t="b">
        <v>0</v>
      </c>
      <c r="AE152" t="s">
        <v>23</v>
      </c>
      <c r="AF152">
        <v>20000</v>
      </c>
      <c r="AG152">
        <v>500</v>
      </c>
      <c r="AH152" t="s">
        <v>121</v>
      </c>
      <c r="AI152" t="b">
        <v>0</v>
      </c>
      <c r="AJ152" t="b">
        <v>0</v>
      </c>
      <c r="AK152" t="b">
        <v>1</v>
      </c>
      <c r="AL152" t="b">
        <v>1</v>
      </c>
      <c r="AM152">
        <v>87</v>
      </c>
    </row>
    <row r="153" spans="1:39" hidden="1" x14ac:dyDescent="0.25">
      <c r="A153">
        <v>152</v>
      </c>
      <c r="B153" t="s">
        <v>962</v>
      </c>
      <c r="C153" t="s">
        <v>41</v>
      </c>
      <c r="D153">
        <v>800</v>
      </c>
      <c r="E153">
        <v>2.5000000000000001E-2</v>
      </c>
      <c r="F153" t="s">
        <v>42</v>
      </c>
      <c r="G153" t="s">
        <v>42</v>
      </c>
      <c r="H153" t="s">
        <v>43</v>
      </c>
      <c r="I153" t="s">
        <v>44</v>
      </c>
      <c r="J153">
        <v>5</v>
      </c>
      <c r="K153">
        <v>2</v>
      </c>
      <c r="L153" t="s">
        <v>118</v>
      </c>
      <c r="M153" t="s">
        <v>42</v>
      </c>
      <c r="N153" t="s">
        <v>42</v>
      </c>
      <c r="O153" t="s">
        <v>129</v>
      </c>
      <c r="P153" t="s">
        <v>122</v>
      </c>
      <c r="Q153" t="s">
        <v>123</v>
      </c>
      <c r="R153" t="s">
        <v>124</v>
      </c>
      <c r="S153" t="s">
        <v>125</v>
      </c>
      <c r="T153" t="s">
        <v>51</v>
      </c>
      <c r="U153" t="s">
        <v>126</v>
      </c>
      <c r="V153" t="s">
        <v>53</v>
      </c>
      <c r="W153" t="b">
        <v>1</v>
      </c>
      <c r="X153" t="b">
        <v>1</v>
      </c>
      <c r="Y153">
        <v>1</v>
      </c>
      <c r="Z153">
        <v>1</v>
      </c>
      <c r="AA153" t="s">
        <v>56</v>
      </c>
      <c r="AB153" t="s">
        <v>60</v>
      </c>
      <c r="AC153">
        <v>1</v>
      </c>
      <c r="AD153" t="b">
        <v>0</v>
      </c>
      <c r="AE153" t="s">
        <v>23</v>
      </c>
      <c r="AF153">
        <v>20000</v>
      </c>
      <c r="AG153">
        <v>500</v>
      </c>
      <c r="AH153" t="s">
        <v>121</v>
      </c>
      <c r="AI153" t="b">
        <v>0</v>
      </c>
      <c r="AJ153" t="b">
        <v>0</v>
      </c>
      <c r="AK153" t="b">
        <v>1</v>
      </c>
      <c r="AL153" t="b">
        <v>1</v>
      </c>
      <c r="AM153">
        <v>97</v>
      </c>
    </row>
    <row r="154" spans="1:39" hidden="1" x14ac:dyDescent="0.25">
      <c r="A154">
        <v>153</v>
      </c>
      <c r="B154" t="s">
        <v>964</v>
      </c>
      <c r="C154" t="s">
        <v>41</v>
      </c>
      <c r="D154">
        <v>800</v>
      </c>
      <c r="E154">
        <v>2.5000000000000001E-2</v>
      </c>
      <c r="F154" t="s">
        <v>42</v>
      </c>
      <c r="G154" t="s">
        <v>42</v>
      </c>
      <c r="H154" t="s">
        <v>43</v>
      </c>
      <c r="I154" t="s">
        <v>44</v>
      </c>
      <c r="J154">
        <v>5</v>
      </c>
      <c r="K154">
        <v>2</v>
      </c>
      <c r="L154" t="s">
        <v>118</v>
      </c>
      <c r="M154" t="s">
        <v>42</v>
      </c>
      <c r="N154" t="s">
        <v>42</v>
      </c>
      <c r="O154" t="s">
        <v>130</v>
      </c>
      <c r="P154" t="s">
        <v>122</v>
      </c>
      <c r="Q154" t="s">
        <v>123</v>
      </c>
      <c r="R154" t="s">
        <v>124</v>
      </c>
      <c r="S154" t="s">
        <v>125</v>
      </c>
      <c r="T154" t="s">
        <v>51</v>
      </c>
      <c r="U154" t="s">
        <v>126</v>
      </c>
      <c r="V154" t="s">
        <v>53</v>
      </c>
      <c r="W154" t="b">
        <v>1</v>
      </c>
      <c r="X154" t="b">
        <v>1</v>
      </c>
      <c r="Y154">
        <v>1</v>
      </c>
      <c r="Z154">
        <v>1</v>
      </c>
      <c r="AA154" t="s">
        <v>56</v>
      </c>
      <c r="AB154" t="s">
        <v>60</v>
      </c>
      <c r="AC154">
        <v>1</v>
      </c>
      <c r="AD154" t="b">
        <v>0</v>
      </c>
      <c r="AE154" t="s">
        <v>23</v>
      </c>
      <c r="AF154">
        <v>20000</v>
      </c>
      <c r="AG154">
        <v>500</v>
      </c>
      <c r="AH154" t="s">
        <v>121</v>
      </c>
      <c r="AI154" t="b">
        <v>0</v>
      </c>
      <c r="AJ154" t="b">
        <v>0</v>
      </c>
      <c r="AK154" t="b">
        <v>1</v>
      </c>
      <c r="AL154" t="b">
        <v>1</v>
      </c>
      <c r="AM154">
        <v>107</v>
      </c>
    </row>
    <row r="155" spans="1:39" hidden="1" x14ac:dyDescent="0.25">
      <c r="A155">
        <v>154</v>
      </c>
      <c r="B155" t="s">
        <v>965</v>
      </c>
      <c r="C155" t="s">
        <v>41</v>
      </c>
      <c r="D155">
        <v>500</v>
      </c>
      <c r="E155">
        <v>2.5000000000000001E-2</v>
      </c>
      <c r="F155" t="s">
        <v>654</v>
      </c>
      <c r="G155" t="s">
        <v>42</v>
      </c>
      <c r="H155" t="s">
        <v>64</v>
      </c>
      <c r="I155" t="s">
        <v>44</v>
      </c>
      <c r="J155">
        <v>5</v>
      </c>
      <c r="K155">
        <v>2</v>
      </c>
      <c r="L155" t="s">
        <v>650</v>
      </c>
      <c r="M155" t="s">
        <v>725</v>
      </c>
      <c r="N155" t="s">
        <v>651</v>
      </c>
      <c r="O155" t="s">
        <v>728</v>
      </c>
      <c r="P155" t="s">
        <v>122</v>
      </c>
      <c r="Q155" t="s">
        <v>123</v>
      </c>
      <c r="R155" t="s">
        <v>124</v>
      </c>
      <c r="S155" t="s">
        <v>125</v>
      </c>
      <c r="T155" t="s">
        <v>51</v>
      </c>
      <c r="U155" t="s">
        <v>126</v>
      </c>
      <c r="V155" t="s">
        <v>53</v>
      </c>
      <c r="W155" t="b">
        <v>1</v>
      </c>
      <c r="X155" t="b">
        <v>1</v>
      </c>
      <c r="Y155">
        <v>1</v>
      </c>
      <c r="Z155">
        <v>1</v>
      </c>
      <c r="AA155" t="s">
        <v>56</v>
      </c>
      <c r="AB155" t="s">
        <v>60</v>
      </c>
      <c r="AC155">
        <v>1</v>
      </c>
      <c r="AD155" t="b">
        <v>0</v>
      </c>
      <c r="AE155" t="s">
        <v>23</v>
      </c>
      <c r="AF155">
        <v>20000</v>
      </c>
      <c r="AG155">
        <v>500</v>
      </c>
      <c r="AH155" t="s">
        <v>121</v>
      </c>
      <c r="AI155" t="b">
        <v>0</v>
      </c>
      <c r="AJ155" t="b">
        <v>0</v>
      </c>
      <c r="AK155" t="b">
        <v>1</v>
      </c>
      <c r="AL155" t="b">
        <v>0</v>
      </c>
      <c r="AM155">
        <v>135</v>
      </c>
    </row>
    <row r="156" spans="1:39" hidden="1" x14ac:dyDescent="0.25">
      <c r="A156">
        <v>155</v>
      </c>
      <c r="B156" t="s">
        <v>967</v>
      </c>
      <c r="C156" t="s">
        <v>41</v>
      </c>
      <c r="D156">
        <v>500</v>
      </c>
      <c r="E156">
        <v>2.5000000000000001E-2</v>
      </c>
      <c r="F156" t="s">
        <v>654</v>
      </c>
      <c r="G156" t="s">
        <v>42</v>
      </c>
      <c r="H156" t="s">
        <v>64</v>
      </c>
      <c r="I156" t="s">
        <v>44</v>
      </c>
      <c r="J156">
        <v>5</v>
      </c>
      <c r="K156">
        <v>2</v>
      </c>
      <c r="L156" t="s">
        <v>650</v>
      </c>
      <c r="M156" t="s">
        <v>726</v>
      </c>
      <c r="N156" t="s">
        <v>651</v>
      </c>
      <c r="O156" t="s">
        <v>729</v>
      </c>
      <c r="P156" t="s">
        <v>122</v>
      </c>
      <c r="Q156" t="s">
        <v>123</v>
      </c>
      <c r="R156" t="s">
        <v>124</v>
      </c>
      <c r="S156" t="s">
        <v>125</v>
      </c>
      <c r="T156" t="s">
        <v>51</v>
      </c>
      <c r="U156" t="s">
        <v>126</v>
      </c>
      <c r="V156" t="s">
        <v>53</v>
      </c>
      <c r="W156" t="b">
        <v>1</v>
      </c>
      <c r="X156" t="b">
        <v>1</v>
      </c>
      <c r="Y156">
        <v>1</v>
      </c>
      <c r="Z156">
        <v>1</v>
      </c>
      <c r="AA156" t="s">
        <v>56</v>
      </c>
      <c r="AB156" t="s">
        <v>60</v>
      </c>
      <c r="AC156">
        <v>1</v>
      </c>
      <c r="AD156" t="b">
        <v>0</v>
      </c>
      <c r="AE156" t="s">
        <v>23</v>
      </c>
      <c r="AF156">
        <v>20000</v>
      </c>
      <c r="AG156">
        <v>500</v>
      </c>
      <c r="AH156" t="s">
        <v>121</v>
      </c>
      <c r="AI156" t="b">
        <v>0</v>
      </c>
      <c r="AJ156" t="b">
        <v>0</v>
      </c>
      <c r="AK156" t="b">
        <v>1</v>
      </c>
      <c r="AL156" t="b">
        <v>0</v>
      </c>
      <c r="AM156">
        <v>139</v>
      </c>
    </row>
    <row r="157" spans="1:39" hidden="1" x14ac:dyDescent="0.25">
      <c r="A157">
        <v>156</v>
      </c>
      <c r="B157" s="20" t="s">
        <v>969</v>
      </c>
      <c r="C157" t="s">
        <v>41</v>
      </c>
      <c r="D157">
        <v>500</v>
      </c>
      <c r="E157">
        <v>2.5000000000000001E-2</v>
      </c>
      <c r="F157" t="s">
        <v>654</v>
      </c>
      <c r="G157" t="s">
        <v>42</v>
      </c>
      <c r="H157" t="s">
        <v>64</v>
      </c>
      <c r="I157" t="s">
        <v>44</v>
      </c>
      <c r="J157">
        <v>5</v>
      </c>
      <c r="K157">
        <v>2</v>
      </c>
      <c r="L157" t="s">
        <v>650</v>
      </c>
      <c r="M157" t="s">
        <v>652</v>
      </c>
      <c r="N157" t="s">
        <v>651</v>
      </c>
      <c r="O157" t="s">
        <v>653</v>
      </c>
      <c r="P157" t="s">
        <v>122</v>
      </c>
      <c r="Q157" t="s">
        <v>123</v>
      </c>
      <c r="R157" t="s">
        <v>124</v>
      </c>
      <c r="S157" t="s">
        <v>125</v>
      </c>
      <c r="T157" t="s">
        <v>51</v>
      </c>
      <c r="U157" t="s">
        <v>126</v>
      </c>
      <c r="V157" t="s">
        <v>53</v>
      </c>
      <c r="W157" t="b">
        <v>1</v>
      </c>
      <c r="X157" t="b">
        <v>1</v>
      </c>
      <c r="Y157">
        <v>1</v>
      </c>
      <c r="Z157">
        <v>1</v>
      </c>
      <c r="AA157" t="s">
        <v>56</v>
      </c>
      <c r="AB157" t="s">
        <v>57</v>
      </c>
      <c r="AC157">
        <v>0.75</v>
      </c>
      <c r="AD157" t="b">
        <v>0</v>
      </c>
      <c r="AE157" t="s">
        <v>23</v>
      </c>
      <c r="AF157">
        <v>50000</v>
      </c>
      <c r="AG157">
        <v>200</v>
      </c>
      <c r="AH157" t="s">
        <v>121</v>
      </c>
      <c r="AI157" t="b">
        <v>0</v>
      </c>
      <c r="AJ157" t="b">
        <v>0</v>
      </c>
      <c r="AK157" t="b">
        <v>1</v>
      </c>
      <c r="AL157" t="b">
        <v>0</v>
      </c>
      <c r="AM157">
        <v>140</v>
      </c>
    </row>
    <row r="158" spans="1:39" hidden="1" x14ac:dyDescent="0.25">
      <c r="A158">
        <v>157</v>
      </c>
      <c r="B158" t="s">
        <v>970</v>
      </c>
      <c r="C158" t="s">
        <v>41</v>
      </c>
      <c r="D158">
        <v>500</v>
      </c>
      <c r="E158">
        <v>2.5000000000000001E-2</v>
      </c>
      <c r="F158" t="s">
        <v>654</v>
      </c>
      <c r="G158" t="s">
        <v>42</v>
      </c>
      <c r="H158" t="s">
        <v>64</v>
      </c>
      <c r="I158" t="s">
        <v>44</v>
      </c>
      <c r="J158">
        <v>5</v>
      </c>
      <c r="K158">
        <v>2</v>
      </c>
      <c r="L158" t="s">
        <v>650</v>
      </c>
      <c r="M158" t="s">
        <v>652</v>
      </c>
      <c r="N158" t="s">
        <v>651</v>
      </c>
      <c r="O158" t="s">
        <v>653</v>
      </c>
      <c r="P158" t="s">
        <v>122</v>
      </c>
      <c r="Q158" t="s">
        <v>123</v>
      </c>
      <c r="R158" t="s">
        <v>124</v>
      </c>
      <c r="S158" t="s">
        <v>125</v>
      </c>
      <c r="T158" t="s">
        <v>51</v>
      </c>
      <c r="U158" t="s">
        <v>126</v>
      </c>
      <c r="V158" t="s">
        <v>53</v>
      </c>
      <c r="W158" t="b">
        <v>1</v>
      </c>
      <c r="X158" t="b">
        <v>1</v>
      </c>
      <c r="Y158">
        <v>1</v>
      </c>
      <c r="Z158">
        <v>1</v>
      </c>
      <c r="AA158" t="s">
        <v>56</v>
      </c>
      <c r="AB158" t="s">
        <v>57</v>
      </c>
      <c r="AC158">
        <v>0.5</v>
      </c>
      <c r="AD158" t="b">
        <v>0</v>
      </c>
      <c r="AE158" t="s">
        <v>23</v>
      </c>
      <c r="AF158">
        <v>50000</v>
      </c>
      <c r="AG158">
        <v>200</v>
      </c>
      <c r="AH158" t="s">
        <v>121</v>
      </c>
      <c r="AI158" t="b">
        <v>0</v>
      </c>
      <c r="AJ158" t="b">
        <v>0</v>
      </c>
      <c r="AK158" t="b">
        <v>1</v>
      </c>
      <c r="AL158" t="b">
        <v>0</v>
      </c>
      <c r="AM158">
        <v>141</v>
      </c>
    </row>
    <row r="159" spans="1:39" hidden="1" x14ac:dyDescent="0.25">
      <c r="A159">
        <v>158</v>
      </c>
      <c r="B159" t="s">
        <v>971</v>
      </c>
      <c r="C159" t="s">
        <v>41</v>
      </c>
      <c r="D159">
        <v>500</v>
      </c>
      <c r="E159">
        <v>2.5000000000000001E-2</v>
      </c>
      <c r="F159" t="s">
        <v>654</v>
      </c>
      <c r="G159" t="s">
        <v>42</v>
      </c>
      <c r="H159" t="s">
        <v>64</v>
      </c>
      <c r="I159" t="s">
        <v>44</v>
      </c>
      <c r="J159">
        <v>5</v>
      </c>
      <c r="K159">
        <v>2</v>
      </c>
      <c r="L159" t="s">
        <v>650</v>
      </c>
      <c r="M159" t="s">
        <v>652</v>
      </c>
      <c r="N159" t="s">
        <v>651</v>
      </c>
      <c r="O159" t="s">
        <v>653</v>
      </c>
      <c r="P159" t="s">
        <v>122</v>
      </c>
      <c r="Q159" t="s">
        <v>123</v>
      </c>
      <c r="R159" t="s">
        <v>124</v>
      </c>
      <c r="S159" t="s">
        <v>125</v>
      </c>
      <c r="T159" t="s">
        <v>51</v>
      </c>
      <c r="U159" t="s">
        <v>126</v>
      </c>
      <c r="V159" t="s">
        <v>53</v>
      </c>
      <c r="W159" t="b">
        <v>1</v>
      </c>
      <c r="X159" t="b">
        <v>1</v>
      </c>
      <c r="Y159">
        <v>1</v>
      </c>
      <c r="Z159">
        <v>1</v>
      </c>
      <c r="AA159" t="s">
        <v>56</v>
      </c>
      <c r="AB159" t="s">
        <v>57</v>
      </c>
      <c r="AC159">
        <v>0.25</v>
      </c>
      <c r="AD159" t="b">
        <v>0</v>
      </c>
      <c r="AE159" t="s">
        <v>23</v>
      </c>
      <c r="AF159">
        <v>50000</v>
      </c>
      <c r="AG159">
        <v>200</v>
      </c>
      <c r="AH159" t="s">
        <v>121</v>
      </c>
      <c r="AI159" t="b">
        <v>0</v>
      </c>
      <c r="AJ159" t="b">
        <v>0</v>
      </c>
      <c r="AK159" t="b">
        <v>1</v>
      </c>
      <c r="AL159" t="b">
        <v>0</v>
      </c>
      <c r="AM159">
        <v>142</v>
      </c>
    </row>
    <row r="160" spans="1:39" hidden="1" x14ac:dyDescent="0.25">
      <c r="A160">
        <v>159</v>
      </c>
      <c r="B160" t="s">
        <v>972</v>
      </c>
      <c r="C160" t="s">
        <v>41</v>
      </c>
      <c r="D160">
        <v>500</v>
      </c>
      <c r="E160">
        <v>2.5000000000000001E-2</v>
      </c>
      <c r="F160" t="s">
        <v>654</v>
      </c>
      <c r="G160" t="s">
        <v>42</v>
      </c>
      <c r="H160" t="s">
        <v>64</v>
      </c>
      <c r="I160" t="s">
        <v>44</v>
      </c>
      <c r="J160">
        <v>5</v>
      </c>
      <c r="K160">
        <v>2</v>
      </c>
      <c r="L160" t="s">
        <v>650</v>
      </c>
      <c r="M160" t="s">
        <v>652</v>
      </c>
      <c r="N160" t="s">
        <v>651</v>
      </c>
      <c r="O160" t="s">
        <v>653</v>
      </c>
      <c r="P160" t="s">
        <v>122</v>
      </c>
      <c r="Q160" t="s">
        <v>123</v>
      </c>
      <c r="R160" t="s">
        <v>124</v>
      </c>
      <c r="S160" t="s">
        <v>125</v>
      </c>
      <c r="T160" t="s">
        <v>51</v>
      </c>
      <c r="U160" t="s">
        <v>126</v>
      </c>
      <c r="V160" t="s">
        <v>53</v>
      </c>
      <c r="W160" t="b">
        <v>1</v>
      </c>
      <c r="X160" t="b">
        <v>1</v>
      </c>
      <c r="Y160">
        <v>1</v>
      </c>
      <c r="Z160">
        <v>1</v>
      </c>
      <c r="AA160" t="s">
        <v>56</v>
      </c>
      <c r="AB160" t="s">
        <v>60</v>
      </c>
      <c r="AC160">
        <v>1</v>
      </c>
      <c r="AD160" t="b">
        <v>0</v>
      </c>
      <c r="AE160" t="s">
        <v>23</v>
      </c>
      <c r="AF160">
        <v>50000</v>
      </c>
      <c r="AG160">
        <v>200</v>
      </c>
      <c r="AH160" t="s">
        <v>121</v>
      </c>
      <c r="AI160" t="b">
        <v>0</v>
      </c>
      <c r="AJ160" t="b">
        <v>0</v>
      </c>
      <c r="AK160" t="b">
        <v>1</v>
      </c>
      <c r="AL160" t="b">
        <v>0</v>
      </c>
      <c r="AM160">
        <v>143</v>
      </c>
    </row>
    <row r="161" spans="1:39" hidden="1" x14ac:dyDescent="0.25">
      <c r="A161">
        <v>160</v>
      </c>
      <c r="B161" t="s">
        <v>973</v>
      </c>
      <c r="C161" t="s">
        <v>41</v>
      </c>
      <c r="D161">
        <v>500</v>
      </c>
      <c r="E161">
        <v>2.5000000000000001E-2</v>
      </c>
      <c r="F161" t="s">
        <v>654</v>
      </c>
      <c r="G161" t="s">
        <v>42</v>
      </c>
      <c r="H161" t="s">
        <v>64</v>
      </c>
      <c r="I161" t="s">
        <v>44</v>
      </c>
      <c r="J161">
        <v>5</v>
      </c>
      <c r="K161">
        <v>2</v>
      </c>
      <c r="L161" t="s">
        <v>650</v>
      </c>
      <c r="M161" t="s">
        <v>710</v>
      </c>
      <c r="N161" t="s">
        <v>651</v>
      </c>
      <c r="O161" t="s">
        <v>711</v>
      </c>
      <c r="P161" t="s">
        <v>122</v>
      </c>
      <c r="Q161" t="s">
        <v>123</v>
      </c>
      <c r="R161" t="s">
        <v>124</v>
      </c>
      <c r="S161" t="s">
        <v>125</v>
      </c>
      <c r="T161" t="s">
        <v>51</v>
      </c>
      <c r="U161" t="s">
        <v>126</v>
      </c>
      <c r="V161" t="s">
        <v>53</v>
      </c>
      <c r="W161" t="b">
        <v>1</v>
      </c>
      <c r="X161" t="b">
        <v>1</v>
      </c>
      <c r="Y161">
        <v>1</v>
      </c>
      <c r="Z161">
        <v>1</v>
      </c>
      <c r="AA161" t="s">
        <v>56</v>
      </c>
      <c r="AB161" t="s">
        <v>57</v>
      </c>
      <c r="AC161">
        <v>0.75</v>
      </c>
      <c r="AD161" t="b">
        <v>0</v>
      </c>
      <c r="AE161" t="s">
        <v>23</v>
      </c>
      <c r="AF161">
        <v>50000</v>
      </c>
      <c r="AG161">
        <v>200</v>
      </c>
      <c r="AH161" t="s">
        <v>121</v>
      </c>
      <c r="AI161" t="b">
        <v>0</v>
      </c>
      <c r="AJ161" t="b">
        <v>0</v>
      </c>
      <c r="AK161" t="b">
        <v>1</v>
      </c>
      <c r="AL161" t="b">
        <v>0</v>
      </c>
      <c r="AM161">
        <v>144</v>
      </c>
    </row>
    <row r="162" spans="1:39" hidden="1" x14ac:dyDescent="0.25">
      <c r="A162">
        <v>161</v>
      </c>
      <c r="B162" t="s">
        <v>974</v>
      </c>
      <c r="C162" t="s">
        <v>41</v>
      </c>
      <c r="D162">
        <v>500</v>
      </c>
      <c r="E162">
        <v>2.5000000000000001E-2</v>
      </c>
      <c r="F162" t="s">
        <v>654</v>
      </c>
      <c r="G162" t="s">
        <v>42</v>
      </c>
      <c r="H162" t="s">
        <v>64</v>
      </c>
      <c r="I162" t="s">
        <v>44</v>
      </c>
      <c r="J162">
        <v>5</v>
      </c>
      <c r="K162">
        <v>2</v>
      </c>
      <c r="L162" t="s">
        <v>650</v>
      </c>
      <c r="M162" t="s">
        <v>724</v>
      </c>
      <c r="N162" t="s">
        <v>651</v>
      </c>
      <c r="O162" t="s">
        <v>727</v>
      </c>
      <c r="P162" t="s">
        <v>122</v>
      </c>
      <c r="Q162" t="s">
        <v>123</v>
      </c>
      <c r="R162" t="s">
        <v>124</v>
      </c>
      <c r="S162" t="s">
        <v>125</v>
      </c>
      <c r="T162" t="s">
        <v>51</v>
      </c>
      <c r="U162" t="s">
        <v>126</v>
      </c>
      <c r="V162" t="s">
        <v>53</v>
      </c>
      <c r="W162" t="b">
        <v>1</v>
      </c>
      <c r="X162" t="b">
        <v>1</v>
      </c>
      <c r="Y162">
        <v>1</v>
      </c>
      <c r="Z162">
        <v>1</v>
      </c>
      <c r="AA162" t="s">
        <v>56</v>
      </c>
      <c r="AB162" t="s">
        <v>60</v>
      </c>
      <c r="AC162">
        <v>1</v>
      </c>
      <c r="AD162" t="b">
        <v>0</v>
      </c>
      <c r="AE162" t="s">
        <v>23</v>
      </c>
      <c r="AF162">
        <v>50000</v>
      </c>
      <c r="AG162">
        <v>200</v>
      </c>
      <c r="AH162" t="s">
        <v>121</v>
      </c>
      <c r="AI162" t="b">
        <v>0</v>
      </c>
      <c r="AJ162" t="b">
        <v>0</v>
      </c>
      <c r="AK162" t="b">
        <v>1</v>
      </c>
      <c r="AL162" t="b">
        <v>0</v>
      </c>
      <c r="AM162">
        <v>145</v>
      </c>
    </row>
    <row r="163" spans="1:39" hidden="1" x14ac:dyDescent="0.25">
      <c r="A163">
        <v>162</v>
      </c>
      <c r="B163" t="s">
        <v>966</v>
      </c>
      <c r="C163" t="s">
        <v>41</v>
      </c>
      <c r="D163">
        <v>500</v>
      </c>
      <c r="E163">
        <v>2.5000000000000001E-2</v>
      </c>
      <c r="F163" t="s">
        <v>654</v>
      </c>
      <c r="G163" t="s">
        <v>42</v>
      </c>
      <c r="H163" t="s">
        <v>64</v>
      </c>
      <c r="I163" t="s">
        <v>44</v>
      </c>
      <c r="J163">
        <v>5</v>
      </c>
      <c r="K163">
        <v>2</v>
      </c>
      <c r="L163" t="s">
        <v>650</v>
      </c>
      <c r="M163" t="s">
        <v>725</v>
      </c>
      <c r="N163" t="s">
        <v>651</v>
      </c>
      <c r="O163" t="s">
        <v>728</v>
      </c>
      <c r="P163" t="s">
        <v>122</v>
      </c>
      <c r="Q163" t="s">
        <v>123</v>
      </c>
      <c r="R163" t="s">
        <v>124</v>
      </c>
      <c r="S163" t="s">
        <v>125</v>
      </c>
      <c r="T163" t="s">
        <v>51</v>
      </c>
      <c r="U163" t="s">
        <v>126</v>
      </c>
      <c r="V163" t="s">
        <v>53</v>
      </c>
      <c r="W163" t="b">
        <v>1</v>
      </c>
      <c r="X163" t="b">
        <v>1</v>
      </c>
      <c r="Y163">
        <v>1</v>
      </c>
      <c r="Z163">
        <v>1</v>
      </c>
      <c r="AA163" t="s">
        <v>56</v>
      </c>
      <c r="AB163" t="s">
        <v>57</v>
      </c>
      <c r="AC163">
        <v>0.5</v>
      </c>
      <c r="AD163" t="b">
        <v>0</v>
      </c>
      <c r="AE163" t="s">
        <v>23</v>
      </c>
      <c r="AF163">
        <v>50000</v>
      </c>
      <c r="AG163">
        <v>200</v>
      </c>
      <c r="AH163" t="s">
        <v>121</v>
      </c>
      <c r="AI163" t="b">
        <v>0</v>
      </c>
      <c r="AJ163" t="b">
        <v>0</v>
      </c>
      <c r="AK163" t="b">
        <v>1</v>
      </c>
      <c r="AL163" t="b">
        <v>0</v>
      </c>
      <c r="AM163">
        <v>146</v>
      </c>
    </row>
    <row r="164" spans="1:39" hidden="1" x14ac:dyDescent="0.25">
      <c r="A164">
        <v>163</v>
      </c>
      <c r="B164" t="s">
        <v>968</v>
      </c>
      <c r="C164" t="s">
        <v>41</v>
      </c>
      <c r="D164">
        <v>500</v>
      </c>
      <c r="E164">
        <v>2.5000000000000001E-2</v>
      </c>
      <c r="F164" t="s">
        <v>654</v>
      </c>
      <c r="G164" t="s">
        <v>42</v>
      </c>
      <c r="H164" t="s">
        <v>64</v>
      </c>
      <c r="I164" t="s">
        <v>44</v>
      </c>
      <c r="J164">
        <v>5</v>
      </c>
      <c r="K164">
        <v>2</v>
      </c>
      <c r="L164" t="s">
        <v>650</v>
      </c>
      <c r="M164" t="s">
        <v>726</v>
      </c>
      <c r="N164" t="s">
        <v>651</v>
      </c>
      <c r="O164" t="s">
        <v>729</v>
      </c>
      <c r="P164" t="s">
        <v>122</v>
      </c>
      <c r="Q164" t="s">
        <v>123</v>
      </c>
      <c r="R164" t="s">
        <v>124</v>
      </c>
      <c r="S164" t="s">
        <v>125</v>
      </c>
      <c r="T164" t="s">
        <v>51</v>
      </c>
      <c r="U164" t="s">
        <v>126</v>
      </c>
      <c r="V164" t="s">
        <v>53</v>
      </c>
      <c r="W164" t="b">
        <v>1</v>
      </c>
      <c r="X164" t="b">
        <v>1</v>
      </c>
      <c r="Y164">
        <v>1</v>
      </c>
      <c r="Z164">
        <v>1</v>
      </c>
      <c r="AA164" t="s">
        <v>56</v>
      </c>
      <c r="AB164" t="s">
        <v>57</v>
      </c>
      <c r="AC164">
        <v>0.25</v>
      </c>
      <c r="AD164" t="b">
        <v>0</v>
      </c>
      <c r="AE164" t="s">
        <v>23</v>
      </c>
      <c r="AF164">
        <v>50000</v>
      </c>
      <c r="AG164">
        <v>200</v>
      </c>
      <c r="AH164" t="s">
        <v>121</v>
      </c>
      <c r="AI164" t="b">
        <v>0</v>
      </c>
      <c r="AJ164" t="b">
        <v>0</v>
      </c>
      <c r="AK164" t="b">
        <v>1</v>
      </c>
      <c r="AL164" t="b">
        <v>0</v>
      </c>
      <c r="AM164">
        <v>147</v>
      </c>
    </row>
    <row r="165" spans="1:39" hidden="1" x14ac:dyDescent="0.25">
      <c r="A165">
        <v>164</v>
      </c>
      <c r="B165" s="3" t="s">
        <v>1054</v>
      </c>
      <c r="C165" t="s">
        <v>117</v>
      </c>
      <c r="D165">
        <v>500</v>
      </c>
      <c r="E165">
        <v>2.5000000000000001E-2</v>
      </c>
      <c r="F165" t="s">
        <v>654</v>
      </c>
      <c r="G165" t="s">
        <v>42</v>
      </c>
      <c r="H165" t="s">
        <v>64</v>
      </c>
      <c r="I165" t="s">
        <v>44</v>
      </c>
      <c r="J165">
        <v>5</v>
      </c>
      <c r="K165">
        <v>2</v>
      </c>
      <c r="L165" t="s">
        <v>650</v>
      </c>
      <c r="M165" t="s">
        <v>652</v>
      </c>
      <c r="N165" t="s">
        <v>651</v>
      </c>
      <c r="O165" t="s">
        <v>653</v>
      </c>
      <c r="P165" t="s">
        <v>122</v>
      </c>
      <c r="Q165" t="s">
        <v>663</v>
      </c>
      <c r="R165" t="s">
        <v>124</v>
      </c>
      <c r="S165" t="s">
        <v>125</v>
      </c>
      <c r="T165" t="s">
        <v>51</v>
      </c>
      <c r="U165" t="s">
        <v>126</v>
      </c>
      <c r="V165" t="s">
        <v>53</v>
      </c>
      <c r="W165" t="b">
        <v>1</v>
      </c>
      <c r="X165" t="b">
        <v>1</v>
      </c>
      <c r="Y165">
        <v>1</v>
      </c>
      <c r="Z165">
        <v>1</v>
      </c>
      <c r="AA165" t="s">
        <v>56</v>
      </c>
      <c r="AB165" t="s">
        <v>57</v>
      </c>
      <c r="AC165">
        <v>0.75</v>
      </c>
      <c r="AD165" t="b">
        <v>1</v>
      </c>
      <c r="AE165" t="s">
        <v>23</v>
      </c>
      <c r="AF165">
        <v>20000</v>
      </c>
      <c r="AG165">
        <v>500</v>
      </c>
      <c r="AH165">
        <v>7481</v>
      </c>
      <c r="AI165" t="b">
        <v>0</v>
      </c>
      <c r="AJ165" t="b">
        <v>0</v>
      </c>
      <c r="AK165" t="b">
        <v>1</v>
      </c>
      <c r="AL165" t="b">
        <v>0</v>
      </c>
      <c r="AM165">
        <v>108</v>
      </c>
    </row>
    <row r="166" spans="1:39" hidden="1" x14ac:dyDescent="0.25">
      <c r="A166">
        <v>165</v>
      </c>
      <c r="B166" t="s">
        <v>1055</v>
      </c>
      <c r="C166" t="s">
        <v>117</v>
      </c>
      <c r="D166">
        <v>500</v>
      </c>
      <c r="E166">
        <v>2.5000000000000001E-2</v>
      </c>
      <c r="F166" t="s">
        <v>654</v>
      </c>
      <c r="G166" t="s">
        <v>42</v>
      </c>
      <c r="H166" t="s">
        <v>64</v>
      </c>
      <c r="I166" t="s">
        <v>44</v>
      </c>
      <c r="J166">
        <v>5</v>
      </c>
      <c r="K166">
        <v>2</v>
      </c>
      <c r="L166" t="s">
        <v>650</v>
      </c>
      <c r="M166" t="s">
        <v>652</v>
      </c>
      <c r="N166" t="s">
        <v>651</v>
      </c>
      <c r="O166" t="s">
        <v>653</v>
      </c>
      <c r="P166" t="s">
        <v>122</v>
      </c>
      <c r="Q166" t="s">
        <v>663</v>
      </c>
      <c r="R166" t="s">
        <v>124</v>
      </c>
      <c r="S166" t="s">
        <v>125</v>
      </c>
      <c r="T166" t="s">
        <v>51</v>
      </c>
      <c r="U166" t="s">
        <v>126</v>
      </c>
      <c r="V166" t="s">
        <v>53</v>
      </c>
      <c r="W166" t="b">
        <v>1</v>
      </c>
      <c r="X166" t="b">
        <v>1</v>
      </c>
      <c r="Y166">
        <v>1</v>
      </c>
      <c r="Z166">
        <v>1</v>
      </c>
      <c r="AA166" t="s">
        <v>56</v>
      </c>
      <c r="AB166" t="s">
        <v>57</v>
      </c>
      <c r="AC166">
        <v>0.5</v>
      </c>
      <c r="AD166" t="b">
        <v>1</v>
      </c>
      <c r="AE166" t="s">
        <v>23</v>
      </c>
      <c r="AF166">
        <v>20000</v>
      </c>
      <c r="AG166">
        <v>500</v>
      </c>
      <c r="AH166">
        <v>8212</v>
      </c>
      <c r="AI166" t="b">
        <v>0</v>
      </c>
      <c r="AJ166" t="b">
        <v>0</v>
      </c>
      <c r="AK166" t="b">
        <v>1</v>
      </c>
      <c r="AL166" t="b">
        <v>0</v>
      </c>
      <c r="AM166">
        <v>109</v>
      </c>
    </row>
    <row r="167" spans="1:39" hidden="1" x14ac:dyDescent="0.25">
      <c r="A167">
        <v>166</v>
      </c>
      <c r="B167" t="s">
        <v>1056</v>
      </c>
      <c r="C167" t="s">
        <v>117</v>
      </c>
      <c r="D167">
        <v>500</v>
      </c>
      <c r="E167">
        <v>2.5000000000000001E-2</v>
      </c>
      <c r="F167" t="s">
        <v>654</v>
      </c>
      <c r="G167" t="s">
        <v>42</v>
      </c>
      <c r="H167" t="s">
        <v>64</v>
      </c>
      <c r="I167" t="s">
        <v>44</v>
      </c>
      <c r="J167">
        <v>5</v>
      </c>
      <c r="K167">
        <v>2</v>
      </c>
      <c r="L167" t="s">
        <v>650</v>
      </c>
      <c r="M167" t="s">
        <v>652</v>
      </c>
      <c r="N167" t="s">
        <v>651</v>
      </c>
      <c r="O167" t="s">
        <v>653</v>
      </c>
      <c r="P167" t="s">
        <v>122</v>
      </c>
      <c r="Q167" t="s">
        <v>663</v>
      </c>
      <c r="R167" t="s">
        <v>124</v>
      </c>
      <c r="S167" t="s">
        <v>125</v>
      </c>
      <c r="T167" t="s">
        <v>51</v>
      </c>
      <c r="U167" t="s">
        <v>126</v>
      </c>
      <c r="V167" t="s">
        <v>53</v>
      </c>
      <c r="W167" t="b">
        <v>1</v>
      </c>
      <c r="X167" t="b">
        <v>1</v>
      </c>
      <c r="Y167">
        <v>1</v>
      </c>
      <c r="Z167">
        <v>1</v>
      </c>
      <c r="AA167" t="s">
        <v>56</v>
      </c>
      <c r="AB167" t="s">
        <v>57</v>
      </c>
      <c r="AC167">
        <v>0.25</v>
      </c>
      <c r="AD167" t="b">
        <v>1</v>
      </c>
      <c r="AE167" t="s">
        <v>23</v>
      </c>
      <c r="AF167">
        <v>20000</v>
      </c>
      <c r="AG167">
        <v>500</v>
      </c>
      <c r="AH167">
        <v>5244</v>
      </c>
      <c r="AI167" t="b">
        <v>0</v>
      </c>
      <c r="AJ167" t="b">
        <v>0</v>
      </c>
      <c r="AK167" t="b">
        <v>1</v>
      </c>
      <c r="AL167" t="b">
        <v>0</v>
      </c>
      <c r="AM167">
        <v>110</v>
      </c>
    </row>
    <row r="168" spans="1:39" hidden="1" x14ac:dyDescent="0.25">
      <c r="A168">
        <v>167</v>
      </c>
      <c r="B168" t="s">
        <v>1057</v>
      </c>
      <c r="C168" t="s">
        <v>117</v>
      </c>
      <c r="D168">
        <v>500</v>
      </c>
      <c r="E168">
        <v>2.5000000000000001E-2</v>
      </c>
      <c r="F168" t="s">
        <v>654</v>
      </c>
      <c r="G168" t="s">
        <v>42</v>
      </c>
      <c r="H168" t="s">
        <v>64</v>
      </c>
      <c r="I168" t="s">
        <v>44</v>
      </c>
      <c r="J168">
        <v>5</v>
      </c>
      <c r="K168">
        <v>2</v>
      </c>
      <c r="L168" t="s">
        <v>650</v>
      </c>
      <c r="M168" t="s">
        <v>652</v>
      </c>
      <c r="N168" t="s">
        <v>651</v>
      </c>
      <c r="O168" t="s">
        <v>653</v>
      </c>
      <c r="P168" t="s">
        <v>122</v>
      </c>
      <c r="Q168" t="s">
        <v>663</v>
      </c>
      <c r="R168" t="s">
        <v>124</v>
      </c>
      <c r="S168" t="s">
        <v>125</v>
      </c>
      <c r="T168" t="s">
        <v>51</v>
      </c>
      <c r="U168" t="s">
        <v>126</v>
      </c>
      <c r="V168" t="s">
        <v>53</v>
      </c>
      <c r="W168" t="b">
        <v>1</v>
      </c>
      <c r="X168" t="b">
        <v>1</v>
      </c>
      <c r="Y168">
        <v>1</v>
      </c>
      <c r="Z168">
        <v>1</v>
      </c>
      <c r="AA168" t="s">
        <v>56</v>
      </c>
      <c r="AB168" t="s">
        <v>60</v>
      </c>
      <c r="AC168">
        <v>1</v>
      </c>
      <c r="AD168" t="b">
        <v>1</v>
      </c>
      <c r="AE168" t="s">
        <v>23</v>
      </c>
      <c r="AF168">
        <v>20000</v>
      </c>
      <c r="AG168">
        <v>500</v>
      </c>
      <c r="AH168">
        <v>2167</v>
      </c>
      <c r="AI168" t="b">
        <v>0</v>
      </c>
      <c r="AJ168" t="b">
        <v>0</v>
      </c>
      <c r="AK168" t="b">
        <v>1</v>
      </c>
      <c r="AL168" t="b">
        <v>0</v>
      </c>
      <c r="AM168">
        <v>111</v>
      </c>
    </row>
    <row r="169" spans="1:39" hidden="1" x14ac:dyDescent="0.25">
      <c r="A169">
        <v>168</v>
      </c>
      <c r="B169" t="s">
        <v>1058</v>
      </c>
      <c r="C169" t="s">
        <v>117</v>
      </c>
      <c r="D169">
        <v>500</v>
      </c>
      <c r="E169">
        <v>2.5000000000000001E-2</v>
      </c>
      <c r="F169" t="s">
        <v>654</v>
      </c>
      <c r="G169" t="s">
        <v>42</v>
      </c>
      <c r="H169" t="s">
        <v>64</v>
      </c>
      <c r="I169" t="s">
        <v>44</v>
      </c>
      <c r="J169">
        <v>5</v>
      </c>
      <c r="K169">
        <v>2</v>
      </c>
      <c r="L169" t="s">
        <v>650</v>
      </c>
      <c r="M169" t="s">
        <v>652</v>
      </c>
      <c r="N169" t="s">
        <v>651</v>
      </c>
      <c r="O169" t="s">
        <v>653</v>
      </c>
      <c r="P169" t="s">
        <v>122</v>
      </c>
      <c r="Q169" t="s">
        <v>123</v>
      </c>
      <c r="R169" t="s">
        <v>124</v>
      </c>
      <c r="S169" t="s">
        <v>125</v>
      </c>
      <c r="T169" t="s">
        <v>51</v>
      </c>
      <c r="U169" t="s">
        <v>126</v>
      </c>
      <c r="V169" t="s">
        <v>53</v>
      </c>
      <c r="W169" t="b">
        <v>1</v>
      </c>
      <c r="X169" t="b">
        <v>1</v>
      </c>
      <c r="Y169">
        <v>1</v>
      </c>
      <c r="Z169">
        <v>1</v>
      </c>
      <c r="AA169" t="s">
        <v>56</v>
      </c>
      <c r="AB169" t="s">
        <v>57</v>
      </c>
      <c r="AC169">
        <v>0.75</v>
      </c>
      <c r="AD169" t="b">
        <v>1</v>
      </c>
      <c r="AE169" t="s">
        <v>23</v>
      </c>
      <c r="AF169">
        <v>20000</v>
      </c>
      <c r="AG169">
        <v>500</v>
      </c>
      <c r="AH169">
        <v>9485</v>
      </c>
      <c r="AI169" t="b">
        <v>0</v>
      </c>
      <c r="AJ169" t="b">
        <v>0</v>
      </c>
      <c r="AK169" t="b">
        <v>1</v>
      </c>
      <c r="AL169" t="b">
        <v>0</v>
      </c>
      <c r="AM169">
        <v>116</v>
      </c>
    </row>
    <row r="170" spans="1:39" hidden="1" x14ac:dyDescent="0.25">
      <c r="A170">
        <v>169</v>
      </c>
      <c r="B170" t="s">
        <v>1059</v>
      </c>
      <c r="C170" t="s">
        <v>117</v>
      </c>
      <c r="D170">
        <v>500</v>
      </c>
      <c r="E170">
        <v>2.5000000000000001E-2</v>
      </c>
      <c r="F170" t="s">
        <v>654</v>
      </c>
      <c r="G170" t="s">
        <v>42</v>
      </c>
      <c r="H170" t="s">
        <v>64</v>
      </c>
      <c r="I170" t="s">
        <v>44</v>
      </c>
      <c r="J170">
        <v>5</v>
      </c>
      <c r="K170">
        <v>2</v>
      </c>
      <c r="L170" t="s">
        <v>650</v>
      </c>
      <c r="M170" t="s">
        <v>652</v>
      </c>
      <c r="N170" t="s">
        <v>651</v>
      </c>
      <c r="O170" t="s">
        <v>653</v>
      </c>
      <c r="P170" t="s">
        <v>122</v>
      </c>
      <c r="Q170" t="s">
        <v>123</v>
      </c>
      <c r="R170" t="s">
        <v>124</v>
      </c>
      <c r="S170" t="s">
        <v>125</v>
      </c>
      <c r="T170" t="s">
        <v>51</v>
      </c>
      <c r="U170" t="s">
        <v>126</v>
      </c>
      <c r="V170" t="s">
        <v>53</v>
      </c>
      <c r="W170" t="b">
        <v>1</v>
      </c>
      <c r="X170" t="b">
        <v>1</v>
      </c>
      <c r="Y170">
        <v>1</v>
      </c>
      <c r="Z170">
        <v>1</v>
      </c>
      <c r="AA170" t="s">
        <v>56</v>
      </c>
      <c r="AB170" t="s">
        <v>57</v>
      </c>
      <c r="AC170">
        <v>0.5</v>
      </c>
      <c r="AD170" t="b">
        <v>1</v>
      </c>
      <c r="AE170" t="s">
        <v>23</v>
      </c>
      <c r="AF170">
        <v>20000</v>
      </c>
      <c r="AG170">
        <v>500</v>
      </c>
      <c r="AH170">
        <v>5020</v>
      </c>
      <c r="AI170" t="b">
        <v>0</v>
      </c>
      <c r="AJ170" t="b">
        <v>0</v>
      </c>
      <c r="AK170" t="b">
        <v>1</v>
      </c>
      <c r="AL170" t="b">
        <v>0</v>
      </c>
      <c r="AM170">
        <v>117</v>
      </c>
    </row>
    <row r="171" spans="1:39" hidden="1" x14ac:dyDescent="0.25">
      <c r="A171">
        <v>170</v>
      </c>
      <c r="B171" t="s">
        <v>1060</v>
      </c>
      <c r="C171" t="s">
        <v>117</v>
      </c>
      <c r="D171">
        <v>500</v>
      </c>
      <c r="E171">
        <v>2.5000000000000001E-2</v>
      </c>
      <c r="F171" t="s">
        <v>654</v>
      </c>
      <c r="G171" t="s">
        <v>42</v>
      </c>
      <c r="H171" t="s">
        <v>64</v>
      </c>
      <c r="I171" t="s">
        <v>44</v>
      </c>
      <c r="J171">
        <v>5</v>
      </c>
      <c r="K171">
        <v>2</v>
      </c>
      <c r="L171" t="s">
        <v>650</v>
      </c>
      <c r="M171" t="s">
        <v>652</v>
      </c>
      <c r="N171" t="s">
        <v>651</v>
      </c>
      <c r="O171" t="s">
        <v>653</v>
      </c>
      <c r="P171" t="s">
        <v>122</v>
      </c>
      <c r="Q171" t="s">
        <v>123</v>
      </c>
      <c r="R171" t="s">
        <v>124</v>
      </c>
      <c r="S171" t="s">
        <v>125</v>
      </c>
      <c r="T171" t="s">
        <v>51</v>
      </c>
      <c r="U171" t="s">
        <v>126</v>
      </c>
      <c r="V171" t="s">
        <v>53</v>
      </c>
      <c r="W171" t="b">
        <v>1</v>
      </c>
      <c r="X171" t="b">
        <v>1</v>
      </c>
      <c r="Y171">
        <v>1</v>
      </c>
      <c r="Z171">
        <v>1</v>
      </c>
      <c r="AA171" t="s">
        <v>56</v>
      </c>
      <c r="AB171" t="s">
        <v>57</v>
      </c>
      <c r="AC171">
        <v>0.25</v>
      </c>
      <c r="AD171" t="b">
        <v>1</v>
      </c>
      <c r="AE171" t="s">
        <v>23</v>
      </c>
      <c r="AF171">
        <v>20000</v>
      </c>
      <c r="AG171">
        <v>500</v>
      </c>
      <c r="AH171">
        <v>2055</v>
      </c>
      <c r="AI171" t="b">
        <v>0</v>
      </c>
      <c r="AJ171" t="b">
        <v>0</v>
      </c>
      <c r="AK171" t="b">
        <v>1</v>
      </c>
      <c r="AL171" t="b">
        <v>0</v>
      </c>
      <c r="AM171">
        <v>118</v>
      </c>
    </row>
    <row r="172" spans="1:39" hidden="1" x14ac:dyDescent="0.25">
      <c r="A172">
        <v>171</v>
      </c>
      <c r="B172" t="s">
        <v>1061</v>
      </c>
      <c r="C172" t="s">
        <v>117</v>
      </c>
      <c r="D172">
        <v>500</v>
      </c>
      <c r="E172">
        <v>2.5000000000000001E-2</v>
      </c>
      <c r="F172" t="s">
        <v>654</v>
      </c>
      <c r="G172" t="s">
        <v>42</v>
      </c>
      <c r="H172" t="s">
        <v>64</v>
      </c>
      <c r="I172" t="s">
        <v>44</v>
      </c>
      <c r="J172">
        <v>5</v>
      </c>
      <c r="K172">
        <v>2</v>
      </c>
      <c r="L172" t="s">
        <v>650</v>
      </c>
      <c r="M172" t="s">
        <v>652</v>
      </c>
      <c r="N172" t="s">
        <v>651</v>
      </c>
      <c r="O172" t="s">
        <v>653</v>
      </c>
      <c r="P172" t="s">
        <v>122</v>
      </c>
      <c r="Q172" t="s">
        <v>123</v>
      </c>
      <c r="R172" t="s">
        <v>124</v>
      </c>
      <c r="S172" t="s">
        <v>125</v>
      </c>
      <c r="T172" t="s">
        <v>51</v>
      </c>
      <c r="U172" t="s">
        <v>126</v>
      </c>
      <c r="V172" t="s">
        <v>53</v>
      </c>
      <c r="W172" t="b">
        <v>1</v>
      </c>
      <c r="X172" t="b">
        <v>1</v>
      </c>
      <c r="Y172">
        <v>1</v>
      </c>
      <c r="Z172">
        <v>1</v>
      </c>
      <c r="AA172" t="s">
        <v>56</v>
      </c>
      <c r="AB172" t="s">
        <v>60</v>
      </c>
      <c r="AC172">
        <v>1</v>
      </c>
      <c r="AD172" t="b">
        <v>1</v>
      </c>
      <c r="AE172" t="s">
        <v>23</v>
      </c>
      <c r="AF172">
        <v>20000</v>
      </c>
      <c r="AG172">
        <v>500</v>
      </c>
      <c r="AH172">
        <v>8866</v>
      </c>
      <c r="AI172" t="b">
        <v>0</v>
      </c>
      <c r="AJ172" t="b">
        <v>0</v>
      </c>
      <c r="AK172" t="b">
        <v>1</v>
      </c>
      <c r="AL172" t="b">
        <v>0</v>
      </c>
      <c r="AM172">
        <v>119</v>
      </c>
    </row>
    <row r="173" spans="1:39" hidden="1" x14ac:dyDescent="0.25">
      <c r="A173">
        <v>172</v>
      </c>
      <c r="B173" t="s">
        <v>1062</v>
      </c>
      <c r="C173" t="s">
        <v>117</v>
      </c>
      <c r="D173">
        <v>500</v>
      </c>
      <c r="E173">
        <v>2.5000000000000001E-2</v>
      </c>
      <c r="F173" t="s">
        <v>654</v>
      </c>
      <c r="G173" t="s">
        <v>42</v>
      </c>
      <c r="H173" t="s">
        <v>64</v>
      </c>
      <c r="I173" t="s">
        <v>44</v>
      </c>
      <c r="J173">
        <v>5</v>
      </c>
      <c r="K173">
        <v>2</v>
      </c>
      <c r="L173" t="s">
        <v>650</v>
      </c>
      <c r="M173" t="s">
        <v>652</v>
      </c>
      <c r="N173" t="s">
        <v>651</v>
      </c>
      <c r="O173" t="s">
        <v>653</v>
      </c>
      <c r="P173" t="s">
        <v>122</v>
      </c>
      <c r="Q173" t="s">
        <v>673</v>
      </c>
      <c r="R173" t="s">
        <v>124</v>
      </c>
      <c r="S173" t="s">
        <v>125</v>
      </c>
      <c r="T173" t="s">
        <v>51</v>
      </c>
      <c r="U173" t="s">
        <v>126</v>
      </c>
      <c r="V173" t="s">
        <v>53</v>
      </c>
      <c r="W173" t="b">
        <v>1</v>
      </c>
      <c r="X173" t="b">
        <v>1</v>
      </c>
      <c r="Y173">
        <v>1</v>
      </c>
      <c r="Z173">
        <v>1</v>
      </c>
      <c r="AA173" t="s">
        <v>56</v>
      </c>
      <c r="AB173" t="s">
        <v>57</v>
      </c>
      <c r="AC173">
        <v>0.75</v>
      </c>
      <c r="AD173" t="b">
        <v>1</v>
      </c>
      <c r="AE173" t="s">
        <v>23</v>
      </c>
      <c r="AF173">
        <v>20000</v>
      </c>
      <c r="AG173">
        <v>500</v>
      </c>
      <c r="AH173">
        <v>2895</v>
      </c>
      <c r="AI173" t="b">
        <v>0</v>
      </c>
      <c r="AJ173" t="b">
        <v>0</v>
      </c>
      <c r="AK173" t="b">
        <v>1</v>
      </c>
      <c r="AL173" t="b">
        <v>0</v>
      </c>
      <c r="AM173">
        <v>120</v>
      </c>
    </row>
    <row r="174" spans="1:39" hidden="1" x14ac:dyDescent="0.25">
      <c r="A174">
        <v>173</v>
      </c>
      <c r="B174" t="s">
        <v>1063</v>
      </c>
      <c r="C174" t="s">
        <v>117</v>
      </c>
      <c r="D174">
        <v>500</v>
      </c>
      <c r="E174">
        <v>2.5000000000000001E-2</v>
      </c>
      <c r="F174" t="s">
        <v>654</v>
      </c>
      <c r="G174" t="s">
        <v>42</v>
      </c>
      <c r="H174" t="s">
        <v>64</v>
      </c>
      <c r="I174" t="s">
        <v>44</v>
      </c>
      <c r="J174">
        <v>5</v>
      </c>
      <c r="K174">
        <v>2</v>
      </c>
      <c r="L174" t="s">
        <v>650</v>
      </c>
      <c r="M174" t="s">
        <v>652</v>
      </c>
      <c r="N174" t="s">
        <v>651</v>
      </c>
      <c r="O174" t="s">
        <v>653</v>
      </c>
      <c r="P174" t="s">
        <v>122</v>
      </c>
      <c r="Q174" t="s">
        <v>673</v>
      </c>
      <c r="R174" t="s">
        <v>124</v>
      </c>
      <c r="S174" t="s">
        <v>125</v>
      </c>
      <c r="T174" t="s">
        <v>51</v>
      </c>
      <c r="U174" t="s">
        <v>126</v>
      </c>
      <c r="V174" t="s">
        <v>53</v>
      </c>
      <c r="W174" t="b">
        <v>1</v>
      </c>
      <c r="X174" t="b">
        <v>1</v>
      </c>
      <c r="Y174">
        <v>1</v>
      </c>
      <c r="Z174">
        <v>1</v>
      </c>
      <c r="AA174" t="s">
        <v>56</v>
      </c>
      <c r="AB174" t="s">
        <v>57</v>
      </c>
      <c r="AC174">
        <v>0.5</v>
      </c>
      <c r="AD174" t="b">
        <v>1</v>
      </c>
      <c r="AE174" t="s">
        <v>23</v>
      </c>
      <c r="AF174">
        <v>20000</v>
      </c>
      <c r="AG174">
        <v>500</v>
      </c>
      <c r="AH174">
        <v>8427</v>
      </c>
      <c r="AI174" t="b">
        <v>0</v>
      </c>
      <c r="AJ174" t="b">
        <v>0</v>
      </c>
      <c r="AK174" t="b">
        <v>1</v>
      </c>
      <c r="AL174" t="b">
        <v>0</v>
      </c>
      <c r="AM174">
        <v>121</v>
      </c>
    </row>
    <row r="175" spans="1:39" hidden="1" x14ac:dyDescent="0.25">
      <c r="A175">
        <v>174</v>
      </c>
      <c r="B175" t="s">
        <v>1064</v>
      </c>
      <c r="C175" t="s">
        <v>117</v>
      </c>
      <c r="D175">
        <v>500</v>
      </c>
      <c r="E175">
        <v>2.5000000000000001E-2</v>
      </c>
      <c r="F175" t="s">
        <v>654</v>
      </c>
      <c r="G175" t="s">
        <v>42</v>
      </c>
      <c r="H175" t="s">
        <v>64</v>
      </c>
      <c r="I175" t="s">
        <v>44</v>
      </c>
      <c r="J175">
        <v>5</v>
      </c>
      <c r="K175">
        <v>2</v>
      </c>
      <c r="L175" t="s">
        <v>650</v>
      </c>
      <c r="M175" t="s">
        <v>652</v>
      </c>
      <c r="N175" t="s">
        <v>651</v>
      </c>
      <c r="O175" t="s">
        <v>653</v>
      </c>
      <c r="P175" t="s">
        <v>122</v>
      </c>
      <c r="Q175" t="s">
        <v>673</v>
      </c>
      <c r="R175" t="s">
        <v>124</v>
      </c>
      <c r="S175" t="s">
        <v>125</v>
      </c>
      <c r="T175" t="s">
        <v>51</v>
      </c>
      <c r="U175" t="s">
        <v>126</v>
      </c>
      <c r="V175" t="s">
        <v>53</v>
      </c>
      <c r="W175" t="b">
        <v>1</v>
      </c>
      <c r="X175" t="b">
        <v>1</v>
      </c>
      <c r="Y175">
        <v>1</v>
      </c>
      <c r="Z175">
        <v>1</v>
      </c>
      <c r="AA175" t="s">
        <v>56</v>
      </c>
      <c r="AB175" t="s">
        <v>57</v>
      </c>
      <c r="AC175">
        <v>0.25</v>
      </c>
      <c r="AD175" t="b">
        <v>1</v>
      </c>
      <c r="AE175" t="s">
        <v>23</v>
      </c>
      <c r="AF175">
        <v>20000</v>
      </c>
      <c r="AG175">
        <v>500</v>
      </c>
      <c r="AH175">
        <v>5058</v>
      </c>
      <c r="AI175" t="b">
        <v>0</v>
      </c>
      <c r="AJ175" t="b">
        <v>0</v>
      </c>
      <c r="AK175" t="b">
        <v>1</v>
      </c>
      <c r="AL175" t="b">
        <v>0</v>
      </c>
      <c r="AM175">
        <v>122</v>
      </c>
    </row>
    <row r="176" spans="1:39" hidden="1" x14ac:dyDescent="0.25">
      <c r="A176">
        <v>175</v>
      </c>
      <c r="B176" t="s">
        <v>1065</v>
      </c>
      <c r="C176" t="s">
        <v>117</v>
      </c>
      <c r="D176">
        <v>500</v>
      </c>
      <c r="E176">
        <v>2.5000000000000001E-2</v>
      </c>
      <c r="F176" t="s">
        <v>654</v>
      </c>
      <c r="G176" t="s">
        <v>42</v>
      </c>
      <c r="H176" t="s">
        <v>64</v>
      </c>
      <c r="I176" t="s">
        <v>44</v>
      </c>
      <c r="J176">
        <v>5</v>
      </c>
      <c r="K176">
        <v>2</v>
      </c>
      <c r="L176" t="s">
        <v>650</v>
      </c>
      <c r="M176" t="s">
        <v>652</v>
      </c>
      <c r="N176" t="s">
        <v>651</v>
      </c>
      <c r="O176" t="s">
        <v>653</v>
      </c>
      <c r="P176" t="s">
        <v>122</v>
      </c>
      <c r="Q176" t="s">
        <v>673</v>
      </c>
      <c r="R176" t="s">
        <v>124</v>
      </c>
      <c r="S176" t="s">
        <v>125</v>
      </c>
      <c r="T176" t="s">
        <v>51</v>
      </c>
      <c r="U176" t="s">
        <v>126</v>
      </c>
      <c r="V176" t="s">
        <v>53</v>
      </c>
      <c r="W176" t="b">
        <v>1</v>
      </c>
      <c r="X176" t="b">
        <v>1</v>
      </c>
      <c r="Y176">
        <v>1</v>
      </c>
      <c r="Z176">
        <v>1</v>
      </c>
      <c r="AA176" t="s">
        <v>56</v>
      </c>
      <c r="AB176" t="s">
        <v>60</v>
      </c>
      <c r="AC176">
        <v>1</v>
      </c>
      <c r="AD176" t="b">
        <v>1</v>
      </c>
      <c r="AE176" t="s">
        <v>23</v>
      </c>
      <c r="AF176">
        <v>20000</v>
      </c>
      <c r="AG176">
        <v>500</v>
      </c>
      <c r="AH176">
        <v>1971</v>
      </c>
      <c r="AI176" t="b">
        <v>0</v>
      </c>
      <c r="AJ176" t="b">
        <v>0</v>
      </c>
      <c r="AK176" t="b">
        <v>1</v>
      </c>
      <c r="AL176" t="b">
        <v>0</v>
      </c>
      <c r="AM176">
        <v>123</v>
      </c>
    </row>
  </sheetData>
  <autoFilter ref="A1:AO176" xr:uid="{EEB3D3EE-8D9B-4D5E-9C06-DB49DF3FC6E4}">
    <filterColumn colId="39">
      <customFilters>
        <customFilter operator="notEqual" val=" "/>
      </custom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6F428-934B-4184-AB52-25D136250B44}">
  <dimension ref="A1:BS177"/>
  <sheetViews>
    <sheetView workbookViewId="0"/>
  </sheetViews>
  <sheetFormatPr defaultRowHeight="15" x14ac:dyDescent="0.25"/>
  <cols>
    <col min="1" max="1" width="10.5703125" bestFit="1" customWidth="1"/>
    <col min="2" max="2" width="58.85546875" bestFit="1" customWidth="1"/>
    <col min="3" max="3" width="7.42578125" bestFit="1" customWidth="1"/>
    <col min="4" max="4" width="15.140625" bestFit="1" customWidth="1"/>
    <col min="5" max="5" width="19.85546875" bestFit="1" customWidth="1"/>
    <col min="6" max="6" width="19.140625" bestFit="1" customWidth="1"/>
    <col min="7" max="7" width="12" bestFit="1" customWidth="1"/>
    <col min="8" max="10" width="16.85546875" customWidth="1"/>
    <col min="11" max="11" width="17.5703125" bestFit="1" customWidth="1"/>
    <col min="12" max="12" width="26.5703125" customWidth="1"/>
    <col min="13" max="13" width="31.28515625" customWidth="1"/>
    <col min="14" max="14" width="13.85546875" customWidth="1"/>
    <col min="15" max="15" width="7.85546875" hidden="1" customWidth="1"/>
    <col min="16" max="16" width="12.28515625" hidden="1" customWidth="1"/>
    <col min="17" max="17" width="13.28515625" hidden="1" customWidth="1"/>
    <col min="18" max="18" width="8.42578125" hidden="1" customWidth="1"/>
    <col min="19" max="19" width="14.140625" hidden="1" customWidth="1"/>
    <col min="20" max="20" width="17.28515625" hidden="1" customWidth="1"/>
    <col min="21" max="21" width="13" hidden="1" customWidth="1"/>
    <col min="22" max="22" width="16.140625" hidden="1" customWidth="1"/>
    <col min="23" max="23" width="9" hidden="1" customWidth="1"/>
    <col min="24" max="24" width="7.5703125" hidden="1" customWidth="1"/>
    <col min="25" max="25" width="35.5703125" hidden="1" customWidth="1"/>
    <col min="26" max="26" width="37.28515625" hidden="1" customWidth="1"/>
    <col min="27" max="27" width="30.85546875" hidden="1" customWidth="1"/>
    <col min="28" max="28" width="38.85546875" hidden="1" customWidth="1"/>
    <col min="29" max="29" width="17.7109375" hidden="1" customWidth="1"/>
    <col min="30" max="30" width="39" hidden="1" customWidth="1"/>
    <col min="31" max="31" width="28" hidden="1" customWidth="1"/>
    <col min="32" max="32" width="65.140625" hidden="1" customWidth="1"/>
    <col min="33" max="33" width="16.5703125" hidden="1" customWidth="1"/>
    <col min="34" max="34" width="11" hidden="1" customWidth="1"/>
    <col min="35" max="35" width="14.85546875" hidden="1" customWidth="1"/>
    <col min="36" max="36" width="17.85546875" hidden="1" customWidth="1"/>
    <col min="37" max="37" width="11.28515625" hidden="1" customWidth="1"/>
    <col min="38" max="38" width="15.5703125" hidden="1" customWidth="1"/>
    <col min="39" max="39" width="16.42578125" hidden="1" customWidth="1"/>
    <col min="40" max="40" width="16.140625" hidden="1" customWidth="1"/>
    <col min="41" max="41" width="19" hidden="1" customWidth="1"/>
    <col min="42" max="42" width="19.5703125" hidden="1" customWidth="1"/>
    <col min="43" max="43" width="20.7109375" hidden="1" customWidth="1"/>
    <col min="44" max="44" width="13.140625" hidden="1" customWidth="1"/>
    <col min="45" max="45" width="14" customWidth="1"/>
    <col min="46" max="46" width="20.85546875" customWidth="1"/>
    <col min="47" max="47" width="8.42578125" customWidth="1"/>
    <col min="48" max="48" width="14.85546875" customWidth="1"/>
    <col min="49" max="49" width="13.140625" customWidth="1"/>
    <col min="50" max="50" width="10.140625" customWidth="1"/>
    <col min="51" max="51" width="8.85546875" customWidth="1"/>
    <col min="52" max="52" width="15.7109375" customWidth="1"/>
    <col min="53" max="53" width="12.42578125" bestFit="1" customWidth="1"/>
    <col min="54" max="54" width="14.42578125" customWidth="1"/>
    <col min="55" max="55" width="16" customWidth="1"/>
    <col min="56" max="56" width="10.7109375" customWidth="1"/>
    <col min="57" max="58" width="13.42578125" customWidth="1"/>
    <col min="59" max="59" width="12.7109375" customWidth="1"/>
    <col min="60" max="60" width="10.140625" customWidth="1"/>
    <col min="61" max="61" width="17.85546875" bestFit="1" customWidth="1"/>
    <col min="62" max="62" width="18.140625" bestFit="1" customWidth="1"/>
    <col min="63" max="63" width="17.85546875" bestFit="1" customWidth="1"/>
    <col min="64" max="64" width="18.140625" bestFit="1" customWidth="1"/>
    <col min="65" max="65" width="17.140625" bestFit="1" customWidth="1"/>
    <col min="66" max="66" width="17.42578125" bestFit="1" customWidth="1"/>
    <col min="67" max="67" width="14.42578125" bestFit="1" customWidth="1"/>
    <col min="68" max="68" width="14.7109375" bestFit="1" customWidth="1"/>
    <col min="69" max="71" width="15.85546875" bestFit="1" customWidth="1"/>
  </cols>
  <sheetData>
    <row r="1" spans="1:71" x14ac:dyDescent="0.25">
      <c r="F1" t="s">
        <v>638</v>
      </c>
      <c r="P1" t="s">
        <v>638</v>
      </c>
      <c r="Q1" t="s">
        <v>638</v>
      </c>
      <c r="BC1" s="3" t="s">
        <v>626</v>
      </c>
      <c r="BD1" s="3"/>
      <c r="BE1" s="3"/>
      <c r="BF1" s="3"/>
    </row>
    <row r="2" spans="1:71" x14ac:dyDescent="0.25">
      <c r="A2" t="s">
        <v>0</v>
      </c>
      <c r="B2" t="s">
        <v>1</v>
      </c>
      <c r="C2" t="s">
        <v>69</v>
      </c>
      <c r="D2" t="s">
        <v>70</v>
      </c>
      <c r="E2" t="s">
        <v>71</v>
      </c>
      <c r="F2" t="s">
        <v>72</v>
      </c>
      <c r="G2" t="s">
        <v>73</v>
      </c>
      <c r="H2" t="s">
        <v>74</v>
      </c>
      <c r="I2" t="s">
        <v>75</v>
      </c>
      <c r="J2" t="s">
        <v>76</v>
      </c>
      <c r="K2" t="s">
        <v>77</v>
      </c>
      <c r="L2" t="s">
        <v>78</v>
      </c>
      <c r="M2" t="s">
        <v>79</v>
      </c>
      <c r="N2" t="s">
        <v>80</v>
      </c>
      <c r="O2" t="s">
        <v>81</v>
      </c>
      <c r="P2" t="s">
        <v>2</v>
      </c>
      <c r="Q2" t="s">
        <v>3</v>
      </c>
      <c r="R2" t="s">
        <v>4</v>
      </c>
      <c r="S2" t="s">
        <v>5</v>
      </c>
      <c r="T2" t="s">
        <v>6</v>
      </c>
      <c r="U2" t="s">
        <v>7</v>
      </c>
      <c r="V2" t="s">
        <v>8</v>
      </c>
      <c r="W2" t="s">
        <v>9</v>
      </c>
      <c r="X2" t="s">
        <v>10</v>
      </c>
      <c r="Y2" t="s">
        <v>11</v>
      </c>
      <c r="Z2" t="s">
        <v>12</v>
      </c>
      <c r="AA2" t="s">
        <v>13</v>
      </c>
      <c r="AB2" t="s">
        <v>14</v>
      </c>
      <c r="AC2" t="s">
        <v>15</v>
      </c>
      <c r="AD2" t="s">
        <v>16</v>
      </c>
      <c r="AE2" t="s">
        <v>17</v>
      </c>
      <c r="AF2" t="s">
        <v>18</v>
      </c>
      <c r="AG2" t="s">
        <v>19</v>
      </c>
      <c r="AH2" t="s">
        <v>20</v>
      </c>
      <c r="AI2" t="s">
        <v>21</v>
      </c>
      <c r="AJ2" t="s">
        <v>22</v>
      </c>
      <c r="AK2" t="s">
        <v>23</v>
      </c>
      <c r="AL2" t="s">
        <v>24</v>
      </c>
      <c r="AM2" t="s">
        <v>25</v>
      </c>
      <c r="AN2" t="s">
        <v>26</v>
      </c>
      <c r="AO2" t="s">
        <v>27</v>
      </c>
      <c r="AP2" t="s">
        <v>28</v>
      </c>
      <c r="AQ2" t="s">
        <v>29</v>
      </c>
      <c r="AR2" t="s">
        <v>30</v>
      </c>
      <c r="AS2" t="s">
        <v>31</v>
      </c>
      <c r="AT2" t="s">
        <v>32</v>
      </c>
      <c r="AU2" t="s">
        <v>594</v>
      </c>
      <c r="AV2" t="s">
        <v>34</v>
      </c>
      <c r="AW2" t="s">
        <v>35</v>
      </c>
      <c r="AX2" t="s">
        <v>36</v>
      </c>
      <c r="AY2" t="s">
        <v>37</v>
      </c>
      <c r="AZ2" t="s">
        <v>38</v>
      </c>
      <c r="BA2" t="s">
        <v>1066</v>
      </c>
      <c r="BB2" t="s">
        <v>39</v>
      </c>
      <c r="BC2" t="s">
        <v>617</v>
      </c>
      <c r="BD2" t="s">
        <v>627</v>
      </c>
      <c r="BE2" t="s">
        <v>801</v>
      </c>
      <c r="BF2" t="s">
        <v>802</v>
      </c>
      <c r="BG2" t="s">
        <v>803</v>
      </c>
      <c r="BH2" t="s">
        <v>804</v>
      </c>
      <c r="BI2" t="s">
        <v>805</v>
      </c>
      <c r="BJ2" t="s">
        <v>809</v>
      </c>
      <c r="BK2" t="s">
        <v>806</v>
      </c>
      <c r="BL2" t="s">
        <v>810</v>
      </c>
      <c r="BM2" t="s">
        <v>807</v>
      </c>
      <c r="BN2" t="s">
        <v>811</v>
      </c>
      <c r="BO2" t="s">
        <v>808</v>
      </c>
      <c r="BP2" t="s">
        <v>812</v>
      </c>
      <c r="BQ2" t="s">
        <v>830</v>
      </c>
      <c r="BR2" t="s">
        <v>831</v>
      </c>
      <c r="BS2" t="s">
        <v>832</v>
      </c>
    </row>
    <row r="3" spans="1:71" x14ac:dyDescent="0.25">
      <c r="A3">
        <v>1</v>
      </c>
      <c r="B3" t="s">
        <v>595</v>
      </c>
      <c r="C3">
        <v>1234</v>
      </c>
      <c r="D3">
        <v>2.5876150000000001E-2</v>
      </c>
      <c r="E3">
        <v>0</v>
      </c>
      <c r="F3">
        <v>0</v>
      </c>
      <c r="G3">
        <v>2.5876150000000001E-2</v>
      </c>
      <c r="H3" t="s">
        <v>82</v>
      </c>
      <c r="I3" t="s">
        <v>83</v>
      </c>
      <c r="J3" t="s">
        <v>83</v>
      </c>
      <c r="K3" t="s">
        <v>82</v>
      </c>
      <c r="L3" s="1">
        <v>38478</v>
      </c>
      <c r="M3" t="s">
        <v>84</v>
      </c>
      <c r="N3">
        <v>2.3855487522151702</v>
      </c>
      <c r="O3" t="s">
        <v>85</v>
      </c>
      <c r="P3" t="s">
        <v>41</v>
      </c>
      <c r="Q3">
        <v>600</v>
      </c>
      <c r="R3">
        <v>2.5000000000000001E-2</v>
      </c>
      <c r="S3" t="s">
        <v>42</v>
      </c>
      <c r="T3" t="s">
        <v>42</v>
      </c>
      <c r="U3" t="s">
        <v>43</v>
      </c>
      <c r="V3" t="s">
        <v>44</v>
      </c>
      <c r="W3">
        <v>3</v>
      </c>
      <c r="X3">
        <v>2</v>
      </c>
      <c r="Y3" t="s">
        <v>45</v>
      </c>
      <c r="Z3" t="s">
        <v>42</v>
      </c>
      <c r="AA3" t="s">
        <v>42</v>
      </c>
      <c r="AB3" t="s">
        <v>46</v>
      </c>
      <c r="AC3" t="s">
        <v>47</v>
      </c>
      <c r="AD3" t="s">
        <v>48</v>
      </c>
      <c r="AE3" t="s">
        <v>49</v>
      </c>
      <c r="AF3" t="s">
        <v>50</v>
      </c>
      <c r="AG3" t="s">
        <v>51</v>
      </c>
      <c r="AH3" t="s">
        <v>52</v>
      </c>
      <c r="AI3" t="s">
        <v>53</v>
      </c>
      <c r="AJ3" t="b">
        <v>0</v>
      </c>
      <c r="AK3" t="b">
        <v>0</v>
      </c>
      <c r="AL3" t="s">
        <v>42</v>
      </c>
      <c r="AM3" t="s">
        <v>42</v>
      </c>
      <c r="AN3" t="s">
        <v>42</v>
      </c>
      <c r="AO3" t="s">
        <v>42</v>
      </c>
      <c r="AP3" t="s">
        <v>42</v>
      </c>
      <c r="AQ3" t="s">
        <v>42</v>
      </c>
      <c r="AR3" t="s">
        <v>54</v>
      </c>
      <c r="AS3">
        <v>20000</v>
      </c>
      <c r="AT3">
        <v>2000</v>
      </c>
      <c r="AU3">
        <v>1234</v>
      </c>
      <c r="AV3" t="b">
        <v>1</v>
      </c>
      <c r="AW3" t="b">
        <v>0</v>
      </c>
      <c r="AX3" t="b">
        <v>1</v>
      </c>
      <c r="AY3" t="b">
        <v>1</v>
      </c>
      <c r="AZ3" t="s">
        <v>42</v>
      </c>
      <c r="BA3">
        <f>INDEX(Inp_CER_Bin_2eps3arms!$AN$2:$AN$176,MATCH(Table1[[#This Row],[ModelID]],Inp_CER_Bin_2eps3arms!$A$2:$A$176,0))</f>
        <v>0</v>
      </c>
      <c r="BB3" t="s">
        <v>42</v>
      </c>
      <c r="BC3" t="s">
        <v>618</v>
      </c>
      <c r="BD3" t="s">
        <v>628</v>
      </c>
      <c r="BE3" s="10">
        <f>Table1[[#This Row],[Global.Power]]</f>
        <v>2.5876150000000001E-2</v>
      </c>
      <c r="BF3" s="10">
        <f>Table1[[#This Row],[Conjunctive.Power]]</f>
        <v>0</v>
      </c>
      <c r="BG3" s="10">
        <f>Table1[[#This Row],[Disjunctive.Power]]</f>
        <v>0</v>
      </c>
      <c r="BH3" s="10">
        <f>Table1[[#This Row],[FWER]]</f>
        <v>2.5876150000000001E-2</v>
      </c>
      <c r="BI3" s="10">
        <f>_xlfn.NUMBERVALUE(MID(Table1[[#This Row],[CI_95perc_Global.Power]],2,FIND(",",Table1[[#This Row],[CI_95perc_Global.Power]])-2))</f>
        <v>2.496E-2</v>
      </c>
      <c r="BJ3" s="10">
        <f>_xlfn.NUMBERVALUE(MID(Table1[[#This Row],[CI_95perc_Global.Power]],FIND(",",Table1[[#This Row],[CI_95perc_Global.Power]])+1,LEN(Table1[[#This Row],[CI_95perc_Global.Power]])-FIND(",",Table1[[#This Row],[CI_95perc_Global.Power]])-1))</f>
        <v>2.6790000000000001E-2</v>
      </c>
      <c r="BK3" s="10">
        <f>_xlfn.NUMBERVALUE(MID(Table1[[#This Row],[CI_95perc_Conjunctive.Power]],2,FIND(",",Table1[[#This Row],[CI_95perc_Conjunctive.Power]])-2))</f>
        <v>0</v>
      </c>
      <c r="BL3" s="10">
        <f>_xlfn.NUMBERVALUE(MID(Table1[[#This Row],[CI_95perc_Conjunctive.Power]],FIND(",",Table1[[#This Row],[CI_95perc_Conjunctive.Power]])+1,LEN(Table1[[#This Row],[CI_95perc_Conjunctive.Power]])-FIND(",",Table1[[#This Row],[CI_95perc_Conjunctive.Power]])-1))</f>
        <v>0</v>
      </c>
      <c r="BM3" s="10">
        <f>_xlfn.NUMBERVALUE(MID(Table1[[#This Row],[CI_95perc_Disjunctive.Power]],2,FIND(",",Table1[[#This Row],[CI_95perc_Disjunctive.Power]])-2))</f>
        <v>0</v>
      </c>
      <c r="BN3" s="10">
        <f>_xlfn.NUMBERVALUE(MID(Table1[[#This Row],[CI_95perc_Disjunctive.Power]],FIND(",",Table1[[#This Row],[CI_95perc_Disjunctive.Power]])+1,LEN(Table1[[#This Row],[CI_95perc_Disjunctive.Power]])-FIND(",",Table1[[#This Row],[CI_95perc_Disjunctive.Power]])-1))</f>
        <v>0</v>
      </c>
      <c r="BO3" s="10">
        <f>_xlfn.NUMBERVALUE(MID(Table1[[#This Row],[CI_95perc_FWER]],2,FIND(",",Table1[[#This Row],[CI_95perc_FWER]])-2))</f>
        <v>2.496E-2</v>
      </c>
      <c r="BP3" s="10">
        <f>_xlfn.NUMBERVALUE(MID(Table1[[#This Row],[CI_95perc_FWER]],FIND(",",Table1[[#This Row],[CI_95perc_FWER]])+1,LEN(Table1[[#This Row],[CI_95perc_FWER]])-FIND(",",Table1[[#This Row],[CI_95perc_FWER]])-1))</f>
        <v>2.6790000000000001E-2</v>
      </c>
      <c r="BQ3" s="10" t="str">
        <f>_xlfn.CONCAT("(",TEXT(Table1[[#This Row],[LCL_Disj.Pow%]],"0.00%"), ", ",TEXT(Table1[[#This Row],[UCL_Disj.Pow%]],"0.00%"),")")</f>
        <v>(0.00%, 0.00%)</v>
      </c>
      <c r="BR3" s="10" t="str">
        <f>_xlfn.CONCAT("(",TEXT(Table1[[#This Row],[LCL_Conj.Pow%]],"0.00%"),", ",TEXT(Table1[[#This Row],[UCL_Conj.Pow%]],"0.00%"),")")</f>
        <v>(0.00%, 0.00%)</v>
      </c>
      <c r="BS3" s="10" t="str">
        <f>_xlfn.CONCAT("(",TEXT(Table1[[#This Row],[LCL_FWER%]],"0.00%"),", ",TEXT(Table1[[#This Row],[UCL_FWER%]],"0.00%"),")")</f>
        <v>(2.50%, 2.68%)</v>
      </c>
    </row>
    <row r="4" spans="1:71" x14ac:dyDescent="0.25">
      <c r="A4">
        <v>2</v>
      </c>
      <c r="B4" t="s">
        <v>595</v>
      </c>
      <c r="C4">
        <v>1234</v>
      </c>
      <c r="D4">
        <v>2.4627300000000001E-2</v>
      </c>
      <c r="E4">
        <v>0</v>
      </c>
      <c r="F4">
        <v>0</v>
      </c>
      <c r="G4">
        <v>2.4627300000000001E-2</v>
      </c>
      <c r="H4" t="s">
        <v>86</v>
      </c>
      <c r="I4" t="s">
        <v>83</v>
      </c>
      <c r="J4" t="s">
        <v>83</v>
      </c>
      <c r="K4" t="s">
        <v>86</v>
      </c>
      <c r="L4" s="1">
        <v>41417</v>
      </c>
      <c r="M4" t="s">
        <v>87</v>
      </c>
      <c r="N4">
        <v>2.6200345733430601</v>
      </c>
      <c r="O4" t="s">
        <v>85</v>
      </c>
      <c r="P4" t="s">
        <v>41</v>
      </c>
      <c r="Q4">
        <v>1500</v>
      </c>
      <c r="R4">
        <v>2.5000000000000001E-2</v>
      </c>
      <c r="S4" t="s">
        <v>42</v>
      </c>
      <c r="T4" t="s">
        <v>42</v>
      </c>
      <c r="U4" t="s">
        <v>43</v>
      </c>
      <c r="V4" t="s">
        <v>44</v>
      </c>
      <c r="W4">
        <v>3</v>
      </c>
      <c r="X4">
        <v>2</v>
      </c>
      <c r="Y4" t="s">
        <v>45</v>
      </c>
      <c r="Z4" t="s">
        <v>42</v>
      </c>
      <c r="AA4" t="s">
        <v>42</v>
      </c>
      <c r="AB4" t="s">
        <v>46</v>
      </c>
      <c r="AC4" t="s">
        <v>47</v>
      </c>
      <c r="AD4" t="s">
        <v>48</v>
      </c>
      <c r="AE4" t="s">
        <v>49</v>
      </c>
      <c r="AF4" t="s">
        <v>50</v>
      </c>
      <c r="AG4" t="s">
        <v>51</v>
      </c>
      <c r="AH4" t="s">
        <v>52</v>
      </c>
      <c r="AI4" t="s">
        <v>53</v>
      </c>
      <c r="AJ4" t="b">
        <v>0</v>
      </c>
      <c r="AK4" t="b">
        <v>0</v>
      </c>
      <c r="AL4" t="s">
        <v>42</v>
      </c>
      <c r="AM4" t="s">
        <v>42</v>
      </c>
      <c r="AN4" t="s">
        <v>42</v>
      </c>
      <c r="AO4" t="s">
        <v>42</v>
      </c>
      <c r="AP4" t="s">
        <v>42</v>
      </c>
      <c r="AQ4" t="s">
        <v>42</v>
      </c>
      <c r="AR4" t="s">
        <v>54</v>
      </c>
      <c r="AS4">
        <v>20000</v>
      </c>
      <c r="AT4">
        <v>2000</v>
      </c>
      <c r="AU4">
        <v>1234</v>
      </c>
      <c r="AV4" t="b">
        <v>1</v>
      </c>
      <c r="AW4" t="b">
        <v>0</v>
      </c>
      <c r="AX4" t="b">
        <v>1</v>
      </c>
      <c r="AY4" t="b">
        <v>1</v>
      </c>
      <c r="AZ4" t="s">
        <v>42</v>
      </c>
      <c r="BA4">
        <f>INDEX(Inp_CER_Bin_2eps3arms!$AN$2:$AN$176,MATCH(Table1[[#This Row],[ModelID]],Inp_CER_Bin_2eps3arms!$A$2:$A$176,0))</f>
        <v>0</v>
      </c>
      <c r="BB4" t="s">
        <v>42</v>
      </c>
      <c r="BC4" t="s">
        <v>618</v>
      </c>
      <c r="BD4" t="s">
        <v>628</v>
      </c>
      <c r="BE4" s="10">
        <f>Table1[[#This Row],[Global.Power]]</f>
        <v>2.4627300000000001E-2</v>
      </c>
      <c r="BF4" s="10">
        <f>Table1[[#This Row],[Conjunctive.Power]]</f>
        <v>0</v>
      </c>
      <c r="BG4" s="10">
        <f>Table1[[#This Row],[Disjunctive.Power]]</f>
        <v>0</v>
      </c>
      <c r="BH4" s="10">
        <f>Table1[[#This Row],[FWER]]</f>
        <v>2.4627300000000001E-2</v>
      </c>
      <c r="BI4" s="10">
        <f>_xlfn.NUMBERVALUE(MID(Table1[[#This Row],[CI_95perc_Global.Power]],2,FIND(",",Table1[[#This Row],[CI_95perc_Global.Power]])-2))</f>
        <v>2.3720000000000001E-2</v>
      </c>
      <c r="BJ4" s="10">
        <f>_xlfn.NUMBERVALUE(MID(Table1[[#This Row],[CI_95perc_Global.Power]],FIND(",",Table1[[#This Row],[CI_95perc_Global.Power]])+1,LEN(Table1[[#This Row],[CI_95perc_Global.Power]])-FIND(",",Table1[[#This Row],[CI_95perc_Global.Power]])-1))</f>
        <v>2.554E-2</v>
      </c>
      <c r="BK4" s="10">
        <f>_xlfn.NUMBERVALUE(MID(Table1[[#This Row],[CI_95perc_Conjunctive.Power]],2,FIND(",",Table1[[#This Row],[CI_95perc_Conjunctive.Power]])-2))</f>
        <v>0</v>
      </c>
      <c r="BL4" s="10">
        <f>_xlfn.NUMBERVALUE(MID(Table1[[#This Row],[CI_95perc_Conjunctive.Power]],FIND(",",Table1[[#This Row],[CI_95perc_Conjunctive.Power]])+1,LEN(Table1[[#This Row],[CI_95perc_Conjunctive.Power]])-FIND(",",Table1[[#This Row],[CI_95perc_Conjunctive.Power]])-1))</f>
        <v>0</v>
      </c>
      <c r="BM4" s="10">
        <f>_xlfn.NUMBERVALUE(MID(Table1[[#This Row],[CI_95perc_Disjunctive.Power]],2,FIND(",",Table1[[#This Row],[CI_95perc_Disjunctive.Power]])-2))</f>
        <v>0</v>
      </c>
      <c r="BN4" s="10">
        <f>_xlfn.NUMBERVALUE(MID(Table1[[#This Row],[CI_95perc_Disjunctive.Power]],FIND(",",Table1[[#This Row],[CI_95perc_Disjunctive.Power]])+1,LEN(Table1[[#This Row],[CI_95perc_Disjunctive.Power]])-FIND(",",Table1[[#This Row],[CI_95perc_Disjunctive.Power]])-1))</f>
        <v>0</v>
      </c>
      <c r="BO4" s="10">
        <f>_xlfn.NUMBERVALUE(MID(Table1[[#This Row],[CI_95perc_FWER]],2,FIND(",",Table1[[#This Row],[CI_95perc_FWER]])-2))</f>
        <v>2.3720000000000001E-2</v>
      </c>
      <c r="BP4" s="10">
        <f>_xlfn.NUMBERVALUE(MID(Table1[[#This Row],[CI_95perc_FWER]],FIND(",",Table1[[#This Row],[CI_95perc_FWER]])+1,LEN(Table1[[#This Row],[CI_95perc_FWER]])-FIND(",",Table1[[#This Row],[CI_95perc_FWER]])-1))</f>
        <v>2.554E-2</v>
      </c>
      <c r="BQ4" s="10" t="str">
        <f>_xlfn.CONCAT("(",TEXT(Table1[[#This Row],[LCL_Disj.Pow%]],"0.00%"), ", ",TEXT(Table1[[#This Row],[UCL_Disj.Pow%]],"0.00%"),")")</f>
        <v>(0.00%, 0.00%)</v>
      </c>
      <c r="BR4" s="10" t="str">
        <f>_xlfn.CONCAT("(",TEXT(Table1[[#This Row],[LCL_Conj.Pow%]],"0.00%"),", ",TEXT(Table1[[#This Row],[UCL_Conj.Pow%]],"0.00%"),")")</f>
        <v>(0.00%, 0.00%)</v>
      </c>
      <c r="BS4" s="10" t="str">
        <f>_xlfn.CONCAT("(",TEXT(Table1[[#This Row],[LCL_FWER%]],"0.00%"),", ",TEXT(Table1[[#This Row],[UCL_FWER%]],"0.00%"),")")</f>
        <v>(2.37%, 2.55%)</v>
      </c>
    </row>
    <row r="5" spans="1:71" x14ac:dyDescent="0.25">
      <c r="A5">
        <v>3</v>
      </c>
      <c r="B5" t="s">
        <v>595</v>
      </c>
      <c r="C5">
        <v>1234</v>
      </c>
      <c r="D5">
        <v>2.4870175000000001E-2</v>
      </c>
      <c r="E5">
        <v>0</v>
      </c>
      <c r="F5">
        <v>0</v>
      </c>
      <c r="G5">
        <v>2.4870175000000001E-2</v>
      </c>
      <c r="H5" t="s">
        <v>88</v>
      </c>
      <c r="I5" t="s">
        <v>83</v>
      </c>
      <c r="J5" t="s">
        <v>83</v>
      </c>
      <c r="K5" t="s">
        <v>88</v>
      </c>
      <c r="L5" s="1">
        <v>40466</v>
      </c>
      <c r="M5" t="s">
        <v>89</v>
      </c>
      <c r="N5">
        <v>2.93179355276955</v>
      </c>
      <c r="O5" t="s">
        <v>85</v>
      </c>
      <c r="P5" t="s">
        <v>41</v>
      </c>
      <c r="Q5">
        <v>3000</v>
      </c>
      <c r="R5">
        <v>2.5000000000000001E-2</v>
      </c>
      <c r="S5" t="s">
        <v>42</v>
      </c>
      <c r="T5" t="s">
        <v>42</v>
      </c>
      <c r="U5" t="s">
        <v>43</v>
      </c>
      <c r="V5" t="s">
        <v>44</v>
      </c>
      <c r="W5">
        <v>3</v>
      </c>
      <c r="X5">
        <v>2</v>
      </c>
      <c r="Y5" t="s">
        <v>45</v>
      </c>
      <c r="Z5" t="s">
        <v>42</v>
      </c>
      <c r="AA5" t="s">
        <v>42</v>
      </c>
      <c r="AB5" t="s">
        <v>46</v>
      </c>
      <c r="AC5" t="s">
        <v>47</v>
      </c>
      <c r="AD5" t="s">
        <v>48</v>
      </c>
      <c r="AE5" t="s">
        <v>49</v>
      </c>
      <c r="AF5" t="s">
        <v>50</v>
      </c>
      <c r="AG5" t="s">
        <v>51</v>
      </c>
      <c r="AH5" t="s">
        <v>52</v>
      </c>
      <c r="AI5" t="s">
        <v>53</v>
      </c>
      <c r="AJ5" t="b">
        <v>0</v>
      </c>
      <c r="AK5" t="b">
        <v>0</v>
      </c>
      <c r="AL5" t="s">
        <v>42</v>
      </c>
      <c r="AM5" t="s">
        <v>42</v>
      </c>
      <c r="AN5" t="s">
        <v>42</v>
      </c>
      <c r="AO5" t="s">
        <v>42</v>
      </c>
      <c r="AP5" t="s">
        <v>42</v>
      </c>
      <c r="AQ5" t="s">
        <v>42</v>
      </c>
      <c r="AR5" t="s">
        <v>54</v>
      </c>
      <c r="AS5">
        <v>20000</v>
      </c>
      <c r="AT5">
        <v>2000</v>
      </c>
      <c r="AU5">
        <v>1234</v>
      </c>
      <c r="AV5" t="b">
        <v>1</v>
      </c>
      <c r="AW5" t="b">
        <v>0</v>
      </c>
      <c r="AX5" t="b">
        <v>1</v>
      </c>
      <c r="AY5" t="b">
        <v>1</v>
      </c>
      <c r="AZ5" t="s">
        <v>42</v>
      </c>
      <c r="BA5">
        <f>INDEX(Inp_CER_Bin_2eps3arms!$AN$2:$AN$176,MATCH(Table1[[#This Row],[ModelID]],Inp_CER_Bin_2eps3arms!$A$2:$A$176,0))</f>
        <v>0</v>
      </c>
      <c r="BB5" t="s">
        <v>42</v>
      </c>
      <c r="BC5" t="s">
        <v>618</v>
      </c>
      <c r="BD5" t="s">
        <v>628</v>
      </c>
      <c r="BE5" s="10">
        <f>Table1[[#This Row],[Global.Power]]</f>
        <v>2.4870175000000001E-2</v>
      </c>
      <c r="BF5" s="10">
        <f>Table1[[#This Row],[Conjunctive.Power]]</f>
        <v>0</v>
      </c>
      <c r="BG5" s="10">
        <f>Table1[[#This Row],[Disjunctive.Power]]</f>
        <v>0</v>
      </c>
      <c r="BH5" s="10">
        <f>Table1[[#This Row],[FWER]]</f>
        <v>2.4870175000000001E-2</v>
      </c>
      <c r="BI5" s="10">
        <f>_xlfn.NUMBERVALUE(MID(Table1[[#This Row],[CI_95perc_Global.Power]],2,FIND(",",Table1[[#This Row],[CI_95perc_Global.Power]])-2))</f>
        <v>2.3959999999999999E-2</v>
      </c>
      <c r="BJ5" s="10">
        <f>_xlfn.NUMBERVALUE(MID(Table1[[#This Row],[CI_95perc_Global.Power]],FIND(",",Table1[[#This Row],[CI_95perc_Global.Power]])+1,LEN(Table1[[#This Row],[CI_95perc_Global.Power]])-FIND(",",Table1[[#This Row],[CI_95perc_Global.Power]])-1))</f>
        <v>2.5780000000000001E-2</v>
      </c>
      <c r="BK5" s="10">
        <f>_xlfn.NUMBERVALUE(MID(Table1[[#This Row],[CI_95perc_Conjunctive.Power]],2,FIND(",",Table1[[#This Row],[CI_95perc_Conjunctive.Power]])-2))</f>
        <v>0</v>
      </c>
      <c r="BL5" s="10">
        <f>_xlfn.NUMBERVALUE(MID(Table1[[#This Row],[CI_95perc_Conjunctive.Power]],FIND(",",Table1[[#This Row],[CI_95perc_Conjunctive.Power]])+1,LEN(Table1[[#This Row],[CI_95perc_Conjunctive.Power]])-FIND(",",Table1[[#This Row],[CI_95perc_Conjunctive.Power]])-1))</f>
        <v>0</v>
      </c>
      <c r="BM5" s="10">
        <f>_xlfn.NUMBERVALUE(MID(Table1[[#This Row],[CI_95perc_Disjunctive.Power]],2,FIND(",",Table1[[#This Row],[CI_95perc_Disjunctive.Power]])-2))</f>
        <v>0</v>
      </c>
      <c r="BN5" s="10">
        <f>_xlfn.NUMBERVALUE(MID(Table1[[#This Row],[CI_95perc_Disjunctive.Power]],FIND(",",Table1[[#This Row],[CI_95perc_Disjunctive.Power]])+1,LEN(Table1[[#This Row],[CI_95perc_Disjunctive.Power]])-FIND(",",Table1[[#This Row],[CI_95perc_Disjunctive.Power]])-1))</f>
        <v>0</v>
      </c>
      <c r="BO5" s="10">
        <f>_xlfn.NUMBERVALUE(MID(Table1[[#This Row],[CI_95perc_FWER]],2,FIND(",",Table1[[#This Row],[CI_95perc_FWER]])-2))</f>
        <v>2.3959999999999999E-2</v>
      </c>
      <c r="BP5" s="10">
        <f>_xlfn.NUMBERVALUE(MID(Table1[[#This Row],[CI_95perc_FWER]],FIND(",",Table1[[#This Row],[CI_95perc_FWER]])+1,LEN(Table1[[#This Row],[CI_95perc_FWER]])-FIND(",",Table1[[#This Row],[CI_95perc_FWER]])-1))</f>
        <v>2.5780000000000001E-2</v>
      </c>
      <c r="BQ5" s="10" t="str">
        <f>_xlfn.CONCAT("(",TEXT(Table1[[#This Row],[LCL_Disj.Pow%]],"0.00%"), ", ",TEXT(Table1[[#This Row],[UCL_Disj.Pow%]],"0.00%"),")")</f>
        <v>(0.00%, 0.00%)</v>
      </c>
      <c r="BR5" s="10" t="str">
        <f>_xlfn.CONCAT("(",TEXT(Table1[[#This Row],[LCL_Conj.Pow%]],"0.00%"),", ",TEXT(Table1[[#This Row],[UCL_Conj.Pow%]],"0.00%"),")")</f>
        <v>(0.00%, 0.00%)</v>
      </c>
      <c r="BS5" s="10" t="str">
        <f>_xlfn.CONCAT("(",TEXT(Table1[[#This Row],[LCL_FWER%]],"0.00%"),", ",TEXT(Table1[[#This Row],[UCL_FWER%]],"0.00%"),")")</f>
        <v>(2.40%, 2.58%)</v>
      </c>
    </row>
    <row r="6" spans="1:71" x14ac:dyDescent="0.25">
      <c r="A6">
        <v>4</v>
      </c>
      <c r="B6" t="s">
        <v>595</v>
      </c>
      <c r="C6">
        <v>1234</v>
      </c>
      <c r="D6">
        <v>2.444845E-2</v>
      </c>
      <c r="E6">
        <v>0</v>
      </c>
      <c r="F6">
        <v>0</v>
      </c>
      <c r="G6">
        <v>2.444845E-2</v>
      </c>
      <c r="H6" t="s">
        <v>90</v>
      </c>
      <c r="I6" t="s">
        <v>83</v>
      </c>
      <c r="J6" t="s">
        <v>83</v>
      </c>
      <c r="K6" t="s">
        <v>90</v>
      </c>
      <c r="L6" s="1">
        <v>31486</v>
      </c>
      <c r="M6" t="s">
        <v>91</v>
      </c>
      <c r="N6">
        <v>3.3871572969357202</v>
      </c>
      <c r="O6" t="s">
        <v>85</v>
      </c>
      <c r="P6" t="s">
        <v>41</v>
      </c>
      <c r="Q6">
        <v>5000</v>
      </c>
      <c r="R6">
        <v>2.5000000000000001E-2</v>
      </c>
      <c r="S6" t="s">
        <v>42</v>
      </c>
      <c r="T6" t="s">
        <v>42</v>
      </c>
      <c r="U6" t="s">
        <v>43</v>
      </c>
      <c r="V6" t="s">
        <v>44</v>
      </c>
      <c r="W6">
        <v>3</v>
      </c>
      <c r="X6">
        <v>2</v>
      </c>
      <c r="Y6" t="s">
        <v>45</v>
      </c>
      <c r="Z6" t="s">
        <v>42</v>
      </c>
      <c r="AA6" t="s">
        <v>42</v>
      </c>
      <c r="AB6" t="s">
        <v>46</v>
      </c>
      <c r="AC6" t="s">
        <v>47</v>
      </c>
      <c r="AD6" t="s">
        <v>48</v>
      </c>
      <c r="AE6" t="s">
        <v>49</v>
      </c>
      <c r="AF6" t="s">
        <v>50</v>
      </c>
      <c r="AG6" t="s">
        <v>51</v>
      </c>
      <c r="AH6" t="s">
        <v>52</v>
      </c>
      <c r="AI6" t="s">
        <v>53</v>
      </c>
      <c r="AJ6" t="b">
        <v>0</v>
      </c>
      <c r="AK6" t="b">
        <v>0</v>
      </c>
      <c r="AL6" t="s">
        <v>42</v>
      </c>
      <c r="AM6" t="s">
        <v>42</v>
      </c>
      <c r="AN6" t="s">
        <v>42</v>
      </c>
      <c r="AO6" t="s">
        <v>42</v>
      </c>
      <c r="AP6" t="s">
        <v>42</v>
      </c>
      <c r="AQ6" t="s">
        <v>42</v>
      </c>
      <c r="AR6" t="s">
        <v>54</v>
      </c>
      <c r="AS6">
        <v>20000</v>
      </c>
      <c r="AT6">
        <v>2000</v>
      </c>
      <c r="AU6">
        <v>1234</v>
      </c>
      <c r="AV6" t="b">
        <v>1</v>
      </c>
      <c r="AW6" t="b">
        <v>0</v>
      </c>
      <c r="AX6" t="b">
        <v>1</v>
      </c>
      <c r="AY6" t="b">
        <v>1</v>
      </c>
      <c r="AZ6" t="s">
        <v>42</v>
      </c>
      <c r="BA6">
        <f>INDEX(Inp_CER_Bin_2eps3arms!$AN$2:$AN$176,MATCH(Table1[[#This Row],[ModelID]],Inp_CER_Bin_2eps3arms!$A$2:$A$176,0))</f>
        <v>0</v>
      </c>
      <c r="BB6" t="s">
        <v>42</v>
      </c>
      <c r="BC6" t="s">
        <v>618</v>
      </c>
      <c r="BD6" t="s">
        <v>628</v>
      </c>
      <c r="BE6" s="10">
        <f>Table1[[#This Row],[Global.Power]]</f>
        <v>2.444845E-2</v>
      </c>
      <c r="BF6" s="10">
        <f>Table1[[#This Row],[Conjunctive.Power]]</f>
        <v>0</v>
      </c>
      <c r="BG6" s="10">
        <f>Table1[[#This Row],[Disjunctive.Power]]</f>
        <v>0</v>
      </c>
      <c r="BH6" s="10">
        <f>Table1[[#This Row],[FWER]]</f>
        <v>2.444845E-2</v>
      </c>
      <c r="BI6" s="10">
        <f>_xlfn.NUMBERVALUE(MID(Table1[[#This Row],[CI_95perc_Global.Power]],2,FIND(",",Table1[[#This Row],[CI_95perc_Global.Power]])-2))</f>
        <v>2.359E-2</v>
      </c>
      <c r="BJ6" s="10">
        <f>_xlfn.NUMBERVALUE(MID(Table1[[#This Row],[CI_95perc_Global.Power]],FIND(",",Table1[[#This Row],[CI_95perc_Global.Power]])+1,LEN(Table1[[#This Row],[CI_95perc_Global.Power]])-FIND(",",Table1[[#This Row],[CI_95perc_Global.Power]])-1))</f>
        <v>2.5309999999999999E-2</v>
      </c>
      <c r="BK6" s="10">
        <f>_xlfn.NUMBERVALUE(MID(Table1[[#This Row],[CI_95perc_Conjunctive.Power]],2,FIND(",",Table1[[#This Row],[CI_95perc_Conjunctive.Power]])-2))</f>
        <v>0</v>
      </c>
      <c r="BL6" s="10">
        <f>_xlfn.NUMBERVALUE(MID(Table1[[#This Row],[CI_95perc_Conjunctive.Power]],FIND(",",Table1[[#This Row],[CI_95perc_Conjunctive.Power]])+1,LEN(Table1[[#This Row],[CI_95perc_Conjunctive.Power]])-FIND(",",Table1[[#This Row],[CI_95perc_Conjunctive.Power]])-1))</f>
        <v>0</v>
      </c>
      <c r="BM6" s="10">
        <f>_xlfn.NUMBERVALUE(MID(Table1[[#This Row],[CI_95perc_Disjunctive.Power]],2,FIND(",",Table1[[#This Row],[CI_95perc_Disjunctive.Power]])-2))</f>
        <v>0</v>
      </c>
      <c r="BN6" s="10">
        <f>_xlfn.NUMBERVALUE(MID(Table1[[#This Row],[CI_95perc_Disjunctive.Power]],FIND(",",Table1[[#This Row],[CI_95perc_Disjunctive.Power]])+1,LEN(Table1[[#This Row],[CI_95perc_Disjunctive.Power]])-FIND(",",Table1[[#This Row],[CI_95perc_Disjunctive.Power]])-1))</f>
        <v>0</v>
      </c>
      <c r="BO6" s="10">
        <f>_xlfn.NUMBERVALUE(MID(Table1[[#This Row],[CI_95perc_FWER]],2,FIND(",",Table1[[#This Row],[CI_95perc_FWER]])-2))</f>
        <v>2.359E-2</v>
      </c>
      <c r="BP6" s="10">
        <f>_xlfn.NUMBERVALUE(MID(Table1[[#This Row],[CI_95perc_FWER]],FIND(",",Table1[[#This Row],[CI_95perc_FWER]])+1,LEN(Table1[[#This Row],[CI_95perc_FWER]])-FIND(",",Table1[[#This Row],[CI_95perc_FWER]])-1))</f>
        <v>2.5309999999999999E-2</v>
      </c>
      <c r="BQ6" s="10" t="str">
        <f>_xlfn.CONCAT("(",TEXT(Table1[[#This Row],[LCL_Disj.Pow%]],"0.00%"), ", ",TEXT(Table1[[#This Row],[UCL_Disj.Pow%]],"0.00%"),")")</f>
        <v>(0.00%, 0.00%)</v>
      </c>
      <c r="BR6" s="10" t="str">
        <f>_xlfn.CONCAT("(",TEXT(Table1[[#This Row],[LCL_Conj.Pow%]],"0.00%"),", ",TEXT(Table1[[#This Row],[UCL_Conj.Pow%]],"0.00%"),")")</f>
        <v>(0.00%, 0.00%)</v>
      </c>
      <c r="BS6" s="10" t="str">
        <f>_xlfn.CONCAT("(",TEXT(Table1[[#This Row],[LCL_FWER%]],"0.00%"),", ",TEXT(Table1[[#This Row],[UCL_FWER%]],"0.00%"),")")</f>
        <v>(2.36%, 2.53%)</v>
      </c>
    </row>
    <row r="7" spans="1:71" x14ac:dyDescent="0.25">
      <c r="A7">
        <v>5</v>
      </c>
      <c r="B7" t="s">
        <v>55</v>
      </c>
      <c r="C7">
        <v>745664</v>
      </c>
      <c r="D7">
        <v>1.9063900000000002E-2</v>
      </c>
      <c r="E7">
        <v>0</v>
      </c>
      <c r="F7">
        <v>0</v>
      </c>
      <c r="G7">
        <v>1.9063900000000002E-2</v>
      </c>
      <c r="H7" t="s">
        <v>92</v>
      </c>
      <c r="I7" t="s">
        <v>83</v>
      </c>
      <c r="J7" t="s">
        <v>83</v>
      </c>
      <c r="K7" t="s">
        <v>92</v>
      </c>
      <c r="L7" s="1">
        <v>32317</v>
      </c>
      <c r="M7" t="s">
        <v>93</v>
      </c>
      <c r="N7">
        <v>0.840978054735396</v>
      </c>
      <c r="O7" t="s">
        <v>85</v>
      </c>
      <c r="P7" t="s">
        <v>41</v>
      </c>
      <c r="Q7">
        <v>600</v>
      </c>
      <c r="R7">
        <v>2.5000000000000001E-2</v>
      </c>
      <c r="S7" t="s">
        <v>42</v>
      </c>
      <c r="T7" t="s">
        <v>42</v>
      </c>
      <c r="U7" t="s">
        <v>43</v>
      </c>
      <c r="V7" t="s">
        <v>44</v>
      </c>
      <c r="W7">
        <v>3</v>
      </c>
      <c r="X7">
        <v>2</v>
      </c>
      <c r="Y7" t="s">
        <v>45</v>
      </c>
      <c r="Z7" t="s">
        <v>42</v>
      </c>
      <c r="AA7" t="s">
        <v>42</v>
      </c>
      <c r="AB7" t="s">
        <v>46</v>
      </c>
      <c r="AC7" t="s">
        <v>47</v>
      </c>
      <c r="AD7" t="s">
        <v>48</v>
      </c>
      <c r="AE7" t="s">
        <v>49</v>
      </c>
      <c r="AF7" t="s">
        <v>50</v>
      </c>
      <c r="AG7" t="s">
        <v>51</v>
      </c>
      <c r="AH7" t="s">
        <v>52</v>
      </c>
      <c r="AI7" t="s">
        <v>53</v>
      </c>
      <c r="AJ7" t="b">
        <v>0</v>
      </c>
      <c r="AK7" t="b">
        <v>1</v>
      </c>
      <c r="AL7">
        <v>1</v>
      </c>
      <c r="AM7">
        <v>1</v>
      </c>
      <c r="AN7" t="s">
        <v>56</v>
      </c>
      <c r="AO7" t="s">
        <v>57</v>
      </c>
      <c r="AP7">
        <v>0.25</v>
      </c>
      <c r="AQ7" t="b">
        <v>1</v>
      </c>
      <c r="AR7" t="s">
        <v>23</v>
      </c>
      <c r="AS7">
        <v>20000</v>
      </c>
      <c r="AT7">
        <v>2000</v>
      </c>
      <c r="AU7">
        <v>745664</v>
      </c>
      <c r="AV7" t="b">
        <v>1</v>
      </c>
      <c r="AW7" t="b">
        <v>0</v>
      </c>
      <c r="AX7" t="b">
        <v>1</v>
      </c>
      <c r="AY7" t="b">
        <v>1</v>
      </c>
      <c r="AZ7" t="s">
        <v>42</v>
      </c>
      <c r="BA7">
        <f>INDEX(Inp_CER_Bin_2eps3arms!$AN$2:$AN$176,MATCH(Table1[[#This Row],[ModelID]],Inp_CER_Bin_2eps3arms!$A$2:$A$176,0))</f>
        <v>0</v>
      </c>
      <c r="BB7" t="s">
        <v>42</v>
      </c>
      <c r="BC7" t="s">
        <v>621</v>
      </c>
      <c r="BD7" t="s">
        <v>628</v>
      </c>
      <c r="BE7" s="10">
        <f>Table1[[#This Row],[Global.Power]]</f>
        <v>1.9063900000000002E-2</v>
      </c>
      <c r="BF7" s="10">
        <f>Table1[[#This Row],[Conjunctive.Power]]</f>
        <v>0</v>
      </c>
      <c r="BG7" s="10">
        <f>Table1[[#This Row],[Disjunctive.Power]]</f>
        <v>0</v>
      </c>
      <c r="BH7" s="10">
        <f>Table1[[#This Row],[FWER]]</f>
        <v>1.9063900000000002E-2</v>
      </c>
      <c r="BI7" s="10">
        <f>_xlfn.NUMBERVALUE(MID(Table1[[#This Row],[CI_95perc_Global.Power]],2,FIND(",",Table1[[#This Row],[CI_95perc_Global.Power]])-2))</f>
        <v>1.822E-2</v>
      </c>
      <c r="BJ7" s="10">
        <f>_xlfn.NUMBERVALUE(MID(Table1[[#This Row],[CI_95perc_Global.Power]],FIND(",",Table1[[#This Row],[CI_95perc_Global.Power]])+1,LEN(Table1[[#This Row],[CI_95perc_Global.Power]])-FIND(",",Table1[[#This Row],[CI_95perc_Global.Power]])-1))</f>
        <v>1.9910000000000001E-2</v>
      </c>
      <c r="BK7" s="10">
        <f>_xlfn.NUMBERVALUE(MID(Table1[[#This Row],[CI_95perc_Conjunctive.Power]],2,FIND(",",Table1[[#This Row],[CI_95perc_Conjunctive.Power]])-2))</f>
        <v>0</v>
      </c>
      <c r="BL7" s="10">
        <f>_xlfn.NUMBERVALUE(MID(Table1[[#This Row],[CI_95perc_Conjunctive.Power]],FIND(",",Table1[[#This Row],[CI_95perc_Conjunctive.Power]])+1,LEN(Table1[[#This Row],[CI_95perc_Conjunctive.Power]])-FIND(",",Table1[[#This Row],[CI_95perc_Conjunctive.Power]])-1))</f>
        <v>0</v>
      </c>
      <c r="BM7" s="10">
        <f>_xlfn.NUMBERVALUE(MID(Table1[[#This Row],[CI_95perc_Disjunctive.Power]],2,FIND(",",Table1[[#This Row],[CI_95perc_Disjunctive.Power]])-2))</f>
        <v>0</v>
      </c>
      <c r="BN7" s="10">
        <f>_xlfn.NUMBERVALUE(MID(Table1[[#This Row],[CI_95perc_Disjunctive.Power]],FIND(",",Table1[[#This Row],[CI_95perc_Disjunctive.Power]])+1,LEN(Table1[[#This Row],[CI_95perc_Disjunctive.Power]])-FIND(",",Table1[[#This Row],[CI_95perc_Disjunctive.Power]])-1))</f>
        <v>0</v>
      </c>
      <c r="BO7" s="10">
        <f>_xlfn.NUMBERVALUE(MID(Table1[[#This Row],[CI_95perc_FWER]],2,FIND(",",Table1[[#This Row],[CI_95perc_FWER]])-2))</f>
        <v>1.822E-2</v>
      </c>
      <c r="BP7" s="10">
        <f>_xlfn.NUMBERVALUE(MID(Table1[[#This Row],[CI_95perc_FWER]],FIND(",",Table1[[#This Row],[CI_95perc_FWER]])+1,LEN(Table1[[#This Row],[CI_95perc_FWER]])-FIND(",",Table1[[#This Row],[CI_95perc_FWER]])-1))</f>
        <v>1.9910000000000001E-2</v>
      </c>
      <c r="BQ7" s="10" t="str">
        <f>_xlfn.CONCAT("(",TEXT(Table1[[#This Row],[LCL_Disj.Pow%]],"0.00%"), ", ",TEXT(Table1[[#This Row],[UCL_Disj.Pow%]],"0.00%"),")")</f>
        <v>(0.00%, 0.00%)</v>
      </c>
      <c r="BR7" s="10" t="str">
        <f>_xlfn.CONCAT("(",TEXT(Table1[[#This Row],[LCL_Conj.Pow%]],"0.00%"),", ",TEXT(Table1[[#This Row],[UCL_Conj.Pow%]],"0.00%"),")")</f>
        <v>(0.00%, 0.00%)</v>
      </c>
      <c r="BS7" s="10" t="str">
        <f>_xlfn.CONCAT("(",TEXT(Table1[[#This Row],[LCL_FWER%]],"0.00%"),", ",TEXT(Table1[[#This Row],[UCL_FWER%]],"0.00%"),")")</f>
        <v>(1.82%, 1.99%)</v>
      </c>
    </row>
    <row r="8" spans="1:71" x14ac:dyDescent="0.25">
      <c r="A8">
        <v>6</v>
      </c>
      <c r="B8" t="s">
        <v>58</v>
      </c>
      <c r="C8">
        <v>745664</v>
      </c>
      <c r="D8">
        <v>1.90221E-2</v>
      </c>
      <c r="E8">
        <v>0</v>
      </c>
      <c r="F8">
        <v>0</v>
      </c>
      <c r="G8">
        <v>1.90221E-2</v>
      </c>
      <c r="H8" t="s">
        <v>94</v>
      </c>
      <c r="I8" t="s">
        <v>83</v>
      </c>
      <c r="J8" t="s">
        <v>83</v>
      </c>
      <c r="K8" t="s">
        <v>94</v>
      </c>
      <c r="L8" s="1">
        <v>29305</v>
      </c>
      <c r="M8" t="s">
        <v>95</v>
      </c>
      <c r="N8">
        <v>0.95829178141223104</v>
      </c>
      <c r="O8" t="s">
        <v>85</v>
      </c>
      <c r="P8" t="s">
        <v>41</v>
      </c>
      <c r="Q8">
        <v>2000</v>
      </c>
      <c r="R8">
        <v>2.5000000000000001E-2</v>
      </c>
      <c r="S8" t="s">
        <v>42</v>
      </c>
      <c r="T8" t="s">
        <v>42</v>
      </c>
      <c r="U8" t="s">
        <v>43</v>
      </c>
      <c r="V8" t="s">
        <v>44</v>
      </c>
      <c r="W8">
        <v>3</v>
      </c>
      <c r="X8">
        <v>2</v>
      </c>
      <c r="Y8" t="s">
        <v>45</v>
      </c>
      <c r="Z8" t="s">
        <v>42</v>
      </c>
      <c r="AA8" t="s">
        <v>42</v>
      </c>
      <c r="AB8" t="s">
        <v>46</v>
      </c>
      <c r="AC8" t="s">
        <v>47</v>
      </c>
      <c r="AD8" t="s">
        <v>48</v>
      </c>
      <c r="AE8" t="s">
        <v>49</v>
      </c>
      <c r="AF8" t="s">
        <v>50</v>
      </c>
      <c r="AG8" t="s">
        <v>51</v>
      </c>
      <c r="AH8" t="s">
        <v>52</v>
      </c>
      <c r="AI8" t="s">
        <v>53</v>
      </c>
      <c r="AJ8" t="b">
        <v>0</v>
      </c>
      <c r="AK8" t="b">
        <v>1</v>
      </c>
      <c r="AL8">
        <v>1</v>
      </c>
      <c r="AM8">
        <v>1</v>
      </c>
      <c r="AN8" t="s">
        <v>56</v>
      </c>
      <c r="AO8" t="s">
        <v>57</v>
      </c>
      <c r="AP8">
        <v>0.25</v>
      </c>
      <c r="AQ8" t="b">
        <v>1</v>
      </c>
      <c r="AR8" t="s">
        <v>23</v>
      </c>
      <c r="AS8">
        <v>20000</v>
      </c>
      <c r="AT8">
        <v>2000</v>
      </c>
      <c r="AU8">
        <v>745664</v>
      </c>
      <c r="AV8" t="b">
        <v>1</v>
      </c>
      <c r="AW8" t="b">
        <v>0</v>
      </c>
      <c r="AX8" t="b">
        <v>1</v>
      </c>
      <c r="AY8" t="b">
        <v>1</v>
      </c>
      <c r="AZ8" t="s">
        <v>42</v>
      </c>
      <c r="BA8">
        <f>INDEX(Inp_CER_Bin_2eps3arms!$AN$2:$AN$176,MATCH(Table1[[#This Row],[ModelID]],Inp_CER_Bin_2eps3arms!$A$2:$A$176,0))</f>
        <v>0</v>
      </c>
      <c r="BB8" t="s">
        <v>42</v>
      </c>
      <c r="BC8" t="s">
        <v>621</v>
      </c>
      <c r="BD8" t="s">
        <v>628</v>
      </c>
      <c r="BE8" s="10">
        <f>Table1[[#This Row],[Global.Power]]</f>
        <v>1.90221E-2</v>
      </c>
      <c r="BF8" s="10">
        <f>Table1[[#This Row],[Conjunctive.Power]]</f>
        <v>0</v>
      </c>
      <c r="BG8" s="10">
        <f>Table1[[#This Row],[Disjunctive.Power]]</f>
        <v>0</v>
      </c>
      <c r="BH8" s="10">
        <f>Table1[[#This Row],[FWER]]</f>
        <v>1.90221E-2</v>
      </c>
      <c r="BI8" s="10">
        <f>_xlfn.NUMBERVALUE(MID(Table1[[#This Row],[CI_95perc_Global.Power]],2,FIND(",",Table1[[#This Row],[CI_95perc_Global.Power]])-2))</f>
        <v>1.8190000000000001E-2</v>
      </c>
      <c r="BJ8" s="10">
        <f>_xlfn.NUMBERVALUE(MID(Table1[[#This Row],[CI_95perc_Global.Power]],FIND(",",Table1[[#This Row],[CI_95perc_Global.Power]])+1,LEN(Table1[[#This Row],[CI_95perc_Global.Power]])-FIND(",",Table1[[#This Row],[CI_95perc_Global.Power]])-1))</f>
        <v>1.985E-2</v>
      </c>
      <c r="BK8" s="10">
        <f>_xlfn.NUMBERVALUE(MID(Table1[[#This Row],[CI_95perc_Conjunctive.Power]],2,FIND(",",Table1[[#This Row],[CI_95perc_Conjunctive.Power]])-2))</f>
        <v>0</v>
      </c>
      <c r="BL8" s="10">
        <f>_xlfn.NUMBERVALUE(MID(Table1[[#This Row],[CI_95perc_Conjunctive.Power]],FIND(",",Table1[[#This Row],[CI_95perc_Conjunctive.Power]])+1,LEN(Table1[[#This Row],[CI_95perc_Conjunctive.Power]])-FIND(",",Table1[[#This Row],[CI_95perc_Conjunctive.Power]])-1))</f>
        <v>0</v>
      </c>
      <c r="BM8" s="10">
        <f>_xlfn.NUMBERVALUE(MID(Table1[[#This Row],[CI_95perc_Disjunctive.Power]],2,FIND(",",Table1[[#This Row],[CI_95perc_Disjunctive.Power]])-2))</f>
        <v>0</v>
      </c>
      <c r="BN8" s="10">
        <f>_xlfn.NUMBERVALUE(MID(Table1[[#This Row],[CI_95perc_Disjunctive.Power]],FIND(",",Table1[[#This Row],[CI_95perc_Disjunctive.Power]])+1,LEN(Table1[[#This Row],[CI_95perc_Disjunctive.Power]])-FIND(",",Table1[[#This Row],[CI_95perc_Disjunctive.Power]])-1))</f>
        <v>0</v>
      </c>
      <c r="BO8" s="10">
        <f>_xlfn.NUMBERVALUE(MID(Table1[[#This Row],[CI_95perc_FWER]],2,FIND(",",Table1[[#This Row],[CI_95perc_FWER]])-2))</f>
        <v>1.8190000000000001E-2</v>
      </c>
      <c r="BP8" s="10">
        <f>_xlfn.NUMBERVALUE(MID(Table1[[#This Row],[CI_95perc_FWER]],FIND(",",Table1[[#This Row],[CI_95perc_FWER]])+1,LEN(Table1[[#This Row],[CI_95perc_FWER]])-FIND(",",Table1[[#This Row],[CI_95perc_FWER]])-1))</f>
        <v>1.985E-2</v>
      </c>
      <c r="BQ8" s="10" t="str">
        <f>_xlfn.CONCAT("(",TEXT(Table1[[#This Row],[LCL_Disj.Pow%]],"0.00%"), ", ",TEXT(Table1[[#This Row],[UCL_Disj.Pow%]],"0.00%"),")")</f>
        <v>(0.00%, 0.00%)</v>
      </c>
      <c r="BR8" s="10" t="str">
        <f>_xlfn.CONCAT("(",TEXT(Table1[[#This Row],[LCL_Conj.Pow%]],"0.00%"),", ",TEXT(Table1[[#This Row],[UCL_Conj.Pow%]],"0.00%"),")")</f>
        <v>(0.00%, 0.00%)</v>
      </c>
      <c r="BS8" s="10" t="str">
        <f>_xlfn.CONCAT("(",TEXT(Table1[[#This Row],[LCL_FWER%]],"0.00%"),", ",TEXT(Table1[[#This Row],[UCL_FWER%]],"0.00%"),")")</f>
        <v>(1.82%, 1.99%)</v>
      </c>
    </row>
    <row r="9" spans="1:71" x14ac:dyDescent="0.25">
      <c r="A9">
        <v>7</v>
      </c>
      <c r="B9" t="s">
        <v>59</v>
      </c>
      <c r="C9">
        <v>745664</v>
      </c>
      <c r="D9">
        <v>2.2085E-2</v>
      </c>
      <c r="E9">
        <v>0</v>
      </c>
      <c r="F9">
        <v>0</v>
      </c>
      <c r="G9">
        <v>2.2085E-2</v>
      </c>
      <c r="H9" t="s">
        <v>96</v>
      </c>
      <c r="I9" t="s">
        <v>83</v>
      </c>
      <c r="J9" t="s">
        <v>83</v>
      </c>
      <c r="K9" t="s">
        <v>96</v>
      </c>
      <c r="L9" s="1">
        <v>32376</v>
      </c>
      <c r="M9" t="s">
        <v>97</v>
      </c>
      <c r="N9">
        <v>1.920053735839</v>
      </c>
      <c r="O9" t="s">
        <v>85</v>
      </c>
      <c r="P9" t="s">
        <v>41</v>
      </c>
      <c r="Q9">
        <v>600</v>
      </c>
      <c r="R9">
        <v>2.5000000000000001E-2</v>
      </c>
      <c r="S9" t="s">
        <v>42</v>
      </c>
      <c r="T9" t="s">
        <v>42</v>
      </c>
      <c r="U9" t="s">
        <v>43</v>
      </c>
      <c r="V9" t="s">
        <v>44</v>
      </c>
      <c r="W9">
        <v>3</v>
      </c>
      <c r="X9">
        <v>2</v>
      </c>
      <c r="Y9" t="s">
        <v>45</v>
      </c>
      <c r="Z9" t="s">
        <v>42</v>
      </c>
      <c r="AA9" t="s">
        <v>42</v>
      </c>
      <c r="AB9" t="s">
        <v>46</v>
      </c>
      <c r="AC9" t="s">
        <v>47</v>
      </c>
      <c r="AD9" t="s">
        <v>48</v>
      </c>
      <c r="AE9" t="s">
        <v>49</v>
      </c>
      <c r="AF9" t="s">
        <v>50</v>
      </c>
      <c r="AG9" t="s">
        <v>51</v>
      </c>
      <c r="AH9" t="s">
        <v>52</v>
      </c>
      <c r="AI9" t="s">
        <v>53</v>
      </c>
      <c r="AJ9" t="b">
        <v>0</v>
      </c>
      <c r="AK9" t="b">
        <v>1</v>
      </c>
      <c r="AL9">
        <v>1</v>
      </c>
      <c r="AM9">
        <v>1</v>
      </c>
      <c r="AN9" t="s">
        <v>56</v>
      </c>
      <c r="AO9" t="s">
        <v>60</v>
      </c>
      <c r="AP9">
        <v>1</v>
      </c>
      <c r="AQ9" t="b">
        <v>1</v>
      </c>
      <c r="AR9" t="s">
        <v>23</v>
      </c>
      <c r="AS9">
        <v>20000</v>
      </c>
      <c r="AT9">
        <v>2000</v>
      </c>
      <c r="AU9">
        <v>745664</v>
      </c>
      <c r="AV9" t="b">
        <v>1</v>
      </c>
      <c r="AW9" t="b">
        <v>0</v>
      </c>
      <c r="AX9" t="b">
        <v>1</v>
      </c>
      <c r="AY9" t="b">
        <v>1</v>
      </c>
      <c r="AZ9" t="s">
        <v>42</v>
      </c>
      <c r="BA9">
        <f>INDEX(Inp_CER_Bin_2eps3arms!$AN$2:$AN$176,MATCH(Table1[[#This Row],[ModelID]],Inp_CER_Bin_2eps3arms!$A$2:$A$176,0))</f>
        <v>0</v>
      </c>
      <c r="BB9" t="s">
        <v>42</v>
      </c>
      <c r="BC9" t="s">
        <v>620</v>
      </c>
      <c r="BD9" t="s">
        <v>628</v>
      </c>
      <c r="BE9" s="10">
        <f>Table1[[#This Row],[Global.Power]]</f>
        <v>2.2085E-2</v>
      </c>
      <c r="BF9" s="10">
        <f>Table1[[#This Row],[Conjunctive.Power]]</f>
        <v>0</v>
      </c>
      <c r="BG9" s="10">
        <f>Table1[[#This Row],[Disjunctive.Power]]</f>
        <v>0</v>
      </c>
      <c r="BH9" s="10">
        <f>Table1[[#This Row],[FWER]]</f>
        <v>2.2085E-2</v>
      </c>
      <c r="BI9" s="10">
        <f>_xlfn.NUMBERVALUE(MID(Table1[[#This Row],[CI_95perc_Global.Power]],2,FIND(",",Table1[[#This Row],[CI_95perc_Global.Power]])-2))</f>
        <v>2.1250000000000002E-2</v>
      </c>
      <c r="BJ9" s="10">
        <f>_xlfn.NUMBERVALUE(MID(Table1[[#This Row],[CI_95perc_Global.Power]],FIND(",",Table1[[#This Row],[CI_95perc_Global.Power]])+1,LEN(Table1[[#This Row],[CI_95perc_Global.Power]])-FIND(",",Table1[[#This Row],[CI_95perc_Global.Power]])-1))</f>
        <v>2.2919999999999999E-2</v>
      </c>
      <c r="BK9" s="10">
        <f>_xlfn.NUMBERVALUE(MID(Table1[[#This Row],[CI_95perc_Conjunctive.Power]],2,FIND(",",Table1[[#This Row],[CI_95perc_Conjunctive.Power]])-2))</f>
        <v>0</v>
      </c>
      <c r="BL9" s="10">
        <f>_xlfn.NUMBERVALUE(MID(Table1[[#This Row],[CI_95perc_Conjunctive.Power]],FIND(",",Table1[[#This Row],[CI_95perc_Conjunctive.Power]])+1,LEN(Table1[[#This Row],[CI_95perc_Conjunctive.Power]])-FIND(",",Table1[[#This Row],[CI_95perc_Conjunctive.Power]])-1))</f>
        <v>0</v>
      </c>
      <c r="BM9" s="10">
        <f>_xlfn.NUMBERVALUE(MID(Table1[[#This Row],[CI_95perc_Disjunctive.Power]],2,FIND(",",Table1[[#This Row],[CI_95perc_Disjunctive.Power]])-2))</f>
        <v>0</v>
      </c>
      <c r="BN9" s="10">
        <f>_xlfn.NUMBERVALUE(MID(Table1[[#This Row],[CI_95perc_Disjunctive.Power]],FIND(",",Table1[[#This Row],[CI_95perc_Disjunctive.Power]])+1,LEN(Table1[[#This Row],[CI_95perc_Disjunctive.Power]])-FIND(",",Table1[[#This Row],[CI_95perc_Disjunctive.Power]])-1))</f>
        <v>0</v>
      </c>
      <c r="BO9" s="10">
        <f>_xlfn.NUMBERVALUE(MID(Table1[[#This Row],[CI_95perc_FWER]],2,FIND(",",Table1[[#This Row],[CI_95perc_FWER]])-2))</f>
        <v>2.1250000000000002E-2</v>
      </c>
      <c r="BP9" s="10">
        <f>_xlfn.NUMBERVALUE(MID(Table1[[#This Row],[CI_95perc_FWER]],FIND(",",Table1[[#This Row],[CI_95perc_FWER]])+1,LEN(Table1[[#This Row],[CI_95perc_FWER]])-FIND(",",Table1[[#This Row],[CI_95perc_FWER]])-1))</f>
        <v>2.2919999999999999E-2</v>
      </c>
      <c r="BQ9" s="10" t="str">
        <f>_xlfn.CONCAT("(",TEXT(Table1[[#This Row],[LCL_Disj.Pow%]],"0.00%"), ", ",TEXT(Table1[[#This Row],[UCL_Disj.Pow%]],"0.00%"),")")</f>
        <v>(0.00%, 0.00%)</v>
      </c>
      <c r="BR9" s="10" t="str">
        <f>_xlfn.CONCAT("(",TEXT(Table1[[#This Row],[LCL_Conj.Pow%]],"0.00%"),", ",TEXT(Table1[[#This Row],[UCL_Conj.Pow%]],"0.00%"),")")</f>
        <v>(0.00%, 0.00%)</v>
      </c>
      <c r="BS9" s="10" t="str">
        <f>_xlfn.CONCAT("(",TEXT(Table1[[#This Row],[LCL_FWER%]],"0.00%"),", ",TEXT(Table1[[#This Row],[UCL_FWER%]],"0.00%"),")")</f>
        <v>(2.13%, 2.29%)</v>
      </c>
    </row>
    <row r="10" spans="1:71" x14ac:dyDescent="0.25">
      <c r="A10">
        <v>8</v>
      </c>
      <c r="B10" t="s">
        <v>61</v>
      </c>
      <c r="C10">
        <v>745664</v>
      </c>
      <c r="D10">
        <v>2.2102750000000001E-2</v>
      </c>
      <c r="E10">
        <v>0</v>
      </c>
      <c r="F10">
        <v>0</v>
      </c>
      <c r="G10">
        <v>2.2102750000000001E-2</v>
      </c>
      <c r="H10" t="s">
        <v>98</v>
      </c>
      <c r="I10" t="s">
        <v>83</v>
      </c>
      <c r="J10" t="s">
        <v>83</v>
      </c>
      <c r="K10" t="s">
        <v>98</v>
      </c>
      <c r="L10" s="1">
        <v>29374</v>
      </c>
      <c r="M10" t="s">
        <v>99</v>
      </c>
      <c r="N10">
        <v>2.21801739421156</v>
      </c>
      <c r="O10" t="s">
        <v>85</v>
      </c>
      <c r="P10" t="s">
        <v>41</v>
      </c>
      <c r="Q10">
        <v>2000</v>
      </c>
      <c r="R10">
        <v>2.5000000000000001E-2</v>
      </c>
      <c r="S10" t="s">
        <v>42</v>
      </c>
      <c r="T10" t="s">
        <v>42</v>
      </c>
      <c r="U10" t="s">
        <v>43</v>
      </c>
      <c r="V10" t="s">
        <v>44</v>
      </c>
      <c r="W10">
        <v>3</v>
      </c>
      <c r="X10">
        <v>2</v>
      </c>
      <c r="Y10" t="s">
        <v>45</v>
      </c>
      <c r="Z10" t="s">
        <v>42</v>
      </c>
      <c r="AA10" t="s">
        <v>42</v>
      </c>
      <c r="AB10" t="s">
        <v>46</v>
      </c>
      <c r="AC10" t="s">
        <v>47</v>
      </c>
      <c r="AD10" t="s">
        <v>48</v>
      </c>
      <c r="AE10" t="s">
        <v>49</v>
      </c>
      <c r="AF10" t="s">
        <v>50</v>
      </c>
      <c r="AG10" t="s">
        <v>51</v>
      </c>
      <c r="AH10" t="s">
        <v>52</v>
      </c>
      <c r="AI10" t="s">
        <v>53</v>
      </c>
      <c r="AJ10" t="b">
        <v>0</v>
      </c>
      <c r="AK10" t="b">
        <v>1</v>
      </c>
      <c r="AL10">
        <v>1</v>
      </c>
      <c r="AM10">
        <v>1</v>
      </c>
      <c r="AN10" t="s">
        <v>56</v>
      </c>
      <c r="AO10" t="s">
        <v>60</v>
      </c>
      <c r="AP10">
        <v>1</v>
      </c>
      <c r="AQ10" t="b">
        <v>1</v>
      </c>
      <c r="AR10" t="s">
        <v>23</v>
      </c>
      <c r="AS10">
        <v>20000</v>
      </c>
      <c r="AT10">
        <v>2000</v>
      </c>
      <c r="AU10">
        <v>745664</v>
      </c>
      <c r="AV10" t="b">
        <v>1</v>
      </c>
      <c r="AW10" t="b">
        <v>0</v>
      </c>
      <c r="AX10" t="b">
        <v>1</v>
      </c>
      <c r="AY10" t="b">
        <v>1</v>
      </c>
      <c r="AZ10" t="s">
        <v>42</v>
      </c>
      <c r="BA10">
        <f>INDEX(Inp_CER_Bin_2eps3arms!$AN$2:$AN$176,MATCH(Table1[[#This Row],[ModelID]],Inp_CER_Bin_2eps3arms!$A$2:$A$176,0))</f>
        <v>0</v>
      </c>
      <c r="BB10" t="s">
        <v>42</v>
      </c>
      <c r="BC10" t="s">
        <v>620</v>
      </c>
      <c r="BD10" t="s">
        <v>628</v>
      </c>
      <c r="BE10" s="10">
        <f>Table1[[#This Row],[Global.Power]]</f>
        <v>2.2102750000000001E-2</v>
      </c>
      <c r="BF10" s="10">
        <f>Table1[[#This Row],[Conjunctive.Power]]</f>
        <v>0</v>
      </c>
      <c r="BG10" s="10">
        <f>Table1[[#This Row],[Disjunctive.Power]]</f>
        <v>0</v>
      </c>
      <c r="BH10" s="10">
        <f>Table1[[#This Row],[FWER]]</f>
        <v>2.2102750000000001E-2</v>
      </c>
      <c r="BI10" s="10">
        <f>_xlfn.NUMBERVALUE(MID(Table1[[#This Row],[CI_95perc_Global.Power]],2,FIND(",",Table1[[#This Row],[CI_95perc_Global.Power]])-2))</f>
        <v>2.128E-2</v>
      </c>
      <c r="BJ10" s="10">
        <f>_xlfn.NUMBERVALUE(MID(Table1[[#This Row],[CI_95perc_Global.Power]],FIND(",",Table1[[#This Row],[CI_95perc_Global.Power]])+1,LEN(Table1[[#This Row],[CI_95perc_Global.Power]])-FIND(",",Table1[[#This Row],[CI_95perc_Global.Power]])-1))</f>
        <v>2.2929999999999999E-2</v>
      </c>
      <c r="BK10" s="10">
        <f>_xlfn.NUMBERVALUE(MID(Table1[[#This Row],[CI_95perc_Conjunctive.Power]],2,FIND(",",Table1[[#This Row],[CI_95perc_Conjunctive.Power]])-2))</f>
        <v>0</v>
      </c>
      <c r="BL10" s="10">
        <f>_xlfn.NUMBERVALUE(MID(Table1[[#This Row],[CI_95perc_Conjunctive.Power]],FIND(",",Table1[[#This Row],[CI_95perc_Conjunctive.Power]])+1,LEN(Table1[[#This Row],[CI_95perc_Conjunctive.Power]])-FIND(",",Table1[[#This Row],[CI_95perc_Conjunctive.Power]])-1))</f>
        <v>0</v>
      </c>
      <c r="BM10" s="10">
        <f>_xlfn.NUMBERVALUE(MID(Table1[[#This Row],[CI_95perc_Disjunctive.Power]],2,FIND(",",Table1[[#This Row],[CI_95perc_Disjunctive.Power]])-2))</f>
        <v>0</v>
      </c>
      <c r="BN10" s="10">
        <f>_xlfn.NUMBERVALUE(MID(Table1[[#This Row],[CI_95perc_Disjunctive.Power]],FIND(",",Table1[[#This Row],[CI_95perc_Disjunctive.Power]])+1,LEN(Table1[[#This Row],[CI_95perc_Disjunctive.Power]])-FIND(",",Table1[[#This Row],[CI_95perc_Disjunctive.Power]])-1))</f>
        <v>0</v>
      </c>
      <c r="BO10" s="10">
        <f>_xlfn.NUMBERVALUE(MID(Table1[[#This Row],[CI_95perc_FWER]],2,FIND(",",Table1[[#This Row],[CI_95perc_FWER]])-2))</f>
        <v>2.128E-2</v>
      </c>
      <c r="BP10" s="10">
        <f>_xlfn.NUMBERVALUE(MID(Table1[[#This Row],[CI_95perc_FWER]],FIND(",",Table1[[#This Row],[CI_95perc_FWER]])+1,LEN(Table1[[#This Row],[CI_95perc_FWER]])-FIND(",",Table1[[#This Row],[CI_95perc_FWER]])-1))</f>
        <v>2.2929999999999999E-2</v>
      </c>
      <c r="BQ10" s="10" t="str">
        <f>_xlfn.CONCAT("(",TEXT(Table1[[#This Row],[LCL_Disj.Pow%]],"0.00%"), ", ",TEXT(Table1[[#This Row],[UCL_Disj.Pow%]],"0.00%"),")")</f>
        <v>(0.00%, 0.00%)</v>
      </c>
      <c r="BR10" s="10" t="str">
        <f>_xlfn.CONCAT("(",TEXT(Table1[[#This Row],[LCL_Conj.Pow%]],"0.00%"),", ",TEXT(Table1[[#This Row],[UCL_Conj.Pow%]],"0.00%"),")")</f>
        <v>(0.00%, 0.00%)</v>
      </c>
      <c r="BS10" s="10" t="str">
        <f>_xlfn.CONCAT("(",TEXT(Table1[[#This Row],[LCL_FWER%]],"0.00%"),", ",TEXT(Table1[[#This Row],[UCL_FWER%]],"0.00%"),")")</f>
        <v>(2.13%, 2.29%)</v>
      </c>
    </row>
    <row r="11" spans="1:71" x14ac:dyDescent="0.25">
      <c r="A11">
        <v>9</v>
      </c>
      <c r="B11" t="s">
        <v>596</v>
      </c>
      <c r="C11">
        <v>6534</v>
      </c>
      <c r="D11">
        <v>2.50212E-2</v>
      </c>
      <c r="E11">
        <v>0</v>
      </c>
      <c r="F11">
        <v>0</v>
      </c>
      <c r="G11">
        <v>2.50212E-2</v>
      </c>
      <c r="H11" t="s">
        <v>100</v>
      </c>
      <c r="I11" t="s">
        <v>83</v>
      </c>
      <c r="J11" t="s">
        <v>83</v>
      </c>
      <c r="K11" t="s">
        <v>100</v>
      </c>
      <c r="L11" s="1">
        <v>37447</v>
      </c>
      <c r="M11" t="s">
        <v>101</v>
      </c>
      <c r="N11">
        <v>2.6693991053104398</v>
      </c>
      <c r="O11" t="s">
        <v>85</v>
      </c>
      <c r="P11" t="s">
        <v>41</v>
      </c>
      <c r="Q11">
        <v>2000</v>
      </c>
      <c r="R11">
        <v>2.5000000000000001E-2</v>
      </c>
      <c r="S11" t="s">
        <v>42</v>
      </c>
      <c r="T11" t="s">
        <v>42</v>
      </c>
      <c r="U11" t="s">
        <v>43</v>
      </c>
      <c r="V11" t="s">
        <v>44</v>
      </c>
      <c r="W11">
        <v>3</v>
      </c>
      <c r="X11">
        <v>2</v>
      </c>
      <c r="Y11" t="s">
        <v>45</v>
      </c>
      <c r="Z11" t="s">
        <v>42</v>
      </c>
      <c r="AA11" t="s">
        <v>42</v>
      </c>
      <c r="AB11" t="s">
        <v>46</v>
      </c>
      <c r="AC11" t="s">
        <v>47</v>
      </c>
      <c r="AD11" t="s">
        <v>48</v>
      </c>
      <c r="AE11" t="s">
        <v>49</v>
      </c>
      <c r="AF11" t="s">
        <v>50</v>
      </c>
      <c r="AG11" t="s">
        <v>51</v>
      </c>
      <c r="AH11" t="s">
        <v>52</v>
      </c>
      <c r="AI11" t="s">
        <v>53</v>
      </c>
      <c r="AJ11" t="b">
        <v>1</v>
      </c>
      <c r="AK11" t="b">
        <v>0</v>
      </c>
      <c r="AL11" t="s">
        <v>42</v>
      </c>
      <c r="AM11" t="s">
        <v>42</v>
      </c>
      <c r="AN11" t="s">
        <v>42</v>
      </c>
      <c r="AO11" t="s">
        <v>42</v>
      </c>
      <c r="AP11" t="s">
        <v>42</v>
      </c>
      <c r="AQ11" t="s">
        <v>42</v>
      </c>
      <c r="AR11" t="s">
        <v>54</v>
      </c>
      <c r="AS11">
        <v>20000</v>
      </c>
      <c r="AT11">
        <v>2000</v>
      </c>
      <c r="AU11">
        <v>6534</v>
      </c>
      <c r="AV11" t="b">
        <v>1</v>
      </c>
      <c r="AW11" t="b">
        <v>0</v>
      </c>
      <c r="AX11" t="b">
        <v>1</v>
      </c>
      <c r="AY11" t="b">
        <v>1</v>
      </c>
      <c r="AZ11" t="s">
        <v>42</v>
      </c>
      <c r="BA11">
        <f>INDEX(Inp_CER_Bin_2eps3arms!$AN$2:$AN$176,MATCH(Table1[[#This Row],[ModelID]],Inp_CER_Bin_2eps3arms!$A$2:$A$176,0))</f>
        <v>0</v>
      </c>
      <c r="BB11" t="s">
        <v>42</v>
      </c>
      <c r="BC11" t="s">
        <v>618</v>
      </c>
      <c r="BD11" t="s">
        <v>628</v>
      </c>
      <c r="BE11" s="10">
        <f>Table1[[#This Row],[Global.Power]]</f>
        <v>2.50212E-2</v>
      </c>
      <c r="BF11" s="10">
        <f>Table1[[#This Row],[Conjunctive.Power]]</f>
        <v>0</v>
      </c>
      <c r="BG11" s="10">
        <f>Table1[[#This Row],[Disjunctive.Power]]</f>
        <v>0</v>
      </c>
      <c r="BH11" s="10">
        <f>Table1[[#This Row],[FWER]]</f>
        <v>2.50212E-2</v>
      </c>
      <c r="BI11" s="10">
        <f>_xlfn.NUMBERVALUE(MID(Table1[[#This Row],[CI_95perc_Global.Power]],2,FIND(",",Table1[[#This Row],[CI_95perc_Global.Power]])-2))</f>
        <v>2.4119999999999999E-2</v>
      </c>
      <c r="BJ11" s="10">
        <f>_xlfn.NUMBERVALUE(MID(Table1[[#This Row],[CI_95perc_Global.Power]],FIND(",",Table1[[#This Row],[CI_95perc_Global.Power]])+1,LEN(Table1[[#This Row],[CI_95perc_Global.Power]])-FIND(",",Table1[[#This Row],[CI_95perc_Global.Power]])-1))</f>
        <v>2.5919999999999999E-2</v>
      </c>
      <c r="BK11" s="10">
        <f>_xlfn.NUMBERVALUE(MID(Table1[[#This Row],[CI_95perc_Conjunctive.Power]],2,FIND(",",Table1[[#This Row],[CI_95perc_Conjunctive.Power]])-2))</f>
        <v>0</v>
      </c>
      <c r="BL11" s="10">
        <f>_xlfn.NUMBERVALUE(MID(Table1[[#This Row],[CI_95perc_Conjunctive.Power]],FIND(",",Table1[[#This Row],[CI_95perc_Conjunctive.Power]])+1,LEN(Table1[[#This Row],[CI_95perc_Conjunctive.Power]])-FIND(",",Table1[[#This Row],[CI_95perc_Conjunctive.Power]])-1))</f>
        <v>0</v>
      </c>
      <c r="BM11" s="10">
        <f>_xlfn.NUMBERVALUE(MID(Table1[[#This Row],[CI_95perc_Disjunctive.Power]],2,FIND(",",Table1[[#This Row],[CI_95perc_Disjunctive.Power]])-2))</f>
        <v>0</v>
      </c>
      <c r="BN11" s="10">
        <f>_xlfn.NUMBERVALUE(MID(Table1[[#This Row],[CI_95perc_Disjunctive.Power]],FIND(",",Table1[[#This Row],[CI_95perc_Disjunctive.Power]])+1,LEN(Table1[[#This Row],[CI_95perc_Disjunctive.Power]])-FIND(",",Table1[[#This Row],[CI_95perc_Disjunctive.Power]])-1))</f>
        <v>0</v>
      </c>
      <c r="BO11" s="10">
        <f>_xlfn.NUMBERVALUE(MID(Table1[[#This Row],[CI_95perc_FWER]],2,FIND(",",Table1[[#This Row],[CI_95perc_FWER]])-2))</f>
        <v>2.4119999999999999E-2</v>
      </c>
      <c r="BP11" s="10">
        <f>_xlfn.NUMBERVALUE(MID(Table1[[#This Row],[CI_95perc_FWER]],FIND(",",Table1[[#This Row],[CI_95perc_FWER]])+1,LEN(Table1[[#This Row],[CI_95perc_FWER]])-FIND(",",Table1[[#This Row],[CI_95perc_FWER]])-1))</f>
        <v>2.5919999999999999E-2</v>
      </c>
      <c r="BQ11" s="10" t="str">
        <f>_xlfn.CONCAT("(",TEXT(Table1[[#This Row],[LCL_Disj.Pow%]],"0.00%"), ", ",TEXT(Table1[[#This Row],[UCL_Disj.Pow%]],"0.00%"),")")</f>
        <v>(0.00%, 0.00%)</v>
      </c>
      <c r="BR11" s="10" t="str">
        <f>_xlfn.CONCAT("(",TEXT(Table1[[#This Row],[LCL_Conj.Pow%]],"0.00%"),", ",TEXT(Table1[[#This Row],[UCL_Conj.Pow%]],"0.00%"),")")</f>
        <v>(0.00%, 0.00%)</v>
      </c>
      <c r="BS11" s="10" t="str">
        <f>_xlfn.CONCAT("(",TEXT(Table1[[#This Row],[LCL_FWER%]],"0.00%"),", ",TEXT(Table1[[#This Row],[UCL_FWER%]],"0.00%"),")")</f>
        <v>(2.41%, 2.59%)</v>
      </c>
    </row>
    <row r="12" spans="1:71" x14ac:dyDescent="0.25">
      <c r="A12">
        <v>10</v>
      </c>
      <c r="B12" t="s">
        <v>62</v>
      </c>
      <c r="C12">
        <v>6534</v>
      </c>
      <c r="D12">
        <v>1.9412700000000001E-2</v>
      </c>
      <c r="E12">
        <v>0</v>
      </c>
      <c r="F12">
        <v>0</v>
      </c>
      <c r="G12">
        <v>1.9412700000000001E-2</v>
      </c>
      <c r="H12" t="s">
        <v>102</v>
      </c>
      <c r="I12" t="s">
        <v>83</v>
      </c>
      <c r="J12" t="s">
        <v>83</v>
      </c>
      <c r="K12" t="s">
        <v>102</v>
      </c>
      <c r="L12" s="1">
        <v>37343</v>
      </c>
      <c r="M12" t="s">
        <v>103</v>
      </c>
      <c r="N12">
        <v>0.944992699159516</v>
      </c>
      <c r="O12" t="s">
        <v>85</v>
      </c>
      <c r="P12" t="s">
        <v>41</v>
      </c>
      <c r="Q12">
        <v>2000</v>
      </c>
      <c r="R12">
        <v>2.5000000000000001E-2</v>
      </c>
      <c r="S12" t="s">
        <v>42</v>
      </c>
      <c r="T12" t="s">
        <v>42</v>
      </c>
      <c r="U12" t="s">
        <v>43</v>
      </c>
      <c r="V12" t="s">
        <v>44</v>
      </c>
      <c r="W12">
        <v>3</v>
      </c>
      <c r="X12">
        <v>2</v>
      </c>
      <c r="Y12" t="s">
        <v>45</v>
      </c>
      <c r="Z12" t="s">
        <v>42</v>
      </c>
      <c r="AA12" t="s">
        <v>42</v>
      </c>
      <c r="AB12" t="s">
        <v>46</v>
      </c>
      <c r="AC12" t="s">
        <v>47</v>
      </c>
      <c r="AD12" t="s">
        <v>48</v>
      </c>
      <c r="AE12" t="s">
        <v>49</v>
      </c>
      <c r="AF12" t="s">
        <v>50</v>
      </c>
      <c r="AG12" t="s">
        <v>51</v>
      </c>
      <c r="AH12" t="s">
        <v>52</v>
      </c>
      <c r="AI12" t="s">
        <v>53</v>
      </c>
      <c r="AJ12" t="b">
        <v>1</v>
      </c>
      <c r="AK12" t="b">
        <v>1</v>
      </c>
      <c r="AL12">
        <v>1</v>
      </c>
      <c r="AM12">
        <v>1</v>
      </c>
      <c r="AN12" t="s">
        <v>56</v>
      </c>
      <c r="AO12" t="s">
        <v>57</v>
      </c>
      <c r="AP12">
        <v>0.25</v>
      </c>
      <c r="AQ12" t="b">
        <v>1</v>
      </c>
      <c r="AR12" t="s">
        <v>23</v>
      </c>
      <c r="AS12">
        <v>20000</v>
      </c>
      <c r="AT12">
        <v>2000</v>
      </c>
      <c r="AU12">
        <v>6534</v>
      </c>
      <c r="AV12" t="b">
        <v>1</v>
      </c>
      <c r="AW12" t="b">
        <v>0</v>
      </c>
      <c r="AX12" t="b">
        <v>1</v>
      </c>
      <c r="AY12" t="b">
        <v>1</v>
      </c>
      <c r="AZ12" t="s">
        <v>42</v>
      </c>
      <c r="BA12">
        <f>INDEX(Inp_CER_Bin_2eps3arms!$AN$2:$AN$176,MATCH(Table1[[#This Row],[ModelID]],Inp_CER_Bin_2eps3arms!$A$2:$A$176,0))</f>
        <v>0</v>
      </c>
      <c r="BB12" t="s">
        <v>42</v>
      </c>
      <c r="BC12" t="s">
        <v>621</v>
      </c>
      <c r="BD12" t="s">
        <v>628</v>
      </c>
      <c r="BE12" s="10">
        <f>Table1[[#This Row],[Global.Power]]</f>
        <v>1.9412700000000001E-2</v>
      </c>
      <c r="BF12" s="10">
        <f>Table1[[#This Row],[Conjunctive.Power]]</f>
        <v>0</v>
      </c>
      <c r="BG12" s="10">
        <f>Table1[[#This Row],[Disjunctive.Power]]</f>
        <v>0</v>
      </c>
      <c r="BH12" s="10">
        <f>Table1[[#This Row],[FWER]]</f>
        <v>1.9412700000000001E-2</v>
      </c>
      <c r="BI12" s="10">
        <f>_xlfn.NUMBERVALUE(MID(Table1[[#This Row],[CI_95perc_Global.Power]],2,FIND(",",Table1[[#This Row],[CI_95perc_Global.Power]])-2))</f>
        <v>1.8540000000000001E-2</v>
      </c>
      <c r="BJ12" s="10">
        <f>_xlfn.NUMBERVALUE(MID(Table1[[#This Row],[CI_95perc_Global.Power]],FIND(",",Table1[[#This Row],[CI_95perc_Global.Power]])+1,LEN(Table1[[#This Row],[CI_95perc_Global.Power]])-FIND(",",Table1[[#This Row],[CI_95perc_Global.Power]])-1))</f>
        <v>2.0289999999999999E-2</v>
      </c>
      <c r="BK12" s="10">
        <f>_xlfn.NUMBERVALUE(MID(Table1[[#This Row],[CI_95perc_Conjunctive.Power]],2,FIND(",",Table1[[#This Row],[CI_95perc_Conjunctive.Power]])-2))</f>
        <v>0</v>
      </c>
      <c r="BL12" s="10">
        <f>_xlfn.NUMBERVALUE(MID(Table1[[#This Row],[CI_95perc_Conjunctive.Power]],FIND(",",Table1[[#This Row],[CI_95perc_Conjunctive.Power]])+1,LEN(Table1[[#This Row],[CI_95perc_Conjunctive.Power]])-FIND(",",Table1[[#This Row],[CI_95perc_Conjunctive.Power]])-1))</f>
        <v>0</v>
      </c>
      <c r="BM12" s="10">
        <f>_xlfn.NUMBERVALUE(MID(Table1[[#This Row],[CI_95perc_Disjunctive.Power]],2,FIND(",",Table1[[#This Row],[CI_95perc_Disjunctive.Power]])-2))</f>
        <v>0</v>
      </c>
      <c r="BN12" s="10">
        <f>_xlfn.NUMBERVALUE(MID(Table1[[#This Row],[CI_95perc_Disjunctive.Power]],FIND(",",Table1[[#This Row],[CI_95perc_Disjunctive.Power]])+1,LEN(Table1[[#This Row],[CI_95perc_Disjunctive.Power]])-FIND(",",Table1[[#This Row],[CI_95perc_Disjunctive.Power]])-1))</f>
        <v>0</v>
      </c>
      <c r="BO12" s="10">
        <f>_xlfn.NUMBERVALUE(MID(Table1[[#This Row],[CI_95perc_FWER]],2,FIND(",",Table1[[#This Row],[CI_95perc_FWER]])-2))</f>
        <v>1.8540000000000001E-2</v>
      </c>
      <c r="BP12" s="10">
        <f>_xlfn.NUMBERVALUE(MID(Table1[[#This Row],[CI_95perc_FWER]],FIND(",",Table1[[#This Row],[CI_95perc_FWER]])+1,LEN(Table1[[#This Row],[CI_95perc_FWER]])-FIND(",",Table1[[#This Row],[CI_95perc_FWER]])-1))</f>
        <v>2.0289999999999999E-2</v>
      </c>
      <c r="BQ12" s="10" t="str">
        <f>_xlfn.CONCAT("(",TEXT(Table1[[#This Row],[LCL_Disj.Pow%]],"0.00%"), ", ",TEXT(Table1[[#This Row],[UCL_Disj.Pow%]],"0.00%"),")")</f>
        <v>(0.00%, 0.00%)</v>
      </c>
      <c r="BR12" s="10" t="str">
        <f>_xlfn.CONCAT("(",TEXT(Table1[[#This Row],[LCL_Conj.Pow%]],"0.00%"),", ",TEXT(Table1[[#This Row],[UCL_Conj.Pow%]],"0.00%"),")")</f>
        <v>(0.00%, 0.00%)</v>
      </c>
      <c r="BS12" s="10" t="str">
        <f>_xlfn.CONCAT("(",TEXT(Table1[[#This Row],[LCL_FWER%]],"0.00%"),", ",TEXT(Table1[[#This Row],[UCL_FWER%]],"0.00%"),")")</f>
        <v>(1.85%, 2.03%)</v>
      </c>
    </row>
    <row r="13" spans="1:71" x14ac:dyDescent="0.25">
      <c r="A13">
        <v>11</v>
      </c>
      <c r="B13" t="s">
        <v>63</v>
      </c>
      <c r="C13">
        <v>6534</v>
      </c>
      <c r="D13">
        <v>2.2210225E-2</v>
      </c>
      <c r="E13">
        <v>0</v>
      </c>
      <c r="F13">
        <v>0</v>
      </c>
      <c r="G13">
        <v>2.2210225E-2</v>
      </c>
      <c r="H13" t="s">
        <v>104</v>
      </c>
      <c r="I13" t="s">
        <v>83</v>
      </c>
      <c r="J13" t="s">
        <v>83</v>
      </c>
      <c r="K13" t="s">
        <v>104</v>
      </c>
      <c r="L13" s="1">
        <v>37398</v>
      </c>
      <c r="M13" t="s">
        <v>105</v>
      </c>
      <c r="N13">
        <v>2.2170089380608702</v>
      </c>
      <c r="O13" t="s">
        <v>85</v>
      </c>
      <c r="P13" t="s">
        <v>41</v>
      </c>
      <c r="Q13">
        <v>2000</v>
      </c>
      <c r="R13">
        <v>2.5000000000000001E-2</v>
      </c>
      <c r="S13" t="s">
        <v>42</v>
      </c>
      <c r="T13" t="s">
        <v>42</v>
      </c>
      <c r="U13" t="s">
        <v>43</v>
      </c>
      <c r="V13" t="s">
        <v>44</v>
      </c>
      <c r="W13">
        <v>3</v>
      </c>
      <c r="X13">
        <v>2</v>
      </c>
      <c r="Y13" t="s">
        <v>45</v>
      </c>
      <c r="Z13" t="s">
        <v>42</v>
      </c>
      <c r="AA13" t="s">
        <v>42</v>
      </c>
      <c r="AB13" t="s">
        <v>46</v>
      </c>
      <c r="AC13" t="s">
        <v>47</v>
      </c>
      <c r="AD13" t="s">
        <v>48</v>
      </c>
      <c r="AE13" t="s">
        <v>49</v>
      </c>
      <c r="AF13" t="s">
        <v>50</v>
      </c>
      <c r="AG13" t="s">
        <v>51</v>
      </c>
      <c r="AH13" t="s">
        <v>52</v>
      </c>
      <c r="AI13" t="s">
        <v>53</v>
      </c>
      <c r="AJ13" t="b">
        <v>1</v>
      </c>
      <c r="AK13" t="b">
        <v>1</v>
      </c>
      <c r="AL13">
        <v>1</v>
      </c>
      <c r="AM13">
        <v>1</v>
      </c>
      <c r="AN13" t="s">
        <v>56</v>
      </c>
      <c r="AO13" t="s">
        <v>60</v>
      </c>
      <c r="AP13">
        <v>1</v>
      </c>
      <c r="AQ13" t="b">
        <v>1</v>
      </c>
      <c r="AR13" t="s">
        <v>23</v>
      </c>
      <c r="AS13">
        <v>20000</v>
      </c>
      <c r="AT13">
        <v>2000</v>
      </c>
      <c r="AU13">
        <v>6534</v>
      </c>
      <c r="AV13" t="b">
        <v>1</v>
      </c>
      <c r="AW13" t="b">
        <v>0</v>
      </c>
      <c r="AX13" t="b">
        <v>1</v>
      </c>
      <c r="AY13" t="b">
        <v>1</v>
      </c>
      <c r="AZ13" t="s">
        <v>42</v>
      </c>
      <c r="BA13">
        <f>INDEX(Inp_CER_Bin_2eps3arms!$AN$2:$AN$176,MATCH(Table1[[#This Row],[ModelID]],Inp_CER_Bin_2eps3arms!$A$2:$A$176,0))</f>
        <v>0</v>
      </c>
      <c r="BB13" t="s">
        <v>42</v>
      </c>
      <c r="BC13" t="s">
        <v>620</v>
      </c>
      <c r="BD13" t="s">
        <v>628</v>
      </c>
      <c r="BE13" s="10">
        <f>Table1[[#This Row],[Global.Power]]</f>
        <v>2.2210225E-2</v>
      </c>
      <c r="BF13" s="10">
        <f>Table1[[#This Row],[Conjunctive.Power]]</f>
        <v>0</v>
      </c>
      <c r="BG13" s="10">
        <f>Table1[[#This Row],[Disjunctive.Power]]</f>
        <v>0</v>
      </c>
      <c r="BH13" s="10">
        <f>Table1[[#This Row],[FWER]]</f>
        <v>2.2210225E-2</v>
      </c>
      <c r="BI13" s="10">
        <f>_xlfn.NUMBERVALUE(MID(Table1[[#This Row],[CI_95perc_Global.Power]],2,FIND(",",Table1[[#This Row],[CI_95perc_Global.Power]])-2))</f>
        <v>2.1350000000000001E-2</v>
      </c>
      <c r="BJ13" s="10">
        <f>_xlfn.NUMBERVALUE(MID(Table1[[#This Row],[CI_95perc_Global.Power]],FIND(",",Table1[[#This Row],[CI_95perc_Global.Power]])+1,LEN(Table1[[#This Row],[CI_95perc_Global.Power]])-FIND(",",Table1[[#This Row],[CI_95perc_Global.Power]])-1))</f>
        <v>2.307E-2</v>
      </c>
      <c r="BK13" s="10">
        <f>_xlfn.NUMBERVALUE(MID(Table1[[#This Row],[CI_95perc_Conjunctive.Power]],2,FIND(",",Table1[[#This Row],[CI_95perc_Conjunctive.Power]])-2))</f>
        <v>0</v>
      </c>
      <c r="BL13" s="10">
        <f>_xlfn.NUMBERVALUE(MID(Table1[[#This Row],[CI_95perc_Conjunctive.Power]],FIND(",",Table1[[#This Row],[CI_95perc_Conjunctive.Power]])+1,LEN(Table1[[#This Row],[CI_95perc_Conjunctive.Power]])-FIND(",",Table1[[#This Row],[CI_95perc_Conjunctive.Power]])-1))</f>
        <v>0</v>
      </c>
      <c r="BM13" s="10">
        <f>_xlfn.NUMBERVALUE(MID(Table1[[#This Row],[CI_95perc_Disjunctive.Power]],2,FIND(",",Table1[[#This Row],[CI_95perc_Disjunctive.Power]])-2))</f>
        <v>0</v>
      </c>
      <c r="BN13" s="10">
        <f>_xlfn.NUMBERVALUE(MID(Table1[[#This Row],[CI_95perc_Disjunctive.Power]],FIND(",",Table1[[#This Row],[CI_95perc_Disjunctive.Power]])+1,LEN(Table1[[#This Row],[CI_95perc_Disjunctive.Power]])-FIND(",",Table1[[#This Row],[CI_95perc_Disjunctive.Power]])-1))</f>
        <v>0</v>
      </c>
      <c r="BO13" s="10">
        <f>_xlfn.NUMBERVALUE(MID(Table1[[#This Row],[CI_95perc_FWER]],2,FIND(",",Table1[[#This Row],[CI_95perc_FWER]])-2))</f>
        <v>2.1350000000000001E-2</v>
      </c>
      <c r="BP13" s="10">
        <f>_xlfn.NUMBERVALUE(MID(Table1[[#This Row],[CI_95perc_FWER]],FIND(",",Table1[[#This Row],[CI_95perc_FWER]])+1,LEN(Table1[[#This Row],[CI_95perc_FWER]])-FIND(",",Table1[[#This Row],[CI_95perc_FWER]])-1))</f>
        <v>2.307E-2</v>
      </c>
      <c r="BQ13" s="10" t="str">
        <f>_xlfn.CONCAT("(",TEXT(Table1[[#This Row],[LCL_Disj.Pow%]],"0.00%"), ", ",TEXT(Table1[[#This Row],[UCL_Disj.Pow%]],"0.00%"),")")</f>
        <v>(0.00%, 0.00%)</v>
      </c>
      <c r="BR13" s="10" t="str">
        <f>_xlfn.CONCAT("(",TEXT(Table1[[#This Row],[LCL_Conj.Pow%]],"0.00%"),", ",TEXT(Table1[[#This Row],[UCL_Conj.Pow%]],"0.00%"),")")</f>
        <v>(0.00%, 0.00%)</v>
      </c>
      <c r="BS13" s="10" t="str">
        <f>_xlfn.CONCAT("(",TEXT(Table1[[#This Row],[LCL_FWER%]],"0.00%"),", ",TEXT(Table1[[#This Row],[UCL_FWER%]],"0.00%"),")")</f>
        <v>(2.14%, 2.31%)</v>
      </c>
    </row>
    <row r="14" spans="1:71" x14ac:dyDescent="0.25">
      <c r="A14">
        <v>12</v>
      </c>
      <c r="B14" t="s">
        <v>597</v>
      </c>
      <c r="C14">
        <v>6534</v>
      </c>
      <c r="D14">
        <v>2.4176050000000001E-2</v>
      </c>
      <c r="E14">
        <v>0</v>
      </c>
      <c r="F14">
        <v>0</v>
      </c>
      <c r="G14">
        <v>2.4176050000000001E-2</v>
      </c>
      <c r="H14" t="s">
        <v>106</v>
      </c>
      <c r="I14" t="s">
        <v>83</v>
      </c>
      <c r="J14" t="s">
        <v>83</v>
      </c>
      <c r="K14" t="s">
        <v>106</v>
      </c>
      <c r="L14" s="1">
        <v>34432</v>
      </c>
      <c r="M14" t="s">
        <v>107</v>
      </c>
      <c r="N14">
        <v>2.7066308666600101</v>
      </c>
      <c r="O14" t="s">
        <v>85</v>
      </c>
      <c r="P14" t="s">
        <v>41</v>
      </c>
      <c r="Q14">
        <v>2000</v>
      </c>
      <c r="R14">
        <v>2.5000000000000001E-2</v>
      </c>
      <c r="S14" t="s">
        <v>42</v>
      </c>
      <c r="T14" t="s">
        <v>42</v>
      </c>
      <c r="U14" t="s">
        <v>64</v>
      </c>
      <c r="V14" t="s">
        <v>44</v>
      </c>
      <c r="W14">
        <v>3</v>
      </c>
      <c r="X14">
        <v>2</v>
      </c>
      <c r="Y14" t="s">
        <v>45</v>
      </c>
      <c r="Z14" t="s">
        <v>42</v>
      </c>
      <c r="AA14" t="s">
        <v>42</v>
      </c>
      <c r="AB14" t="s">
        <v>46</v>
      </c>
      <c r="AC14" t="s">
        <v>47</v>
      </c>
      <c r="AD14" t="s">
        <v>48</v>
      </c>
      <c r="AE14" t="s">
        <v>49</v>
      </c>
      <c r="AF14" t="s">
        <v>50</v>
      </c>
      <c r="AG14" t="s">
        <v>51</v>
      </c>
      <c r="AH14" t="s">
        <v>52</v>
      </c>
      <c r="AI14" t="s">
        <v>53</v>
      </c>
      <c r="AJ14" t="b">
        <v>0</v>
      </c>
      <c r="AK14" t="b">
        <v>0</v>
      </c>
      <c r="AL14" t="s">
        <v>42</v>
      </c>
      <c r="AM14" t="s">
        <v>42</v>
      </c>
      <c r="AN14" t="s">
        <v>42</v>
      </c>
      <c r="AO14" t="s">
        <v>42</v>
      </c>
      <c r="AP14" t="s">
        <v>42</v>
      </c>
      <c r="AQ14" t="s">
        <v>42</v>
      </c>
      <c r="AR14" t="s">
        <v>54</v>
      </c>
      <c r="AS14">
        <v>20000</v>
      </c>
      <c r="AT14">
        <v>2000</v>
      </c>
      <c r="AU14">
        <v>6534</v>
      </c>
      <c r="AV14" t="b">
        <v>1</v>
      </c>
      <c r="AW14" t="b">
        <v>0</v>
      </c>
      <c r="AX14" t="b">
        <v>1</v>
      </c>
      <c r="AY14" t="b">
        <v>1</v>
      </c>
      <c r="AZ14" t="s">
        <v>42</v>
      </c>
      <c r="BA14">
        <f>INDEX(Inp_CER_Bin_2eps3arms!$AN$2:$AN$176,MATCH(Table1[[#This Row],[ModelID]],Inp_CER_Bin_2eps3arms!$A$2:$A$176,0))</f>
        <v>0</v>
      </c>
      <c r="BB14" t="s">
        <v>42</v>
      </c>
      <c r="BC14" t="s">
        <v>618</v>
      </c>
      <c r="BD14" t="s">
        <v>628</v>
      </c>
      <c r="BE14" s="10">
        <f>Table1[[#This Row],[Global.Power]]</f>
        <v>2.4176050000000001E-2</v>
      </c>
      <c r="BF14" s="10">
        <f>Table1[[#This Row],[Conjunctive.Power]]</f>
        <v>0</v>
      </c>
      <c r="BG14" s="10">
        <f>Table1[[#This Row],[Disjunctive.Power]]</f>
        <v>0</v>
      </c>
      <c r="BH14" s="10">
        <f>Table1[[#This Row],[FWER]]</f>
        <v>2.4176050000000001E-2</v>
      </c>
      <c r="BI14" s="10">
        <f>_xlfn.NUMBERVALUE(MID(Table1[[#This Row],[CI_95perc_Global.Power]],2,FIND(",",Table1[[#This Row],[CI_95perc_Global.Power]])-2))</f>
        <v>2.3300000000000001E-2</v>
      </c>
      <c r="BJ14" s="10">
        <f>_xlfn.NUMBERVALUE(MID(Table1[[#This Row],[CI_95perc_Global.Power]],FIND(",",Table1[[#This Row],[CI_95perc_Global.Power]])+1,LEN(Table1[[#This Row],[CI_95perc_Global.Power]])-FIND(",",Table1[[#This Row],[CI_95perc_Global.Power]])-1))</f>
        <v>2.5049999999999999E-2</v>
      </c>
      <c r="BK14" s="10">
        <f>_xlfn.NUMBERVALUE(MID(Table1[[#This Row],[CI_95perc_Conjunctive.Power]],2,FIND(",",Table1[[#This Row],[CI_95perc_Conjunctive.Power]])-2))</f>
        <v>0</v>
      </c>
      <c r="BL14" s="10">
        <f>_xlfn.NUMBERVALUE(MID(Table1[[#This Row],[CI_95perc_Conjunctive.Power]],FIND(",",Table1[[#This Row],[CI_95perc_Conjunctive.Power]])+1,LEN(Table1[[#This Row],[CI_95perc_Conjunctive.Power]])-FIND(",",Table1[[#This Row],[CI_95perc_Conjunctive.Power]])-1))</f>
        <v>0</v>
      </c>
      <c r="BM14" s="10">
        <f>_xlfn.NUMBERVALUE(MID(Table1[[#This Row],[CI_95perc_Disjunctive.Power]],2,FIND(",",Table1[[#This Row],[CI_95perc_Disjunctive.Power]])-2))</f>
        <v>0</v>
      </c>
      <c r="BN14" s="10">
        <f>_xlfn.NUMBERVALUE(MID(Table1[[#This Row],[CI_95perc_Disjunctive.Power]],FIND(",",Table1[[#This Row],[CI_95perc_Disjunctive.Power]])+1,LEN(Table1[[#This Row],[CI_95perc_Disjunctive.Power]])-FIND(",",Table1[[#This Row],[CI_95perc_Disjunctive.Power]])-1))</f>
        <v>0</v>
      </c>
      <c r="BO14" s="10">
        <f>_xlfn.NUMBERVALUE(MID(Table1[[#This Row],[CI_95perc_FWER]],2,FIND(",",Table1[[#This Row],[CI_95perc_FWER]])-2))</f>
        <v>2.3300000000000001E-2</v>
      </c>
      <c r="BP14" s="10">
        <f>_xlfn.NUMBERVALUE(MID(Table1[[#This Row],[CI_95perc_FWER]],FIND(",",Table1[[#This Row],[CI_95perc_FWER]])+1,LEN(Table1[[#This Row],[CI_95perc_FWER]])-FIND(",",Table1[[#This Row],[CI_95perc_FWER]])-1))</f>
        <v>2.5049999999999999E-2</v>
      </c>
      <c r="BQ14" s="10" t="str">
        <f>_xlfn.CONCAT("(",TEXT(Table1[[#This Row],[LCL_Disj.Pow%]],"0.00%"), ", ",TEXT(Table1[[#This Row],[UCL_Disj.Pow%]],"0.00%"),")")</f>
        <v>(0.00%, 0.00%)</v>
      </c>
      <c r="BR14" s="10" t="str">
        <f>_xlfn.CONCAT("(",TEXT(Table1[[#This Row],[LCL_Conj.Pow%]],"0.00%"),", ",TEXT(Table1[[#This Row],[UCL_Conj.Pow%]],"0.00%"),")")</f>
        <v>(0.00%, 0.00%)</v>
      </c>
      <c r="BS14" s="10" t="str">
        <f>_xlfn.CONCAT("(",TEXT(Table1[[#This Row],[LCL_FWER%]],"0.00%"),", ",TEXT(Table1[[#This Row],[UCL_FWER%]],"0.00%"),")")</f>
        <v>(2.33%, 2.51%)</v>
      </c>
    </row>
    <row r="15" spans="1:71" x14ac:dyDescent="0.25">
      <c r="A15">
        <v>13</v>
      </c>
      <c r="B15" t="s">
        <v>65</v>
      </c>
      <c r="C15">
        <v>6534</v>
      </c>
      <c r="D15">
        <v>1.8925674999999999E-2</v>
      </c>
      <c r="E15">
        <v>0</v>
      </c>
      <c r="F15">
        <v>0</v>
      </c>
      <c r="G15">
        <v>1.8925674999999999E-2</v>
      </c>
      <c r="H15" t="s">
        <v>108</v>
      </c>
      <c r="I15" t="s">
        <v>83</v>
      </c>
      <c r="J15" t="s">
        <v>83</v>
      </c>
      <c r="K15" t="s">
        <v>108</v>
      </c>
      <c r="L15" s="1">
        <v>34335</v>
      </c>
      <c r="M15" t="s">
        <v>109</v>
      </c>
      <c r="N15">
        <v>0.94158147527111902</v>
      </c>
      <c r="O15" t="s">
        <v>85</v>
      </c>
      <c r="P15" t="s">
        <v>41</v>
      </c>
      <c r="Q15">
        <v>2000</v>
      </c>
      <c r="R15">
        <v>2.5000000000000001E-2</v>
      </c>
      <c r="S15" t="s">
        <v>42</v>
      </c>
      <c r="T15" t="s">
        <v>42</v>
      </c>
      <c r="U15" t="s">
        <v>64</v>
      </c>
      <c r="V15" t="s">
        <v>44</v>
      </c>
      <c r="W15">
        <v>3</v>
      </c>
      <c r="X15">
        <v>2</v>
      </c>
      <c r="Y15" t="s">
        <v>45</v>
      </c>
      <c r="Z15" t="s">
        <v>42</v>
      </c>
      <c r="AA15" t="s">
        <v>42</v>
      </c>
      <c r="AB15" t="s">
        <v>46</v>
      </c>
      <c r="AC15" t="s">
        <v>47</v>
      </c>
      <c r="AD15" t="s">
        <v>48</v>
      </c>
      <c r="AE15" t="s">
        <v>49</v>
      </c>
      <c r="AF15" t="s">
        <v>50</v>
      </c>
      <c r="AG15" t="s">
        <v>51</v>
      </c>
      <c r="AH15" t="s">
        <v>52</v>
      </c>
      <c r="AI15" t="s">
        <v>53</v>
      </c>
      <c r="AJ15" t="b">
        <v>0</v>
      </c>
      <c r="AK15" t="b">
        <v>1</v>
      </c>
      <c r="AL15">
        <v>1</v>
      </c>
      <c r="AM15">
        <v>1</v>
      </c>
      <c r="AN15" t="s">
        <v>56</v>
      </c>
      <c r="AO15" t="s">
        <v>57</v>
      </c>
      <c r="AP15">
        <v>0.25</v>
      </c>
      <c r="AQ15" t="b">
        <v>1</v>
      </c>
      <c r="AR15" t="s">
        <v>23</v>
      </c>
      <c r="AS15">
        <v>20000</v>
      </c>
      <c r="AT15">
        <v>2000</v>
      </c>
      <c r="AU15">
        <v>6534</v>
      </c>
      <c r="AV15" t="b">
        <v>1</v>
      </c>
      <c r="AW15" t="b">
        <v>0</v>
      </c>
      <c r="AX15" t="b">
        <v>1</v>
      </c>
      <c r="AY15" t="b">
        <v>1</v>
      </c>
      <c r="AZ15" t="s">
        <v>42</v>
      </c>
      <c r="BA15">
        <f>INDEX(Inp_CER_Bin_2eps3arms!$AN$2:$AN$176,MATCH(Table1[[#This Row],[ModelID]],Inp_CER_Bin_2eps3arms!$A$2:$A$176,0))</f>
        <v>0</v>
      </c>
      <c r="BB15" t="s">
        <v>42</v>
      </c>
      <c r="BC15" t="s">
        <v>621</v>
      </c>
      <c r="BD15" t="s">
        <v>628</v>
      </c>
      <c r="BE15" s="10">
        <f>Table1[[#This Row],[Global.Power]]</f>
        <v>1.8925674999999999E-2</v>
      </c>
      <c r="BF15" s="10">
        <f>Table1[[#This Row],[Conjunctive.Power]]</f>
        <v>0</v>
      </c>
      <c r="BG15" s="10">
        <f>Table1[[#This Row],[Disjunctive.Power]]</f>
        <v>0</v>
      </c>
      <c r="BH15" s="10">
        <f>Table1[[#This Row],[FWER]]</f>
        <v>1.8925674999999999E-2</v>
      </c>
      <c r="BI15" s="10">
        <f>_xlfn.NUMBERVALUE(MID(Table1[[#This Row],[CI_95perc_Global.Power]],2,FIND(",",Table1[[#This Row],[CI_95perc_Global.Power]])-2))</f>
        <v>1.8079999999999999E-2</v>
      </c>
      <c r="BJ15" s="10">
        <f>_xlfn.NUMBERVALUE(MID(Table1[[#This Row],[CI_95perc_Global.Power]],FIND(",",Table1[[#This Row],[CI_95perc_Global.Power]])+1,LEN(Table1[[#This Row],[CI_95perc_Global.Power]])-FIND(",",Table1[[#This Row],[CI_95perc_Global.Power]])-1))</f>
        <v>1.9779999999999999E-2</v>
      </c>
      <c r="BK15" s="10">
        <f>_xlfn.NUMBERVALUE(MID(Table1[[#This Row],[CI_95perc_Conjunctive.Power]],2,FIND(",",Table1[[#This Row],[CI_95perc_Conjunctive.Power]])-2))</f>
        <v>0</v>
      </c>
      <c r="BL15" s="10">
        <f>_xlfn.NUMBERVALUE(MID(Table1[[#This Row],[CI_95perc_Conjunctive.Power]],FIND(",",Table1[[#This Row],[CI_95perc_Conjunctive.Power]])+1,LEN(Table1[[#This Row],[CI_95perc_Conjunctive.Power]])-FIND(",",Table1[[#This Row],[CI_95perc_Conjunctive.Power]])-1))</f>
        <v>0</v>
      </c>
      <c r="BM15" s="10">
        <f>_xlfn.NUMBERVALUE(MID(Table1[[#This Row],[CI_95perc_Disjunctive.Power]],2,FIND(",",Table1[[#This Row],[CI_95perc_Disjunctive.Power]])-2))</f>
        <v>0</v>
      </c>
      <c r="BN15" s="10">
        <f>_xlfn.NUMBERVALUE(MID(Table1[[#This Row],[CI_95perc_Disjunctive.Power]],FIND(",",Table1[[#This Row],[CI_95perc_Disjunctive.Power]])+1,LEN(Table1[[#This Row],[CI_95perc_Disjunctive.Power]])-FIND(",",Table1[[#This Row],[CI_95perc_Disjunctive.Power]])-1))</f>
        <v>0</v>
      </c>
      <c r="BO15" s="10">
        <f>_xlfn.NUMBERVALUE(MID(Table1[[#This Row],[CI_95perc_FWER]],2,FIND(",",Table1[[#This Row],[CI_95perc_FWER]])-2))</f>
        <v>1.8079999999999999E-2</v>
      </c>
      <c r="BP15" s="10">
        <f>_xlfn.NUMBERVALUE(MID(Table1[[#This Row],[CI_95perc_FWER]],FIND(",",Table1[[#This Row],[CI_95perc_FWER]])+1,LEN(Table1[[#This Row],[CI_95perc_FWER]])-FIND(",",Table1[[#This Row],[CI_95perc_FWER]])-1))</f>
        <v>1.9779999999999999E-2</v>
      </c>
      <c r="BQ15" s="10" t="str">
        <f>_xlfn.CONCAT("(",TEXT(Table1[[#This Row],[LCL_Disj.Pow%]],"0.00%"), ", ",TEXT(Table1[[#This Row],[UCL_Disj.Pow%]],"0.00%"),")")</f>
        <v>(0.00%, 0.00%)</v>
      </c>
      <c r="BR15" s="10" t="str">
        <f>_xlfn.CONCAT("(",TEXT(Table1[[#This Row],[LCL_Conj.Pow%]],"0.00%"),", ",TEXT(Table1[[#This Row],[UCL_Conj.Pow%]],"0.00%"),")")</f>
        <v>(0.00%, 0.00%)</v>
      </c>
      <c r="BS15" s="10" t="str">
        <f>_xlfn.CONCAT("(",TEXT(Table1[[#This Row],[LCL_FWER%]],"0.00%"),", ",TEXT(Table1[[#This Row],[UCL_FWER%]],"0.00%"),")")</f>
        <v>(1.81%, 1.98%)</v>
      </c>
    </row>
    <row r="16" spans="1:71" x14ac:dyDescent="0.25">
      <c r="A16">
        <v>14</v>
      </c>
      <c r="B16" t="s">
        <v>66</v>
      </c>
      <c r="C16">
        <v>6534</v>
      </c>
      <c r="D16">
        <v>2.175405E-2</v>
      </c>
      <c r="E16">
        <v>0</v>
      </c>
      <c r="F16">
        <v>0</v>
      </c>
      <c r="G16">
        <v>2.175405E-2</v>
      </c>
      <c r="H16" t="s">
        <v>110</v>
      </c>
      <c r="I16" t="s">
        <v>83</v>
      </c>
      <c r="J16" t="s">
        <v>83</v>
      </c>
      <c r="K16" t="s">
        <v>110</v>
      </c>
      <c r="L16" s="1">
        <v>34392</v>
      </c>
      <c r="M16" t="s">
        <v>111</v>
      </c>
      <c r="N16">
        <v>2.2055800349844801</v>
      </c>
      <c r="O16" t="s">
        <v>85</v>
      </c>
      <c r="P16" t="s">
        <v>41</v>
      </c>
      <c r="Q16">
        <v>2000</v>
      </c>
      <c r="R16">
        <v>2.5000000000000001E-2</v>
      </c>
      <c r="S16" t="s">
        <v>42</v>
      </c>
      <c r="T16" t="s">
        <v>42</v>
      </c>
      <c r="U16" t="s">
        <v>64</v>
      </c>
      <c r="V16" t="s">
        <v>44</v>
      </c>
      <c r="W16">
        <v>3</v>
      </c>
      <c r="X16">
        <v>2</v>
      </c>
      <c r="Y16" t="s">
        <v>45</v>
      </c>
      <c r="Z16" t="s">
        <v>42</v>
      </c>
      <c r="AA16" t="s">
        <v>42</v>
      </c>
      <c r="AB16" t="s">
        <v>46</v>
      </c>
      <c r="AC16" t="s">
        <v>47</v>
      </c>
      <c r="AD16" t="s">
        <v>48</v>
      </c>
      <c r="AE16" t="s">
        <v>49</v>
      </c>
      <c r="AF16" t="s">
        <v>50</v>
      </c>
      <c r="AG16" t="s">
        <v>51</v>
      </c>
      <c r="AH16" t="s">
        <v>52</v>
      </c>
      <c r="AI16" t="s">
        <v>53</v>
      </c>
      <c r="AJ16" t="b">
        <v>0</v>
      </c>
      <c r="AK16" t="b">
        <v>1</v>
      </c>
      <c r="AL16">
        <v>1</v>
      </c>
      <c r="AM16">
        <v>1</v>
      </c>
      <c r="AN16" t="s">
        <v>56</v>
      </c>
      <c r="AO16" t="s">
        <v>60</v>
      </c>
      <c r="AP16">
        <v>1</v>
      </c>
      <c r="AQ16" t="b">
        <v>1</v>
      </c>
      <c r="AR16" t="s">
        <v>23</v>
      </c>
      <c r="AS16">
        <v>20000</v>
      </c>
      <c r="AT16">
        <v>2000</v>
      </c>
      <c r="AU16">
        <v>6534</v>
      </c>
      <c r="AV16" t="b">
        <v>1</v>
      </c>
      <c r="AW16" t="b">
        <v>0</v>
      </c>
      <c r="AX16" t="b">
        <v>1</v>
      </c>
      <c r="AY16" t="b">
        <v>1</v>
      </c>
      <c r="AZ16" t="s">
        <v>42</v>
      </c>
      <c r="BA16">
        <f>INDEX(Inp_CER_Bin_2eps3arms!$AN$2:$AN$176,MATCH(Table1[[#This Row],[ModelID]],Inp_CER_Bin_2eps3arms!$A$2:$A$176,0))</f>
        <v>0</v>
      </c>
      <c r="BB16" t="s">
        <v>42</v>
      </c>
      <c r="BC16" t="s">
        <v>620</v>
      </c>
      <c r="BD16" t="s">
        <v>628</v>
      </c>
      <c r="BE16" s="10">
        <f>Table1[[#This Row],[Global.Power]]</f>
        <v>2.175405E-2</v>
      </c>
      <c r="BF16" s="10">
        <f>Table1[[#This Row],[Conjunctive.Power]]</f>
        <v>0</v>
      </c>
      <c r="BG16" s="10">
        <f>Table1[[#This Row],[Disjunctive.Power]]</f>
        <v>0</v>
      </c>
      <c r="BH16" s="10">
        <f>Table1[[#This Row],[FWER]]</f>
        <v>2.175405E-2</v>
      </c>
      <c r="BI16" s="10">
        <f>_xlfn.NUMBERVALUE(MID(Table1[[#This Row],[CI_95perc_Global.Power]],2,FIND(",",Table1[[#This Row],[CI_95perc_Global.Power]])-2))</f>
        <v>2.0910000000000002E-2</v>
      </c>
      <c r="BJ16" s="10">
        <f>_xlfn.NUMBERVALUE(MID(Table1[[#This Row],[CI_95perc_Global.Power]],FIND(",",Table1[[#This Row],[CI_95perc_Global.Power]])+1,LEN(Table1[[#This Row],[CI_95perc_Global.Power]])-FIND(",",Table1[[#This Row],[CI_95perc_Global.Power]])-1))</f>
        <v>2.2589999999999999E-2</v>
      </c>
      <c r="BK16" s="10">
        <f>_xlfn.NUMBERVALUE(MID(Table1[[#This Row],[CI_95perc_Conjunctive.Power]],2,FIND(",",Table1[[#This Row],[CI_95perc_Conjunctive.Power]])-2))</f>
        <v>0</v>
      </c>
      <c r="BL16" s="10">
        <f>_xlfn.NUMBERVALUE(MID(Table1[[#This Row],[CI_95perc_Conjunctive.Power]],FIND(",",Table1[[#This Row],[CI_95perc_Conjunctive.Power]])+1,LEN(Table1[[#This Row],[CI_95perc_Conjunctive.Power]])-FIND(",",Table1[[#This Row],[CI_95perc_Conjunctive.Power]])-1))</f>
        <v>0</v>
      </c>
      <c r="BM16" s="10">
        <f>_xlfn.NUMBERVALUE(MID(Table1[[#This Row],[CI_95perc_Disjunctive.Power]],2,FIND(",",Table1[[#This Row],[CI_95perc_Disjunctive.Power]])-2))</f>
        <v>0</v>
      </c>
      <c r="BN16" s="10">
        <f>_xlfn.NUMBERVALUE(MID(Table1[[#This Row],[CI_95perc_Disjunctive.Power]],FIND(",",Table1[[#This Row],[CI_95perc_Disjunctive.Power]])+1,LEN(Table1[[#This Row],[CI_95perc_Disjunctive.Power]])-FIND(",",Table1[[#This Row],[CI_95perc_Disjunctive.Power]])-1))</f>
        <v>0</v>
      </c>
      <c r="BO16" s="10">
        <f>_xlfn.NUMBERVALUE(MID(Table1[[#This Row],[CI_95perc_FWER]],2,FIND(",",Table1[[#This Row],[CI_95perc_FWER]])-2))</f>
        <v>2.0910000000000002E-2</v>
      </c>
      <c r="BP16" s="10">
        <f>_xlfn.NUMBERVALUE(MID(Table1[[#This Row],[CI_95perc_FWER]],FIND(",",Table1[[#This Row],[CI_95perc_FWER]])+1,LEN(Table1[[#This Row],[CI_95perc_FWER]])-FIND(",",Table1[[#This Row],[CI_95perc_FWER]])-1))</f>
        <v>2.2589999999999999E-2</v>
      </c>
      <c r="BQ16" s="10" t="str">
        <f>_xlfn.CONCAT("(",TEXT(Table1[[#This Row],[LCL_Disj.Pow%]],"0.00%"), ", ",TEXT(Table1[[#This Row],[UCL_Disj.Pow%]],"0.00%"),")")</f>
        <v>(0.00%, 0.00%)</v>
      </c>
      <c r="BR16" s="10" t="str">
        <f>_xlfn.CONCAT("(",TEXT(Table1[[#This Row],[LCL_Conj.Pow%]],"0.00%"),", ",TEXT(Table1[[#This Row],[UCL_Conj.Pow%]],"0.00%"),")")</f>
        <v>(0.00%, 0.00%)</v>
      </c>
      <c r="BS16" s="10" t="str">
        <f>_xlfn.CONCAT("(",TEXT(Table1[[#This Row],[LCL_FWER%]],"0.00%"),", ",TEXT(Table1[[#This Row],[UCL_FWER%]],"0.00%"),")")</f>
        <v>(2.09%, 2.26%)</v>
      </c>
    </row>
    <row r="17" spans="1:71" x14ac:dyDescent="0.25">
      <c r="A17">
        <v>15</v>
      </c>
      <c r="B17" t="s">
        <v>598</v>
      </c>
      <c r="C17">
        <v>6534</v>
      </c>
      <c r="D17">
        <v>2.50136E-2</v>
      </c>
      <c r="E17">
        <v>0</v>
      </c>
      <c r="F17">
        <v>0</v>
      </c>
      <c r="G17">
        <v>2.50136E-2</v>
      </c>
      <c r="H17" t="s">
        <v>112</v>
      </c>
      <c r="I17" t="s">
        <v>83</v>
      </c>
      <c r="J17" t="s">
        <v>83</v>
      </c>
      <c r="K17" t="s">
        <v>112</v>
      </c>
      <c r="L17" s="1">
        <v>37444</v>
      </c>
      <c r="M17" t="s">
        <v>113</v>
      </c>
      <c r="N17">
        <v>3.0320998538864998</v>
      </c>
      <c r="O17" t="s">
        <v>85</v>
      </c>
      <c r="P17" t="s">
        <v>41</v>
      </c>
      <c r="Q17">
        <v>2000</v>
      </c>
      <c r="R17">
        <v>2.5000000000000001E-2</v>
      </c>
      <c r="S17" t="s">
        <v>42</v>
      </c>
      <c r="T17" t="s">
        <v>42</v>
      </c>
      <c r="U17" t="s">
        <v>43</v>
      </c>
      <c r="V17" t="s">
        <v>54</v>
      </c>
      <c r="W17">
        <v>3</v>
      </c>
      <c r="X17">
        <v>2</v>
      </c>
      <c r="Y17" t="s">
        <v>45</v>
      </c>
      <c r="Z17" t="s">
        <v>42</v>
      </c>
      <c r="AA17" t="s">
        <v>42</v>
      </c>
      <c r="AB17" t="s">
        <v>46</v>
      </c>
      <c r="AC17" t="s">
        <v>47</v>
      </c>
      <c r="AD17" t="s">
        <v>48</v>
      </c>
      <c r="AE17" t="s">
        <v>49</v>
      </c>
      <c r="AF17" t="s">
        <v>50</v>
      </c>
      <c r="AG17" t="s">
        <v>51</v>
      </c>
      <c r="AH17" t="s">
        <v>52</v>
      </c>
      <c r="AI17" t="s">
        <v>53</v>
      </c>
      <c r="AJ17" t="b">
        <v>0</v>
      </c>
      <c r="AK17" t="b">
        <v>0</v>
      </c>
      <c r="AL17" t="s">
        <v>42</v>
      </c>
      <c r="AM17" t="s">
        <v>42</v>
      </c>
      <c r="AN17" t="s">
        <v>42</v>
      </c>
      <c r="AO17" t="s">
        <v>42</v>
      </c>
      <c r="AP17" t="s">
        <v>42</v>
      </c>
      <c r="AQ17" t="s">
        <v>42</v>
      </c>
      <c r="AR17" t="s">
        <v>54</v>
      </c>
      <c r="AS17">
        <v>20000</v>
      </c>
      <c r="AT17">
        <v>2000</v>
      </c>
      <c r="AU17">
        <v>6534</v>
      </c>
      <c r="AV17" t="b">
        <v>1</v>
      </c>
      <c r="AW17" t="b">
        <v>0</v>
      </c>
      <c r="AX17" t="b">
        <v>1</v>
      </c>
      <c r="AY17" t="b">
        <v>1</v>
      </c>
      <c r="AZ17" t="s">
        <v>42</v>
      </c>
      <c r="BA17">
        <f>INDEX(Inp_CER_Bin_2eps3arms!$AN$2:$AN$176,MATCH(Table1[[#This Row],[ModelID]],Inp_CER_Bin_2eps3arms!$A$2:$A$176,0))</f>
        <v>0</v>
      </c>
      <c r="BB17" t="s">
        <v>42</v>
      </c>
      <c r="BC17" t="s">
        <v>618</v>
      </c>
      <c r="BD17" t="s">
        <v>628</v>
      </c>
      <c r="BE17" s="10">
        <f>Table1[[#This Row],[Global.Power]]</f>
        <v>2.50136E-2</v>
      </c>
      <c r="BF17" s="10">
        <f>Table1[[#This Row],[Conjunctive.Power]]</f>
        <v>0</v>
      </c>
      <c r="BG17" s="10">
        <f>Table1[[#This Row],[Disjunctive.Power]]</f>
        <v>0</v>
      </c>
      <c r="BH17" s="10">
        <f>Table1[[#This Row],[FWER]]</f>
        <v>2.50136E-2</v>
      </c>
      <c r="BI17" s="10">
        <f>_xlfn.NUMBERVALUE(MID(Table1[[#This Row],[CI_95perc_Global.Power]],2,FIND(",",Table1[[#This Row],[CI_95perc_Global.Power]])-2))</f>
        <v>2.4109999999999999E-2</v>
      </c>
      <c r="BJ17" s="10">
        <f>_xlfn.NUMBERVALUE(MID(Table1[[#This Row],[CI_95perc_Global.Power]],FIND(",",Table1[[#This Row],[CI_95perc_Global.Power]])+1,LEN(Table1[[#This Row],[CI_95perc_Global.Power]])-FIND(",",Table1[[#This Row],[CI_95perc_Global.Power]])-1))</f>
        <v>2.5909999999999999E-2</v>
      </c>
      <c r="BK17" s="10">
        <f>_xlfn.NUMBERVALUE(MID(Table1[[#This Row],[CI_95perc_Conjunctive.Power]],2,FIND(",",Table1[[#This Row],[CI_95perc_Conjunctive.Power]])-2))</f>
        <v>0</v>
      </c>
      <c r="BL17" s="10">
        <f>_xlfn.NUMBERVALUE(MID(Table1[[#This Row],[CI_95perc_Conjunctive.Power]],FIND(",",Table1[[#This Row],[CI_95perc_Conjunctive.Power]])+1,LEN(Table1[[#This Row],[CI_95perc_Conjunctive.Power]])-FIND(",",Table1[[#This Row],[CI_95perc_Conjunctive.Power]])-1))</f>
        <v>0</v>
      </c>
      <c r="BM17" s="10">
        <f>_xlfn.NUMBERVALUE(MID(Table1[[#This Row],[CI_95perc_Disjunctive.Power]],2,FIND(",",Table1[[#This Row],[CI_95perc_Disjunctive.Power]])-2))</f>
        <v>0</v>
      </c>
      <c r="BN17" s="10">
        <f>_xlfn.NUMBERVALUE(MID(Table1[[#This Row],[CI_95perc_Disjunctive.Power]],FIND(",",Table1[[#This Row],[CI_95perc_Disjunctive.Power]])+1,LEN(Table1[[#This Row],[CI_95perc_Disjunctive.Power]])-FIND(",",Table1[[#This Row],[CI_95perc_Disjunctive.Power]])-1))</f>
        <v>0</v>
      </c>
      <c r="BO17" s="10">
        <f>_xlfn.NUMBERVALUE(MID(Table1[[#This Row],[CI_95perc_FWER]],2,FIND(",",Table1[[#This Row],[CI_95perc_FWER]])-2))</f>
        <v>2.4109999999999999E-2</v>
      </c>
      <c r="BP17" s="10">
        <f>_xlfn.NUMBERVALUE(MID(Table1[[#This Row],[CI_95perc_FWER]],FIND(",",Table1[[#This Row],[CI_95perc_FWER]])+1,LEN(Table1[[#This Row],[CI_95perc_FWER]])-FIND(",",Table1[[#This Row],[CI_95perc_FWER]])-1))</f>
        <v>2.5909999999999999E-2</v>
      </c>
      <c r="BQ17" s="10" t="str">
        <f>_xlfn.CONCAT("(",TEXT(Table1[[#This Row],[LCL_Disj.Pow%]],"0.00%"), ", ",TEXT(Table1[[#This Row],[UCL_Disj.Pow%]],"0.00%"),")")</f>
        <v>(0.00%, 0.00%)</v>
      </c>
      <c r="BR17" s="10" t="str">
        <f>_xlfn.CONCAT("(",TEXT(Table1[[#This Row],[LCL_Conj.Pow%]],"0.00%"),", ",TEXT(Table1[[#This Row],[UCL_Conj.Pow%]],"0.00%"),")")</f>
        <v>(0.00%, 0.00%)</v>
      </c>
      <c r="BS17" s="10" t="str">
        <f>_xlfn.CONCAT("(",TEXT(Table1[[#This Row],[LCL_FWER%]],"0.00%"),", ",TEXT(Table1[[#This Row],[UCL_FWER%]],"0.00%"),")")</f>
        <v>(2.41%, 2.59%)</v>
      </c>
    </row>
    <row r="18" spans="1:71" x14ac:dyDescent="0.25">
      <c r="A18">
        <v>16</v>
      </c>
      <c r="B18" t="s">
        <v>67</v>
      </c>
      <c r="C18">
        <v>6534</v>
      </c>
      <c r="D18">
        <v>1.9438549999999999E-2</v>
      </c>
      <c r="E18">
        <v>0</v>
      </c>
      <c r="F18">
        <v>0</v>
      </c>
      <c r="G18">
        <v>1.9438549999999999E-2</v>
      </c>
      <c r="H18" t="s">
        <v>114</v>
      </c>
      <c r="I18" t="s">
        <v>83</v>
      </c>
      <c r="J18" t="s">
        <v>83</v>
      </c>
      <c r="K18" t="s">
        <v>114</v>
      </c>
      <c r="L18" s="1">
        <v>37342</v>
      </c>
      <c r="M18" t="s">
        <v>115</v>
      </c>
      <c r="N18">
        <v>1.05495531108644</v>
      </c>
      <c r="O18" t="s">
        <v>85</v>
      </c>
      <c r="P18" t="s">
        <v>41</v>
      </c>
      <c r="Q18">
        <v>2000</v>
      </c>
      <c r="R18">
        <v>2.5000000000000001E-2</v>
      </c>
      <c r="S18" t="s">
        <v>42</v>
      </c>
      <c r="T18" t="s">
        <v>42</v>
      </c>
      <c r="U18" t="s">
        <v>43</v>
      </c>
      <c r="V18" t="s">
        <v>54</v>
      </c>
      <c r="W18">
        <v>3</v>
      </c>
      <c r="X18">
        <v>2</v>
      </c>
      <c r="Y18" t="s">
        <v>45</v>
      </c>
      <c r="Z18" t="s">
        <v>42</v>
      </c>
      <c r="AA18" t="s">
        <v>42</v>
      </c>
      <c r="AB18" t="s">
        <v>46</v>
      </c>
      <c r="AC18" t="s">
        <v>47</v>
      </c>
      <c r="AD18" t="s">
        <v>48</v>
      </c>
      <c r="AE18" t="s">
        <v>49</v>
      </c>
      <c r="AF18" t="s">
        <v>50</v>
      </c>
      <c r="AG18" t="s">
        <v>51</v>
      </c>
      <c r="AH18" t="s">
        <v>52</v>
      </c>
      <c r="AI18" t="s">
        <v>53</v>
      </c>
      <c r="AJ18" t="b">
        <v>0</v>
      </c>
      <c r="AK18" t="b">
        <v>1</v>
      </c>
      <c r="AL18">
        <v>1</v>
      </c>
      <c r="AM18">
        <v>1</v>
      </c>
      <c r="AN18" t="s">
        <v>56</v>
      </c>
      <c r="AO18" t="s">
        <v>57</v>
      </c>
      <c r="AP18">
        <v>0.25</v>
      </c>
      <c r="AQ18" t="b">
        <v>1</v>
      </c>
      <c r="AR18" t="s">
        <v>23</v>
      </c>
      <c r="AS18">
        <v>20000</v>
      </c>
      <c r="AT18">
        <v>2000</v>
      </c>
      <c r="AU18">
        <v>6534</v>
      </c>
      <c r="AV18" t="b">
        <v>1</v>
      </c>
      <c r="AW18" t="b">
        <v>0</v>
      </c>
      <c r="AX18" t="b">
        <v>1</v>
      </c>
      <c r="AY18" t="b">
        <v>1</v>
      </c>
      <c r="AZ18" t="s">
        <v>42</v>
      </c>
      <c r="BA18">
        <f>INDEX(Inp_CER_Bin_2eps3arms!$AN$2:$AN$176,MATCH(Table1[[#This Row],[ModelID]],Inp_CER_Bin_2eps3arms!$A$2:$A$176,0))</f>
        <v>0</v>
      </c>
      <c r="BB18" t="s">
        <v>42</v>
      </c>
      <c r="BC18" t="s">
        <v>621</v>
      </c>
      <c r="BD18" t="s">
        <v>628</v>
      </c>
      <c r="BE18" s="10">
        <f>Table1[[#This Row],[Global.Power]]</f>
        <v>1.9438549999999999E-2</v>
      </c>
      <c r="BF18" s="10">
        <f>Table1[[#This Row],[Conjunctive.Power]]</f>
        <v>0</v>
      </c>
      <c r="BG18" s="10">
        <f>Table1[[#This Row],[Disjunctive.Power]]</f>
        <v>0</v>
      </c>
      <c r="BH18" s="10">
        <f>Table1[[#This Row],[FWER]]</f>
        <v>1.9438549999999999E-2</v>
      </c>
      <c r="BI18" s="10">
        <f>_xlfn.NUMBERVALUE(MID(Table1[[#This Row],[CI_95perc_Global.Power]],2,FIND(",",Table1[[#This Row],[CI_95perc_Global.Power]])-2))</f>
        <v>1.857E-2</v>
      </c>
      <c r="BJ18" s="10">
        <f>_xlfn.NUMBERVALUE(MID(Table1[[#This Row],[CI_95perc_Global.Power]],FIND(",",Table1[[#This Row],[CI_95perc_Global.Power]])+1,LEN(Table1[[#This Row],[CI_95perc_Global.Power]])-FIND(",",Table1[[#This Row],[CI_95perc_Global.Power]])-1))</f>
        <v>2.0310000000000002E-2</v>
      </c>
      <c r="BK18" s="10">
        <f>_xlfn.NUMBERVALUE(MID(Table1[[#This Row],[CI_95perc_Conjunctive.Power]],2,FIND(",",Table1[[#This Row],[CI_95perc_Conjunctive.Power]])-2))</f>
        <v>0</v>
      </c>
      <c r="BL18" s="10">
        <f>_xlfn.NUMBERVALUE(MID(Table1[[#This Row],[CI_95perc_Conjunctive.Power]],FIND(",",Table1[[#This Row],[CI_95perc_Conjunctive.Power]])+1,LEN(Table1[[#This Row],[CI_95perc_Conjunctive.Power]])-FIND(",",Table1[[#This Row],[CI_95perc_Conjunctive.Power]])-1))</f>
        <v>0</v>
      </c>
      <c r="BM18" s="10">
        <f>_xlfn.NUMBERVALUE(MID(Table1[[#This Row],[CI_95perc_Disjunctive.Power]],2,FIND(",",Table1[[#This Row],[CI_95perc_Disjunctive.Power]])-2))</f>
        <v>0</v>
      </c>
      <c r="BN18" s="10">
        <f>_xlfn.NUMBERVALUE(MID(Table1[[#This Row],[CI_95perc_Disjunctive.Power]],FIND(",",Table1[[#This Row],[CI_95perc_Disjunctive.Power]])+1,LEN(Table1[[#This Row],[CI_95perc_Disjunctive.Power]])-FIND(",",Table1[[#This Row],[CI_95perc_Disjunctive.Power]])-1))</f>
        <v>0</v>
      </c>
      <c r="BO18" s="10">
        <f>_xlfn.NUMBERVALUE(MID(Table1[[#This Row],[CI_95perc_FWER]],2,FIND(",",Table1[[#This Row],[CI_95perc_FWER]])-2))</f>
        <v>1.857E-2</v>
      </c>
      <c r="BP18" s="10">
        <f>_xlfn.NUMBERVALUE(MID(Table1[[#This Row],[CI_95perc_FWER]],FIND(",",Table1[[#This Row],[CI_95perc_FWER]])+1,LEN(Table1[[#This Row],[CI_95perc_FWER]])-FIND(",",Table1[[#This Row],[CI_95perc_FWER]])-1))</f>
        <v>2.0310000000000002E-2</v>
      </c>
      <c r="BQ18" s="10" t="str">
        <f>_xlfn.CONCAT("(",TEXT(Table1[[#This Row],[LCL_Disj.Pow%]],"0.00%"), ", ",TEXT(Table1[[#This Row],[UCL_Disj.Pow%]],"0.00%"),")")</f>
        <v>(0.00%, 0.00%)</v>
      </c>
      <c r="BR18" s="10" t="str">
        <f>_xlfn.CONCAT("(",TEXT(Table1[[#This Row],[LCL_Conj.Pow%]],"0.00%"),", ",TEXT(Table1[[#This Row],[UCL_Conj.Pow%]],"0.00%"),")")</f>
        <v>(0.00%, 0.00%)</v>
      </c>
      <c r="BS18" s="10" t="str">
        <f>_xlfn.CONCAT("(",TEXT(Table1[[#This Row],[LCL_FWER%]],"0.00%"),", ",TEXT(Table1[[#This Row],[UCL_FWER%]],"0.00%"),")")</f>
        <v>(1.86%, 2.03%)</v>
      </c>
    </row>
    <row r="19" spans="1:71" x14ac:dyDescent="0.25">
      <c r="A19">
        <v>17</v>
      </c>
      <c r="B19" t="s">
        <v>68</v>
      </c>
      <c r="C19">
        <v>6534</v>
      </c>
      <c r="D19">
        <v>2.2210500000000001E-2</v>
      </c>
      <c r="E19">
        <v>0</v>
      </c>
      <c r="F19">
        <v>0</v>
      </c>
      <c r="G19">
        <v>2.2210500000000001E-2</v>
      </c>
      <c r="H19" t="s">
        <v>104</v>
      </c>
      <c r="I19" t="s">
        <v>83</v>
      </c>
      <c r="J19" t="s">
        <v>83</v>
      </c>
      <c r="K19" t="s">
        <v>104</v>
      </c>
      <c r="L19" s="1">
        <v>37399</v>
      </c>
      <c r="M19" t="s">
        <v>116</v>
      </c>
      <c r="N19">
        <v>2.44142700420486</v>
      </c>
      <c r="O19" t="s">
        <v>85</v>
      </c>
      <c r="P19" t="s">
        <v>41</v>
      </c>
      <c r="Q19">
        <v>2000</v>
      </c>
      <c r="R19">
        <v>2.5000000000000001E-2</v>
      </c>
      <c r="S19" t="s">
        <v>42</v>
      </c>
      <c r="T19" t="s">
        <v>42</v>
      </c>
      <c r="U19" t="s">
        <v>43</v>
      </c>
      <c r="V19" t="s">
        <v>54</v>
      </c>
      <c r="W19">
        <v>3</v>
      </c>
      <c r="X19">
        <v>2</v>
      </c>
      <c r="Y19" t="s">
        <v>45</v>
      </c>
      <c r="Z19" t="s">
        <v>42</v>
      </c>
      <c r="AA19" t="s">
        <v>42</v>
      </c>
      <c r="AB19" t="s">
        <v>46</v>
      </c>
      <c r="AC19" t="s">
        <v>47</v>
      </c>
      <c r="AD19" t="s">
        <v>48</v>
      </c>
      <c r="AE19" t="s">
        <v>49</v>
      </c>
      <c r="AF19" t="s">
        <v>50</v>
      </c>
      <c r="AG19" t="s">
        <v>51</v>
      </c>
      <c r="AH19" t="s">
        <v>52</v>
      </c>
      <c r="AI19" t="s">
        <v>53</v>
      </c>
      <c r="AJ19" t="b">
        <v>0</v>
      </c>
      <c r="AK19" t="b">
        <v>1</v>
      </c>
      <c r="AL19">
        <v>1</v>
      </c>
      <c r="AM19">
        <v>1</v>
      </c>
      <c r="AN19" t="s">
        <v>56</v>
      </c>
      <c r="AO19" t="s">
        <v>60</v>
      </c>
      <c r="AP19">
        <v>1</v>
      </c>
      <c r="AQ19" t="b">
        <v>1</v>
      </c>
      <c r="AR19" t="s">
        <v>23</v>
      </c>
      <c r="AS19">
        <v>20000</v>
      </c>
      <c r="AT19">
        <v>2000</v>
      </c>
      <c r="AU19">
        <v>6534</v>
      </c>
      <c r="AV19" t="b">
        <v>1</v>
      </c>
      <c r="AW19" t="b">
        <v>0</v>
      </c>
      <c r="AX19" t="b">
        <v>1</v>
      </c>
      <c r="AY19" t="b">
        <v>1</v>
      </c>
      <c r="AZ19" t="s">
        <v>42</v>
      </c>
      <c r="BA19">
        <f>INDEX(Inp_CER_Bin_2eps3arms!$AN$2:$AN$176,MATCH(Table1[[#This Row],[ModelID]],Inp_CER_Bin_2eps3arms!$A$2:$A$176,0))</f>
        <v>0</v>
      </c>
      <c r="BB19" t="s">
        <v>42</v>
      </c>
      <c r="BC19" t="s">
        <v>620</v>
      </c>
      <c r="BD19" t="s">
        <v>628</v>
      </c>
      <c r="BE19" s="10">
        <f>Table1[[#This Row],[Global.Power]]</f>
        <v>2.2210500000000001E-2</v>
      </c>
      <c r="BF19" s="10">
        <f>Table1[[#This Row],[Conjunctive.Power]]</f>
        <v>0</v>
      </c>
      <c r="BG19" s="10">
        <f>Table1[[#This Row],[Disjunctive.Power]]</f>
        <v>0</v>
      </c>
      <c r="BH19" s="10">
        <f>Table1[[#This Row],[FWER]]</f>
        <v>2.2210500000000001E-2</v>
      </c>
      <c r="BI19" s="10">
        <f>_xlfn.NUMBERVALUE(MID(Table1[[#This Row],[CI_95perc_Global.Power]],2,FIND(",",Table1[[#This Row],[CI_95perc_Global.Power]])-2))</f>
        <v>2.1350000000000001E-2</v>
      </c>
      <c r="BJ19" s="10">
        <f>_xlfn.NUMBERVALUE(MID(Table1[[#This Row],[CI_95perc_Global.Power]],FIND(",",Table1[[#This Row],[CI_95perc_Global.Power]])+1,LEN(Table1[[#This Row],[CI_95perc_Global.Power]])-FIND(",",Table1[[#This Row],[CI_95perc_Global.Power]])-1))</f>
        <v>2.307E-2</v>
      </c>
      <c r="BK19" s="10">
        <f>_xlfn.NUMBERVALUE(MID(Table1[[#This Row],[CI_95perc_Conjunctive.Power]],2,FIND(",",Table1[[#This Row],[CI_95perc_Conjunctive.Power]])-2))</f>
        <v>0</v>
      </c>
      <c r="BL19" s="10">
        <f>_xlfn.NUMBERVALUE(MID(Table1[[#This Row],[CI_95perc_Conjunctive.Power]],FIND(",",Table1[[#This Row],[CI_95perc_Conjunctive.Power]])+1,LEN(Table1[[#This Row],[CI_95perc_Conjunctive.Power]])-FIND(",",Table1[[#This Row],[CI_95perc_Conjunctive.Power]])-1))</f>
        <v>0</v>
      </c>
      <c r="BM19" s="10">
        <f>_xlfn.NUMBERVALUE(MID(Table1[[#This Row],[CI_95perc_Disjunctive.Power]],2,FIND(",",Table1[[#This Row],[CI_95perc_Disjunctive.Power]])-2))</f>
        <v>0</v>
      </c>
      <c r="BN19" s="10">
        <f>_xlfn.NUMBERVALUE(MID(Table1[[#This Row],[CI_95perc_Disjunctive.Power]],FIND(",",Table1[[#This Row],[CI_95perc_Disjunctive.Power]])+1,LEN(Table1[[#This Row],[CI_95perc_Disjunctive.Power]])-FIND(",",Table1[[#This Row],[CI_95perc_Disjunctive.Power]])-1))</f>
        <v>0</v>
      </c>
      <c r="BO19" s="10">
        <f>_xlfn.NUMBERVALUE(MID(Table1[[#This Row],[CI_95perc_FWER]],2,FIND(",",Table1[[#This Row],[CI_95perc_FWER]])-2))</f>
        <v>2.1350000000000001E-2</v>
      </c>
      <c r="BP19" s="10">
        <f>_xlfn.NUMBERVALUE(MID(Table1[[#This Row],[CI_95perc_FWER]],FIND(",",Table1[[#This Row],[CI_95perc_FWER]])+1,LEN(Table1[[#This Row],[CI_95perc_FWER]])-FIND(",",Table1[[#This Row],[CI_95perc_FWER]])-1))</f>
        <v>2.307E-2</v>
      </c>
      <c r="BQ19" s="10" t="str">
        <f>_xlfn.CONCAT("(",TEXT(Table1[[#This Row],[LCL_Disj.Pow%]],"0.00%"), ", ",TEXT(Table1[[#This Row],[UCL_Disj.Pow%]],"0.00%"),")")</f>
        <v>(0.00%, 0.00%)</v>
      </c>
      <c r="BR19" s="10" t="str">
        <f>_xlfn.CONCAT("(",TEXT(Table1[[#This Row],[LCL_Conj.Pow%]],"0.00%"),", ",TEXT(Table1[[#This Row],[UCL_Conj.Pow%]],"0.00%"),")")</f>
        <v>(0.00%, 0.00%)</v>
      </c>
      <c r="BS19" s="10" t="str">
        <f>_xlfn.CONCAT("(",TEXT(Table1[[#This Row],[LCL_FWER%]],"0.00%"),", ",TEXT(Table1[[#This Row],[UCL_FWER%]],"0.00%"),")")</f>
        <v>(2.14%, 2.31%)</v>
      </c>
    </row>
    <row r="20" spans="1:71" x14ac:dyDescent="0.25">
      <c r="A20" s="3">
        <v>18</v>
      </c>
      <c r="B20" t="s">
        <v>599</v>
      </c>
      <c r="C20">
        <v>5873</v>
      </c>
      <c r="D20">
        <v>9.1000000000000004E-3</v>
      </c>
      <c r="E20">
        <v>0</v>
      </c>
      <c r="F20">
        <v>0</v>
      </c>
      <c r="G20">
        <v>9.1000000000000004E-3</v>
      </c>
      <c r="H20" t="s">
        <v>181</v>
      </c>
      <c r="I20" t="s">
        <v>83</v>
      </c>
      <c r="J20" t="s">
        <v>83</v>
      </c>
      <c r="K20" t="s">
        <v>181</v>
      </c>
      <c r="L20" s="1">
        <v>24158</v>
      </c>
      <c r="M20" t="s">
        <v>182</v>
      </c>
      <c r="N20">
        <v>0.10617722385459499</v>
      </c>
      <c r="O20" t="s">
        <v>85</v>
      </c>
      <c r="P20" t="s">
        <v>117</v>
      </c>
      <c r="Q20" s="2">
        <v>2000</v>
      </c>
      <c r="R20" s="2">
        <v>2.5000000000000001E-2</v>
      </c>
      <c r="S20" s="2" t="s">
        <v>42</v>
      </c>
      <c r="T20" s="2" t="s">
        <v>42</v>
      </c>
      <c r="U20" s="2" t="s">
        <v>43</v>
      </c>
      <c r="V20" s="2" t="s">
        <v>44</v>
      </c>
      <c r="W20" s="2">
        <v>5</v>
      </c>
      <c r="X20" s="2">
        <v>2</v>
      </c>
      <c r="Y20" s="2" t="s">
        <v>118</v>
      </c>
      <c r="Z20" s="2" t="s">
        <v>42</v>
      </c>
      <c r="AA20" s="2" t="s">
        <v>42</v>
      </c>
      <c r="AB20" s="2" t="s">
        <v>119</v>
      </c>
      <c r="AC20" t="s">
        <v>122</v>
      </c>
      <c r="AD20" s="2" t="s">
        <v>120</v>
      </c>
      <c r="AE20" t="s">
        <v>124</v>
      </c>
      <c r="AF20" t="s">
        <v>125</v>
      </c>
      <c r="AG20" s="2" t="s">
        <v>51</v>
      </c>
      <c r="AH20" t="s">
        <v>52</v>
      </c>
      <c r="AI20" t="s">
        <v>53</v>
      </c>
      <c r="AJ20" t="b">
        <v>1</v>
      </c>
      <c r="AK20" t="b">
        <v>0</v>
      </c>
      <c r="AL20" t="s">
        <v>42</v>
      </c>
      <c r="AM20" t="s">
        <v>42</v>
      </c>
      <c r="AN20" t="s">
        <v>42</v>
      </c>
      <c r="AO20" t="s">
        <v>42</v>
      </c>
      <c r="AP20" t="s">
        <v>42</v>
      </c>
      <c r="AQ20" t="s">
        <v>42</v>
      </c>
      <c r="AR20" t="s">
        <v>54</v>
      </c>
      <c r="AS20">
        <v>20000</v>
      </c>
      <c r="AT20">
        <v>500</v>
      </c>
      <c r="AU20" t="s">
        <v>121</v>
      </c>
      <c r="AV20" t="b">
        <v>0</v>
      </c>
      <c r="AW20" t="b">
        <v>0</v>
      </c>
      <c r="AX20" t="b">
        <v>1</v>
      </c>
      <c r="AY20" t="b">
        <v>0</v>
      </c>
      <c r="AZ20" t="b">
        <v>0</v>
      </c>
      <c r="BA20">
        <f>INDEX(Inp_CER_Bin_2eps3arms!$AN$2:$AN$176,MATCH(Table1[[#This Row],[ModelID]],Inp_CER_Bin_2eps3arms!$A$2:$A$176,0))</f>
        <v>0</v>
      </c>
      <c r="BB20" t="s">
        <v>42</v>
      </c>
      <c r="BC20" t="s">
        <v>618</v>
      </c>
      <c r="BD20" t="s">
        <v>628</v>
      </c>
      <c r="BE20" s="10">
        <f>Table1[[#This Row],[Global.Power]]</f>
        <v>9.1000000000000004E-3</v>
      </c>
      <c r="BF20" s="10">
        <f>Table1[[#This Row],[Conjunctive.Power]]</f>
        <v>0</v>
      </c>
      <c r="BG20" s="10">
        <f>Table1[[#This Row],[Disjunctive.Power]]</f>
        <v>0</v>
      </c>
      <c r="BH20" s="10">
        <f>Table1[[#This Row],[FWER]]</f>
        <v>9.1000000000000004E-3</v>
      </c>
      <c r="BI20" s="10">
        <f>_xlfn.NUMBERVALUE(MID(Table1[[#This Row],[CI_95perc_Global.Power]],2,FIND(",",Table1[[#This Row],[CI_95perc_Global.Power]])-2))</f>
        <v>7.7799999999999996E-3</v>
      </c>
      <c r="BJ20" s="10">
        <f>_xlfn.NUMBERVALUE(MID(Table1[[#This Row],[CI_95perc_Global.Power]],FIND(",",Table1[[#This Row],[CI_95perc_Global.Power]])+1,LEN(Table1[[#This Row],[CI_95perc_Global.Power]])-FIND(",",Table1[[#This Row],[CI_95perc_Global.Power]])-1))</f>
        <v>1.042E-2</v>
      </c>
      <c r="BK20" s="10">
        <f>_xlfn.NUMBERVALUE(MID(Table1[[#This Row],[CI_95perc_Conjunctive.Power]],2,FIND(",",Table1[[#This Row],[CI_95perc_Conjunctive.Power]])-2))</f>
        <v>0</v>
      </c>
      <c r="BL20" s="10">
        <f>_xlfn.NUMBERVALUE(MID(Table1[[#This Row],[CI_95perc_Conjunctive.Power]],FIND(",",Table1[[#This Row],[CI_95perc_Conjunctive.Power]])+1,LEN(Table1[[#This Row],[CI_95perc_Conjunctive.Power]])-FIND(",",Table1[[#This Row],[CI_95perc_Conjunctive.Power]])-1))</f>
        <v>0</v>
      </c>
      <c r="BM20" s="10">
        <f>_xlfn.NUMBERVALUE(MID(Table1[[#This Row],[CI_95perc_Disjunctive.Power]],2,FIND(",",Table1[[#This Row],[CI_95perc_Disjunctive.Power]])-2))</f>
        <v>0</v>
      </c>
      <c r="BN20" s="10">
        <f>_xlfn.NUMBERVALUE(MID(Table1[[#This Row],[CI_95perc_Disjunctive.Power]],FIND(",",Table1[[#This Row],[CI_95perc_Disjunctive.Power]])+1,LEN(Table1[[#This Row],[CI_95perc_Disjunctive.Power]])-FIND(",",Table1[[#This Row],[CI_95perc_Disjunctive.Power]])-1))</f>
        <v>0</v>
      </c>
      <c r="BO20" s="10">
        <f>_xlfn.NUMBERVALUE(MID(Table1[[#This Row],[CI_95perc_FWER]],2,FIND(",",Table1[[#This Row],[CI_95perc_FWER]])-2))</f>
        <v>7.7799999999999996E-3</v>
      </c>
      <c r="BP20" s="10">
        <f>_xlfn.NUMBERVALUE(MID(Table1[[#This Row],[CI_95perc_FWER]],FIND(",",Table1[[#This Row],[CI_95perc_FWER]])+1,LEN(Table1[[#This Row],[CI_95perc_FWER]])-FIND(",",Table1[[#This Row],[CI_95perc_FWER]])-1))</f>
        <v>1.042E-2</v>
      </c>
      <c r="BQ20" s="10" t="str">
        <f>_xlfn.CONCAT("(",TEXT(Table1[[#This Row],[LCL_Disj.Pow%]],"0.00%"), ", ",TEXT(Table1[[#This Row],[UCL_Disj.Pow%]],"0.00%"),")")</f>
        <v>(0.00%, 0.00%)</v>
      </c>
      <c r="BR20" s="10" t="str">
        <f>_xlfn.CONCAT("(",TEXT(Table1[[#This Row],[LCL_Conj.Pow%]],"0.00%"),", ",TEXT(Table1[[#This Row],[UCL_Conj.Pow%]],"0.00%"),")")</f>
        <v>(0.00%, 0.00%)</v>
      </c>
      <c r="BS20" s="10" t="str">
        <f>_xlfn.CONCAT("(",TEXT(Table1[[#This Row],[LCL_FWER%]],"0.00%"),", ",TEXT(Table1[[#This Row],[UCL_FWER%]],"0.00%"),")")</f>
        <v>(0.78%, 1.04%)</v>
      </c>
    </row>
    <row r="21" spans="1:71" x14ac:dyDescent="0.25">
      <c r="A21">
        <v>19</v>
      </c>
      <c r="B21" t="s">
        <v>600</v>
      </c>
      <c r="C21">
        <v>4140</v>
      </c>
      <c r="D21">
        <v>2.2661500000000001E-2</v>
      </c>
      <c r="E21">
        <v>0</v>
      </c>
      <c r="F21">
        <v>0</v>
      </c>
      <c r="G21">
        <v>2.2661500000000001E-2</v>
      </c>
      <c r="H21" t="s">
        <v>183</v>
      </c>
      <c r="I21" t="s">
        <v>83</v>
      </c>
      <c r="J21" t="s">
        <v>83</v>
      </c>
      <c r="K21" t="s">
        <v>183</v>
      </c>
      <c r="L21" s="1">
        <v>25403</v>
      </c>
      <c r="M21" t="s">
        <v>184</v>
      </c>
      <c r="N21">
        <v>1.34996476696597</v>
      </c>
      <c r="O21" t="s">
        <v>85</v>
      </c>
      <c r="P21" t="s">
        <v>41</v>
      </c>
      <c r="Q21" s="2">
        <v>2000</v>
      </c>
      <c r="R21" s="2">
        <v>2.5000000000000001E-2</v>
      </c>
      <c r="S21" s="2" t="s">
        <v>42</v>
      </c>
      <c r="T21" s="2" t="s">
        <v>42</v>
      </c>
      <c r="U21" s="2" t="s">
        <v>43</v>
      </c>
      <c r="V21" s="2" t="s">
        <v>44</v>
      </c>
      <c r="W21" s="2">
        <v>5</v>
      </c>
      <c r="X21" s="2">
        <v>2</v>
      </c>
      <c r="Y21" s="2" t="s">
        <v>118</v>
      </c>
      <c r="Z21" s="2" t="s">
        <v>42</v>
      </c>
      <c r="AA21" s="2" t="s">
        <v>42</v>
      </c>
      <c r="AB21" s="2" t="s">
        <v>119</v>
      </c>
      <c r="AC21" t="s">
        <v>122</v>
      </c>
      <c r="AD21" s="2" t="s">
        <v>120</v>
      </c>
      <c r="AE21" t="s">
        <v>124</v>
      </c>
      <c r="AF21" t="s">
        <v>125</v>
      </c>
      <c r="AG21" s="2" t="s">
        <v>51</v>
      </c>
      <c r="AH21" t="s">
        <v>52</v>
      </c>
      <c r="AI21" t="s">
        <v>53</v>
      </c>
      <c r="AJ21" t="b">
        <v>1</v>
      </c>
      <c r="AK21" t="b">
        <v>0</v>
      </c>
      <c r="AL21" t="s">
        <v>42</v>
      </c>
      <c r="AM21" t="s">
        <v>42</v>
      </c>
      <c r="AN21" t="s">
        <v>42</v>
      </c>
      <c r="AO21" t="s">
        <v>42</v>
      </c>
      <c r="AP21" t="s">
        <v>42</v>
      </c>
      <c r="AQ21" t="s">
        <v>42</v>
      </c>
      <c r="AR21" t="s">
        <v>54</v>
      </c>
      <c r="AS21">
        <v>20000</v>
      </c>
      <c r="AT21">
        <v>500</v>
      </c>
      <c r="AU21" t="s">
        <v>121</v>
      </c>
      <c r="AV21" t="b">
        <v>0</v>
      </c>
      <c r="AW21" t="b">
        <v>0</v>
      </c>
      <c r="AX21" t="b">
        <v>1</v>
      </c>
      <c r="AY21" t="b">
        <v>0</v>
      </c>
      <c r="AZ21" t="b">
        <v>0</v>
      </c>
      <c r="BA21">
        <f>INDEX(Inp_CER_Bin_2eps3arms!$AN$2:$AN$176,MATCH(Table1[[#This Row],[ModelID]],Inp_CER_Bin_2eps3arms!$A$2:$A$176,0))</f>
        <v>0</v>
      </c>
      <c r="BB21" t="s">
        <v>42</v>
      </c>
      <c r="BC21" t="s">
        <v>618</v>
      </c>
      <c r="BD21" t="s">
        <v>628</v>
      </c>
      <c r="BE21" s="10">
        <f>Table1[[#This Row],[Global.Power]]</f>
        <v>2.2661500000000001E-2</v>
      </c>
      <c r="BF21" s="10">
        <f>Table1[[#This Row],[Conjunctive.Power]]</f>
        <v>0</v>
      </c>
      <c r="BG21" s="10">
        <f>Table1[[#This Row],[Disjunctive.Power]]</f>
        <v>0</v>
      </c>
      <c r="BH21" s="10">
        <f>Table1[[#This Row],[FWER]]</f>
        <v>2.2661500000000001E-2</v>
      </c>
      <c r="BI21" s="10">
        <f>_xlfn.NUMBERVALUE(MID(Table1[[#This Row],[CI_95perc_Global.Power]],2,FIND(",",Table1[[#This Row],[CI_95perc_Global.Power]])-2))</f>
        <v>2.1829999999999999E-2</v>
      </c>
      <c r="BJ21" s="10">
        <f>_xlfn.NUMBERVALUE(MID(Table1[[#This Row],[CI_95perc_Global.Power]],FIND(",",Table1[[#This Row],[CI_95perc_Global.Power]])+1,LEN(Table1[[#This Row],[CI_95perc_Global.Power]])-FIND(",",Table1[[#This Row],[CI_95perc_Global.Power]])-1))</f>
        <v>2.349E-2</v>
      </c>
      <c r="BK21" s="10">
        <f>_xlfn.NUMBERVALUE(MID(Table1[[#This Row],[CI_95perc_Conjunctive.Power]],2,FIND(",",Table1[[#This Row],[CI_95perc_Conjunctive.Power]])-2))</f>
        <v>0</v>
      </c>
      <c r="BL21" s="10">
        <f>_xlfn.NUMBERVALUE(MID(Table1[[#This Row],[CI_95perc_Conjunctive.Power]],FIND(",",Table1[[#This Row],[CI_95perc_Conjunctive.Power]])+1,LEN(Table1[[#This Row],[CI_95perc_Conjunctive.Power]])-FIND(",",Table1[[#This Row],[CI_95perc_Conjunctive.Power]])-1))</f>
        <v>0</v>
      </c>
      <c r="BM21" s="10">
        <f>_xlfn.NUMBERVALUE(MID(Table1[[#This Row],[CI_95perc_Disjunctive.Power]],2,FIND(",",Table1[[#This Row],[CI_95perc_Disjunctive.Power]])-2))</f>
        <v>0</v>
      </c>
      <c r="BN21" s="10">
        <f>_xlfn.NUMBERVALUE(MID(Table1[[#This Row],[CI_95perc_Disjunctive.Power]],FIND(",",Table1[[#This Row],[CI_95perc_Disjunctive.Power]])+1,LEN(Table1[[#This Row],[CI_95perc_Disjunctive.Power]])-FIND(",",Table1[[#This Row],[CI_95perc_Disjunctive.Power]])-1))</f>
        <v>0</v>
      </c>
      <c r="BO21" s="10">
        <f>_xlfn.NUMBERVALUE(MID(Table1[[#This Row],[CI_95perc_FWER]],2,FIND(",",Table1[[#This Row],[CI_95perc_FWER]])-2))</f>
        <v>2.1829999999999999E-2</v>
      </c>
      <c r="BP21" s="10">
        <f>_xlfn.NUMBERVALUE(MID(Table1[[#This Row],[CI_95perc_FWER]],FIND(",",Table1[[#This Row],[CI_95perc_FWER]])+1,LEN(Table1[[#This Row],[CI_95perc_FWER]])-FIND(",",Table1[[#This Row],[CI_95perc_FWER]])-1))</f>
        <v>2.349E-2</v>
      </c>
      <c r="BQ21" s="10" t="str">
        <f>_xlfn.CONCAT("(",TEXT(Table1[[#This Row],[LCL_Disj.Pow%]],"0.00%"), ", ",TEXT(Table1[[#This Row],[UCL_Disj.Pow%]],"0.00%"),")")</f>
        <v>(0.00%, 0.00%)</v>
      </c>
      <c r="BR21" s="10" t="str">
        <f>_xlfn.CONCAT("(",TEXT(Table1[[#This Row],[LCL_Conj.Pow%]],"0.00%"),", ",TEXT(Table1[[#This Row],[UCL_Conj.Pow%]],"0.00%"),")")</f>
        <v>(0.00%, 0.00%)</v>
      </c>
      <c r="BS21" s="10" t="str">
        <f>_xlfn.CONCAT("(",TEXT(Table1[[#This Row],[LCL_FWER%]],"0.00%"),", ",TEXT(Table1[[#This Row],[UCL_FWER%]],"0.00%"),")")</f>
        <v>(2.18%, 2.35%)</v>
      </c>
    </row>
    <row r="22" spans="1:71" x14ac:dyDescent="0.25">
      <c r="A22">
        <v>20</v>
      </c>
      <c r="B22" t="s">
        <v>169</v>
      </c>
      <c r="C22">
        <v>90</v>
      </c>
      <c r="D22">
        <v>8.8000000000000005E-3</v>
      </c>
      <c r="E22">
        <v>0</v>
      </c>
      <c r="F22">
        <v>0</v>
      </c>
      <c r="G22">
        <v>8.8000000000000005E-3</v>
      </c>
      <c r="H22" t="s">
        <v>185</v>
      </c>
      <c r="I22" t="s">
        <v>83</v>
      </c>
      <c r="J22" t="s">
        <v>83</v>
      </c>
      <c r="K22" t="s">
        <v>185</v>
      </c>
      <c r="L22" s="1">
        <v>24152</v>
      </c>
      <c r="M22" t="s">
        <v>186</v>
      </c>
      <c r="N22">
        <v>9.7848201062944201E-2</v>
      </c>
      <c r="O22" t="s">
        <v>85</v>
      </c>
      <c r="P22" t="s">
        <v>117</v>
      </c>
      <c r="Q22" s="2">
        <v>2000</v>
      </c>
      <c r="R22">
        <v>2.5000000000000001E-2</v>
      </c>
      <c r="S22" t="s">
        <v>42</v>
      </c>
      <c r="T22" t="s">
        <v>42</v>
      </c>
      <c r="U22" t="s">
        <v>43</v>
      </c>
      <c r="V22" s="2" t="s">
        <v>44</v>
      </c>
      <c r="W22">
        <v>5</v>
      </c>
      <c r="X22">
        <v>2</v>
      </c>
      <c r="Y22" s="2" t="s">
        <v>118</v>
      </c>
      <c r="Z22" s="2" t="s">
        <v>42</v>
      </c>
      <c r="AA22" s="2" t="s">
        <v>42</v>
      </c>
      <c r="AB22" s="2" t="s">
        <v>119</v>
      </c>
      <c r="AC22" t="s">
        <v>122</v>
      </c>
      <c r="AD22" t="s">
        <v>123</v>
      </c>
      <c r="AE22" t="s">
        <v>124</v>
      </c>
      <c r="AF22" t="s">
        <v>125</v>
      </c>
      <c r="AG22" t="s">
        <v>51</v>
      </c>
      <c r="AH22" t="s">
        <v>126</v>
      </c>
      <c r="AI22" t="s">
        <v>53</v>
      </c>
      <c r="AJ22" t="b">
        <v>1</v>
      </c>
      <c r="AK22" t="b">
        <v>1</v>
      </c>
      <c r="AL22">
        <v>1</v>
      </c>
      <c r="AM22">
        <v>1</v>
      </c>
      <c r="AN22" t="s">
        <v>56</v>
      </c>
      <c r="AO22" t="s">
        <v>57</v>
      </c>
      <c r="AP22">
        <v>0.75</v>
      </c>
      <c r="AQ22" t="b">
        <v>1</v>
      </c>
      <c r="AR22" t="s">
        <v>23</v>
      </c>
      <c r="AS22">
        <v>20000</v>
      </c>
      <c r="AT22">
        <v>500</v>
      </c>
      <c r="AU22" t="s">
        <v>121</v>
      </c>
      <c r="AV22" t="b">
        <v>0</v>
      </c>
      <c r="AW22" t="b">
        <v>0</v>
      </c>
      <c r="AX22" t="b">
        <v>1</v>
      </c>
      <c r="AY22" t="b">
        <v>0</v>
      </c>
      <c r="AZ22" t="b">
        <v>0</v>
      </c>
      <c r="BA22">
        <f>INDEX(Inp_CER_Bin_2eps3arms!$AN$2:$AN$176,MATCH(Table1[[#This Row],[ModelID]],Inp_CER_Bin_2eps3arms!$A$2:$A$176,0))</f>
        <v>0</v>
      </c>
      <c r="BB22" t="s">
        <v>42</v>
      </c>
      <c r="BC22" t="s">
        <v>619</v>
      </c>
      <c r="BD22" t="s">
        <v>628</v>
      </c>
      <c r="BE22" s="10">
        <f>Table1[[#This Row],[Global.Power]]</f>
        <v>8.8000000000000005E-3</v>
      </c>
      <c r="BF22" s="10">
        <f>Table1[[#This Row],[Conjunctive.Power]]</f>
        <v>0</v>
      </c>
      <c r="BG22" s="10">
        <f>Table1[[#This Row],[Disjunctive.Power]]</f>
        <v>0</v>
      </c>
      <c r="BH22" s="10">
        <f>Table1[[#This Row],[FWER]]</f>
        <v>8.8000000000000005E-3</v>
      </c>
      <c r="BI22" s="10">
        <f>_xlfn.NUMBERVALUE(MID(Table1[[#This Row],[CI_95perc_Global.Power]],2,FIND(",",Table1[[#This Row],[CI_95perc_Global.Power]])-2))</f>
        <v>7.5100000000000002E-3</v>
      </c>
      <c r="BJ22" s="10">
        <f>_xlfn.NUMBERVALUE(MID(Table1[[#This Row],[CI_95perc_Global.Power]],FIND(",",Table1[[#This Row],[CI_95perc_Global.Power]])+1,LEN(Table1[[#This Row],[CI_95perc_Global.Power]])-FIND(",",Table1[[#This Row],[CI_95perc_Global.Power]])-1))</f>
        <v>1.009E-2</v>
      </c>
      <c r="BK22" s="10">
        <f>_xlfn.NUMBERVALUE(MID(Table1[[#This Row],[CI_95perc_Conjunctive.Power]],2,FIND(",",Table1[[#This Row],[CI_95perc_Conjunctive.Power]])-2))</f>
        <v>0</v>
      </c>
      <c r="BL22" s="10">
        <f>_xlfn.NUMBERVALUE(MID(Table1[[#This Row],[CI_95perc_Conjunctive.Power]],FIND(",",Table1[[#This Row],[CI_95perc_Conjunctive.Power]])+1,LEN(Table1[[#This Row],[CI_95perc_Conjunctive.Power]])-FIND(",",Table1[[#This Row],[CI_95perc_Conjunctive.Power]])-1))</f>
        <v>0</v>
      </c>
      <c r="BM22" s="10">
        <f>_xlfn.NUMBERVALUE(MID(Table1[[#This Row],[CI_95perc_Disjunctive.Power]],2,FIND(",",Table1[[#This Row],[CI_95perc_Disjunctive.Power]])-2))</f>
        <v>0</v>
      </c>
      <c r="BN22" s="10">
        <f>_xlfn.NUMBERVALUE(MID(Table1[[#This Row],[CI_95perc_Disjunctive.Power]],FIND(",",Table1[[#This Row],[CI_95perc_Disjunctive.Power]])+1,LEN(Table1[[#This Row],[CI_95perc_Disjunctive.Power]])-FIND(",",Table1[[#This Row],[CI_95perc_Disjunctive.Power]])-1))</f>
        <v>0</v>
      </c>
      <c r="BO22" s="10">
        <f>_xlfn.NUMBERVALUE(MID(Table1[[#This Row],[CI_95perc_FWER]],2,FIND(",",Table1[[#This Row],[CI_95perc_FWER]])-2))</f>
        <v>7.5100000000000002E-3</v>
      </c>
      <c r="BP22" s="10">
        <f>_xlfn.NUMBERVALUE(MID(Table1[[#This Row],[CI_95perc_FWER]],FIND(",",Table1[[#This Row],[CI_95perc_FWER]])+1,LEN(Table1[[#This Row],[CI_95perc_FWER]])-FIND(",",Table1[[#This Row],[CI_95perc_FWER]])-1))</f>
        <v>1.009E-2</v>
      </c>
      <c r="BQ22" s="10" t="str">
        <f>_xlfn.CONCAT("(",TEXT(Table1[[#This Row],[LCL_Disj.Pow%]],"0.00%"), ", ",TEXT(Table1[[#This Row],[UCL_Disj.Pow%]],"0.00%"),")")</f>
        <v>(0.00%, 0.00%)</v>
      </c>
      <c r="BR22" s="10" t="str">
        <f>_xlfn.CONCAT("(",TEXT(Table1[[#This Row],[LCL_Conj.Pow%]],"0.00%"),", ",TEXT(Table1[[#This Row],[UCL_Conj.Pow%]],"0.00%"),")")</f>
        <v>(0.00%, 0.00%)</v>
      </c>
      <c r="BS22" s="10" t="str">
        <f>_xlfn.CONCAT("(",TEXT(Table1[[#This Row],[LCL_FWER%]],"0.00%"),", ",TEXT(Table1[[#This Row],[UCL_FWER%]],"0.00%"),")")</f>
        <v>(0.75%, 1.01%)</v>
      </c>
    </row>
    <row r="23" spans="1:71" x14ac:dyDescent="0.25">
      <c r="A23">
        <v>21</v>
      </c>
      <c r="B23" t="s">
        <v>170</v>
      </c>
      <c r="C23">
        <v>9325</v>
      </c>
      <c r="D23">
        <v>2.2772799999999999E-2</v>
      </c>
      <c r="E23">
        <v>0</v>
      </c>
      <c r="F23">
        <v>0</v>
      </c>
      <c r="G23">
        <v>2.2772799999999999E-2</v>
      </c>
      <c r="H23" t="s">
        <v>187</v>
      </c>
      <c r="I23" t="s">
        <v>83</v>
      </c>
      <c r="J23" t="s">
        <v>83</v>
      </c>
      <c r="K23" t="s">
        <v>187</v>
      </c>
      <c r="L23" s="1">
        <v>29410</v>
      </c>
      <c r="M23" t="s">
        <v>188</v>
      </c>
      <c r="N23">
        <v>1.0704053866863299</v>
      </c>
      <c r="O23" t="s">
        <v>85</v>
      </c>
      <c r="P23" t="s">
        <v>41</v>
      </c>
      <c r="Q23" s="2">
        <v>2000</v>
      </c>
      <c r="R23">
        <v>2.5000000000000001E-2</v>
      </c>
      <c r="S23" t="s">
        <v>42</v>
      </c>
      <c r="T23" t="s">
        <v>42</v>
      </c>
      <c r="U23" t="s">
        <v>43</v>
      </c>
      <c r="V23" s="2" t="s">
        <v>44</v>
      </c>
      <c r="W23">
        <v>5</v>
      </c>
      <c r="X23">
        <v>2</v>
      </c>
      <c r="Y23" s="2" t="s">
        <v>118</v>
      </c>
      <c r="Z23" s="2" t="s">
        <v>42</v>
      </c>
      <c r="AA23" s="2" t="s">
        <v>42</v>
      </c>
      <c r="AB23" s="2" t="s">
        <v>119</v>
      </c>
      <c r="AC23" t="s">
        <v>122</v>
      </c>
      <c r="AD23" t="s">
        <v>123</v>
      </c>
      <c r="AE23" t="s">
        <v>124</v>
      </c>
      <c r="AF23" t="s">
        <v>125</v>
      </c>
      <c r="AG23" t="s">
        <v>51</v>
      </c>
      <c r="AH23" t="s">
        <v>126</v>
      </c>
      <c r="AI23" t="s">
        <v>53</v>
      </c>
      <c r="AJ23" t="b">
        <v>1</v>
      </c>
      <c r="AK23" t="b">
        <v>1</v>
      </c>
      <c r="AL23">
        <v>1</v>
      </c>
      <c r="AM23">
        <v>1</v>
      </c>
      <c r="AN23" t="s">
        <v>56</v>
      </c>
      <c r="AO23" t="s">
        <v>57</v>
      </c>
      <c r="AP23">
        <v>0.75</v>
      </c>
      <c r="AQ23" t="b">
        <v>1</v>
      </c>
      <c r="AR23" t="s">
        <v>23</v>
      </c>
      <c r="AS23">
        <v>20000</v>
      </c>
      <c r="AT23">
        <v>500</v>
      </c>
      <c r="AU23" t="s">
        <v>121</v>
      </c>
      <c r="AV23" t="b">
        <v>0</v>
      </c>
      <c r="AW23" t="b">
        <v>0</v>
      </c>
      <c r="AX23" t="b">
        <v>1</v>
      </c>
      <c r="AY23" t="b">
        <v>0</v>
      </c>
      <c r="AZ23" t="b">
        <v>0</v>
      </c>
      <c r="BA23">
        <f>INDEX(Inp_CER_Bin_2eps3arms!$AN$2:$AN$176,MATCH(Table1[[#This Row],[ModelID]],Inp_CER_Bin_2eps3arms!$A$2:$A$176,0))</f>
        <v>0</v>
      </c>
      <c r="BB23" t="s">
        <v>42</v>
      </c>
      <c r="BC23" t="s">
        <v>619</v>
      </c>
      <c r="BD23" t="s">
        <v>628</v>
      </c>
      <c r="BE23" s="10">
        <f>Table1[[#This Row],[Global.Power]]</f>
        <v>2.2772799999999999E-2</v>
      </c>
      <c r="BF23" s="10">
        <f>Table1[[#This Row],[Conjunctive.Power]]</f>
        <v>0</v>
      </c>
      <c r="BG23" s="10">
        <f>Table1[[#This Row],[Disjunctive.Power]]</f>
        <v>0</v>
      </c>
      <c r="BH23" s="10">
        <f>Table1[[#This Row],[FWER]]</f>
        <v>2.2772799999999999E-2</v>
      </c>
      <c r="BI23" s="10">
        <f>_xlfn.NUMBERVALUE(MID(Table1[[#This Row],[CI_95perc_Global.Power]],2,FIND(",",Table1[[#This Row],[CI_95perc_Global.Power]])-2))</f>
        <v>2.1919999999999999E-2</v>
      </c>
      <c r="BJ23" s="10">
        <f>_xlfn.NUMBERVALUE(MID(Table1[[#This Row],[CI_95perc_Global.Power]],FIND(",",Table1[[#This Row],[CI_95perc_Global.Power]])+1,LEN(Table1[[#This Row],[CI_95perc_Global.Power]])-FIND(",",Table1[[#This Row],[CI_95perc_Global.Power]])-1))</f>
        <v>2.3619999999999999E-2</v>
      </c>
      <c r="BK23" s="10">
        <f>_xlfn.NUMBERVALUE(MID(Table1[[#This Row],[CI_95perc_Conjunctive.Power]],2,FIND(",",Table1[[#This Row],[CI_95perc_Conjunctive.Power]])-2))</f>
        <v>0</v>
      </c>
      <c r="BL23" s="10">
        <f>_xlfn.NUMBERVALUE(MID(Table1[[#This Row],[CI_95perc_Conjunctive.Power]],FIND(",",Table1[[#This Row],[CI_95perc_Conjunctive.Power]])+1,LEN(Table1[[#This Row],[CI_95perc_Conjunctive.Power]])-FIND(",",Table1[[#This Row],[CI_95perc_Conjunctive.Power]])-1))</f>
        <v>0</v>
      </c>
      <c r="BM23" s="10">
        <f>_xlfn.NUMBERVALUE(MID(Table1[[#This Row],[CI_95perc_Disjunctive.Power]],2,FIND(",",Table1[[#This Row],[CI_95perc_Disjunctive.Power]])-2))</f>
        <v>0</v>
      </c>
      <c r="BN23" s="10">
        <f>_xlfn.NUMBERVALUE(MID(Table1[[#This Row],[CI_95perc_Disjunctive.Power]],FIND(",",Table1[[#This Row],[CI_95perc_Disjunctive.Power]])+1,LEN(Table1[[#This Row],[CI_95perc_Disjunctive.Power]])-FIND(",",Table1[[#This Row],[CI_95perc_Disjunctive.Power]])-1))</f>
        <v>0</v>
      </c>
      <c r="BO23" s="10">
        <f>_xlfn.NUMBERVALUE(MID(Table1[[#This Row],[CI_95perc_FWER]],2,FIND(",",Table1[[#This Row],[CI_95perc_FWER]])-2))</f>
        <v>2.1919999999999999E-2</v>
      </c>
      <c r="BP23" s="10">
        <f>_xlfn.NUMBERVALUE(MID(Table1[[#This Row],[CI_95perc_FWER]],FIND(",",Table1[[#This Row],[CI_95perc_FWER]])+1,LEN(Table1[[#This Row],[CI_95perc_FWER]])-FIND(",",Table1[[#This Row],[CI_95perc_FWER]])-1))</f>
        <v>2.3619999999999999E-2</v>
      </c>
      <c r="BQ23" s="10" t="str">
        <f>_xlfn.CONCAT("(",TEXT(Table1[[#This Row],[LCL_Disj.Pow%]],"0.00%"), ", ",TEXT(Table1[[#This Row],[UCL_Disj.Pow%]],"0.00%"),")")</f>
        <v>(0.00%, 0.00%)</v>
      </c>
      <c r="BR23" s="10" t="str">
        <f>_xlfn.CONCAT("(",TEXT(Table1[[#This Row],[LCL_Conj.Pow%]],"0.00%"),", ",TEXT(Table1[[#This Row],[UCL_Conj.Pow%]],"0.00%"),")")</f>
        <v>(0.00%, 0.00%)</v>
      </c>
      <c r="BS23" s="10" t="str">
        <f>_xlfn.CONCAT("(",TEXT(Table1[[#This Row],[LCL_FWER%]],"0.00%"),", ",TEXT(Table1[[#This Row],[UCL_FWER%]],"0.00%"),")")</f>
        <v>(2.19%, 2.36%)</v>
      </c>
    </row>
    <row r="24" spans="1:71" x14ac:dyDescent="0.25">
      <c r="A24">
        <v>22</v>
      </c>
      <c r="B24" t="s">
        <v>171</v>
      </c>
      <c r="C24">
        <v>2036</v>
      </c>
      <c r="D24">
        <v>9.3500000000000007E-3</v>
      </c>
      <c r="E24">
        <v>0</v>
      </c>
      <c r="F24">
        <v>0</v>
      </c>
      <c r="G24">
        <v>9.3500000000000007E-3</v>
      </c>
      <c r="H24" t="s">
        <v>189</v>
      </c>
      <c r="I24" t="s">
        <v>83</v>
      </c>
      <c r="J24" t="s">
        <v>83</v>
      </c>
      <c r="K24" t="s">
        <v>189</v>
      </c>
      <c r="L24" s="1">
        <v>21166</v>
      </c>
      <c r="M24" t="s">
        <v>190</v>
      </c>
      <c r="N24">
        <v>8.7788380848036904E-2</v>
      </c>
      <c r="O24" t="s">
        <v>85</v>
      </c>
      <c r="P24" t="s">
        <v>117</v>
      </c>
      <c r="Q24" s="2">
        <v>2000</v>
      </c>
      <c r="R24">
        <v>2.5000000000000001E-2</v>
      </c>
      <c r="S24" t="s">
        <v>42</v>
      </c>
      <c r="T24" t="s">
        <v>42</v>
      </c>
      <c r="U24" t="s">
        <v>43</v>
      </c>
      <c r="V24" s="2" t="s">
        <v>44</v>
      </c>
      <c r="W24">
        <v>5</v>
      </c>
      <c r="X24">
        <v>2</v>
      </c>
      <c r="Y24" s="2" t="s">
        <v>118</v>
      </c>
      <c r="Z24" s="2" t="s">
        <v>42</v>
      </c>
      <c r="AA24" s="2" t="s">
        <v>42</v>
      </c>
      <c r="AB24" s="2" t="s">
        <v>119</v>
      </c>
      <c r="AC24" t="s">
        <v>122</v>
      </c>
      <c r="AD24" t="s">
        <v>123</v>
      </c>
      <c r="AE24" t="s">
        <v>124</v>
      </c>
      <c r="AF24" t="s">
        <v>125</v>
      </c>
      <c r="AG24" t="s">
        <v>51</v>
      </c>
      <c r="AH24" t="s">
        <v>126</v>
      </c>
      <c r="AI24" t="s">
        <v>53</v>
      </c>
      <c r="AJ24" t="b">
        <v>1</v>
      </c>
      <c r="AK24" t="b">
        <v>1</v>
      </c>
      <c r="AL24">
        <v>1</v>
      </c>
      <c r="AM24">
        <v>1</v>
      </c>
      <c r="AN24" t="s">
        <v>56</v>
      </c>
      <c r="AO24" t="s">
        <v>57</v>
      </c>
      <c r="AP24">
        <v>0.5</v>
      </c>
      <c r="AQ24" t="b">
        <v>1</v>
      </c>
      <c r="AR24" t="s">
        <v>23</v>
      </c>
      <c r="AS24">
        <v>20000</v>
      </c>
      <c r="AT24">
        <v>500</v>
      </c>
      <c r="AU24" t="s">
        <v>121</v>
      </c>
      <c r="AV24" t="b">
        <v>0</v>
      </c>
      <c r="AW24" t="b">
        <v>0</v>
      </c>
      <c r="AX24" t="b">
        <v>1</v>
      </c>
      <c r="AY24" t="b">
        <v>0</v>
      </c>
      <c r="AZ24" t="b">
        <v>0</v>
      </c>
      <c r="BA24">
        <f>INDEX(Inp_CER_Bin_2eps3arms!$AN$2:$AN$176,MATCH(Table1[[#This Row],[ModelID]],Inp_CER_Bin_2eps3arms!$A$2:$A$176,0))</f>
        <v>0</v>
      </c>
      <c r="BB24" t="s">
        <v>42</v>
      </c>
      <c r="BC24" t="s">
        <v>622</v>
      </c>
      <c r="BD24" t="s">
        <v>628</v>
      </c>
      <c r="BE24" s="10">
        <f>Table1[[#This Row],[Global.Power]]</f>
        <v>9.3500000000000007E-3</v>
      </c>
      <c r="BF24" s="10">
        <f>Table1[[#This Row],[Conjunctive.Power]]</f>
        <v>0</v>
      </c>
      <c r="BG24" s="10">
        <f>Table1[[#This Row],[Disjunctive.Power]]</f>
        <v>0</v>
      </c>
      <c r="BH24" s="10">
        <f>Table1[[#This Row],[FWER]]</f>
        <v>9.3500000000000007E-3</v>
      </c>
      <c r="BI24" s="10">
        <f>_xlfn.NUMBERVALUE(MID(Table1[[#This Row],[CI_95perc_Global.Power]],2,FIND(",",Table1[[#This Row],[CI_95perc_Global.Power]])-2))</f>
        <v>8.0199999999999994E-3</v>
      </c>
      <c r="BJ24" s="10">
        <f>_xlfn.NUMBERVALUE(MID(Table1[[#This Row],[CI_95perc_Global.Power]],FIND(",",Table1[[#This Row],[CI_95perc_Global.Power]])+1,LEN(Table1[[#This Row],[CI_95perc_Global.Power]])-FIND(",",Table1[[#This Row],[CI_95perc_Global.Power]])-1))</f>
        <v>1.068E-2</v>
      </c>
      <c r="BK24" s="10">
        <f>_xlfn.NUMBERVALUE(MID(Table1[[#This Row],[CI_95perc_Conjunctive.Power]],2,FIND(",",Table1[[#This Row],[CI_95perc_Conjunctive.Power]])-2))</f>
        <v>0</v>
      </c>
      <c r="BL24" s="10">
        <f>_xlfn.NUMBERVALUE(MID(Table1[[#This Row],[CI_95perc_Conjunctive.Power]],FIND(",",Table1[[#This Row],[CI_95perc_Conjunctive.Power]])+1,LEN(Table1[[#This Row],[CI_95perc_Conjunctive.Power]])-FIND(",",Table1[[#This Row],[CI_95perc_Conjunctive.Power]])-1))</f>
        <v>0</v>
      </c>
      <c r="BM24" s="10">
        <f>_xlfn.NUMBERVALUE(MID(Table1[[#This Row],[CI_95perc_Disjunctive.Power]],2,FIND(",",Table1[[#This Row],[CI_95perc_Disjunctive.Power]])-2))</f>
        <v>0</v>
      </c>
      <c r="BN24" s="10">
        <f>_xlfn.NUMBERVALUE(MID(Table1[[#This Row],[CI_95perc_Disjunctive.Power]],FIND(",",Table1[[#This Row],[CI_95perc_Disjunctive.Power]])+1,LEN(Table1[[#This Row],[CI_95perc_Disjunctive.Power]])-FIND(",",Table1[[#This Row],[CI_95perc_Disjunctive.Power]])-1))</f>
        <v>0</v>
      </c>
      <c r="BO24" s="10">
        <f>_xlfn.NUMBERVALUE(MID(Table1[[#This Row],[CI_95perc_FWER]],2,FIND(",",Table1[[#This Row],[CI_95perc_FWER]])-2))</f>
        <v>8.0199999999999994E-3</v>
      </c>
      <c r="BP24" s="10">
        <f>_xlfn.NUMBERVALUE(MID(Table1[[#This Row],[CI_95perc_FWER]],FIND(",",Table1[[#This Row],[CI_95perc_FWER]])+1,LEN(Table1[[#This Row],[CI_95perc_FWER]])-FIND(",",Table1[[#This Row],[CI_95perc_FWER]])-1))</f>
        <v>1.068E-2</v>
      </c>
      <c r="BQ24" s="10" t="str">
        <f>_xlfn.CONCAT("(",TEXT(Table1[[#This Row],[LCL_Disj.Pow%]],"0.00%"), ", ",TEXT(Table1[[#This Row],[UCL_Disj.Pow%]],"0.00%"),")")</f>
        <v>(0.00%, 0.00%)</v>
      </c>
      <c r="BR24" s="10" t="str">
        <f>_xlfn.CONCAT("(",TEXT(Table1[[#This Row],[LCL_Conj.Pow%]],"0.00%"),", ",TEXT(Table1[[#This Row],[UCL_Conj.Pow%]],"0.00%"),")")</f>
        <v>(0.00%, 0.00%)</v>
      </c>
      <c r="BS24" s="10" t="str">
        <f>_xlfn.CONCAT("(",TEXT(Table1[[#This Row],[LCL_FWER%]],"0.00%"),", ",TEXT(Table1[[#This Row],[UCL_FWER%]],"0.00%"),")")</f>
        <v>(0.80%, 1.07%)</v>
      </c>
    </row>
    <row r="25" spans="1:71" x14ac:dyDescent="0.25">
      <c r="A25">
        <v>23</v>
      </c>
      <c r="B25" t="s">
        <v>172</v>
      </c>
      <c r="C25">
        <v>3522</v>
      </c>
      <c r="D25">
        <v>2.2487900000000002E-2</v>
      </c>
      <c r="E25">
        <v>0</v>
      </c>
      <c r="F25">
        <v>0</v>
      </c>
      <c r="G25">
        <v>2.2487900000000002E-2</v>
      </c>
      <c r="H25" t="s">
        <v>191</v>
      </c>
      <c r="I25" t="s">
        <v>83</v>
      </c>
      <c r="J25" t="s">
        <v>83</v>
      </c>
      <c r="K25" t="s">
        <v>191</v>
      </c>
      <c r="L25" s="1">
        <v>24396</v>
      </c>
      <c r="M25" t="s">
        <v>192</v>
      </c>
      <c r="N25">
        <v>0.85286209556791504</v>
      </c>
      <c r="O25" t="s">
        <v>85</v>
      </c>
      <c r="P25" t="s">
        <v>41</v>
      </c>
      <c r="Q25" s="2">
        <v>2000</v>
      </c>
      <c r="R25">
        <v>2.5000000000000001E-2</v>
      </c>
      <c r="S25" t="s">
        <v>42</v>
      </c>
      <c r="T25" t="s">
        <v>42</v>
      </c>
      <c r="U25" t="s">
        <v>43</v>
      </c>
      <c r="V25" s="2" t="s">
        <v>44</v>
      </c>
      <c r="W25">
        <v>5</v>
      </c>
      <c r="X25">
        <v>2</v>
      </c>
      <c r="Y25" s="2" t="s">
        <v>118</v>
      </c>
      <c r="Z25" s="2" t="s">
        <v>42</v>
      </c>
      <c r="AA25" s="2" t="s">
        <v>42</v>
      </c>
      <c r="AB25" s="2" t="s">
        <v>119</v>
      </c>
      <c r="AC25" t="s">
        <v>122</v>
      </c>
      <c r="AD25" t="s">
        <v>123</v>
      </c>
      <c r="AE25" t="s">
        <v>124</v>
      </c>
      <c r="AF25" t="s">
        <v>125</v>
      </c>
      <c r="AG25" t="s">
        <v>51</v>
      </c>
      <c r="AH25" t="s">
        <v>126</v>
      </c>
      <c r="AI25" t="s">
        <v>53</v>
      </c>
      <c r="AJ25" t="b">
        <v>1</v>
      </c>
      <c r="AK25" t="b">
        <v>1</v>
      </c>
      <c r="AL25">
        <v>1</v>
      </c>
      <c r="AM25">
        <v>1</v>
      </c>
      <c r="AN25" t="s">
        <v>56</v>
      </c>
      <c r="AO25" t="s">
        <v>57</v>
      </c>
      <c r="AP25">
        <v>0.5</v>
      </c>
      <c r="AQ25" t="b">
        <v>1</v>
      </c>
      <c r="AR25" t="s">
        <v>23</v>
      </c>
      <c r="AS25">
        <v>20000</v>
      </c>
      <c r="AT25">
        <v>500</v>
      </c>
      <c r="AU25" t="s">
        <v>121</v>
      </c>
      <c r="AV25" t="b">
        <v>0</v>
      </c>
      <c r="AW25" t="b">
        <v>0</v>
      </c>
      <c r="AX25" t="b">
        <v>1</v>
      </c>
      <c r="AY25" t="b">
        <v>0</v>
      </c>
      <c r="AZ25" t="b">
        <v>0</v>
      </c>
      <c r="BA25">
        <f>INDEX(Inp_CER_Bin_2eps3arms!$AN$2:$AN$176,MATCH(Table1[[#This Row],[ModelID]],Inp_CER_Bin_2eps3arms!$A$2:$A$176,0))</f>
        <v>0</v>
      </c>
      <c r="BB25" t="s">
        <v>42</v>
      </c>
      <c r="BC25" t="s">
        <v>622</v>
      </c>
      <c r="BD25" t="s">
        <v>628</v>
      </c>
      <c r="BE25" s="10">
        <f>Table1[[#This Row],[Global.Power]]</f>
        <v>2.2487900000000002E-2</v>
      </c>
      <c r="BF25" s="10">
        <f>Table1[[#This Row],[Conjunctive.Power]]</f>
        <v>0</v>
      </c>
      <c r="BG25" s="10">
        <f>Table1[[#This Row],[Disjunctive.Power]]</f>
        <v>0</v>
      </c>
      <c r="BH25" s="10">
        <f>Table1[[#This Row],[FWER]]</f>
        <v>2.2487900000000002E-2</v>
      </c>
      <c r="BI25" s="10">
        <f>_xlfn.NUMBERVALUE(MID(Table1[[#This Row],[CI_95perc_Global.Power]],2,FIND(",",Table1[[#This Row],[CI_95perc_Global.Power]])-2))</f>
        <v>2.1659999999999999E-2</v>
      </c>
      <c r="BJ25" s="10">
        <f>_xlfn.NUMBERVALUE(MID(Table1[[#This Row],[CI_95perc_Global.Power]],FIND(",",Table1[[#This Row],[CI_95perc_Global.Power]])+1,LEN(Table1[[#This Row],[CI_95perc_Global.Power]])-FIND(",",Table1[[#This Row],[CI_95perc_Global.Power]])-1))</f>
        <v>2.332E-2</v>
      </c>
      <c r="BK25" s="10">
        <f>_xlfn.NUMBERVALUE(MID(Table1[[#This Row],[CI_95perc_Conjunctive.Power]],2,FIND(",",Table1[[#This Row],[CI_95perc_Conjunctive.Power]])-2))</f>
        <v>0</v>
      </c>
      <c r="BL25" s="10">
        <f>_xlfn.NUMBERVALUE(MID(Table1[[#This Row],[CI_95perc_Conjunctive.Power]],FIND(",",Table1[[#This Row],[CI_95perc_Conjunctive.Power]])+1,LEN(Table1[[#This Row],[CI_95perc_Conjunctive.Power]])-FIND(",",Table1[[#This Row],[CI_95perc_Conjunctive.Power]])-1))</f>
        <v>0</v>
      </c>
      <c r="BM25" s="10">
        <f>_xlfn.NUMBERVALUE(MID(Table1[[#This Row],[CI_95perc_Disjunctive.Power]],2,FIND(",",Table1[[#This Row],[CI_95perc_Disjunctive.Power]])-2))</f>
        <v>0</v>
      </c>
      <c r="BN25" s="10">
        <f>_xlfn.NUMBERVALUE(MID(Table1[[#This Row],[CI_95perc_Disjunctive.Power]],FIND(",",Table1[[#This Row],[CI_95perc_Disjunctive.Power]])+1,LEN(Table1[[#This Row],[CI_95perc_Disjunctive.Power]])-FIND(",",Table1[[#This Row],[CI_95perc_Disjunctive.Power]])-1))</f>
        <v>0</v>
      </c>
      <c r="BO25" s="10">
        <f>_xlfn.NUMBERVALUE(MID(Table1[[#This Row],[CI_95perc_FWER]],2,FIND(",",Table1[[#This Row],[CI_95perc_FWER]])-2))</f>
        <v>2.1659999999999999E-2</v>
      </c>
      <c r="BP25" s="10">
        <f>_xlfn.NUMBERVALUE(MID(Table1[[#This Row],[CI_95perc_FWER]],FIND(",",Table1[[#This Row],[CI_95perc_FWER]])+1,LEN(Table1[[#This Row],[CI_95perc_FWER]])-FIND(",",Table1[[#This Row],[CI_95perc_FWER]])-1))</f>
        <v>2.332E-2</v>
      </c>
      <c r="BQ25" s="10" t="str">
        <f>_xlfn.CONCAT("(",TEXT(Table1[[#This Row],[LCL_Disj.Pow%]],"0.00%"), ", ",TEXT(Table1[[#This Row],[UCL_Disj.Pow%]],"0.00%"),")")</f>
        <v>(0.00%, 0.00%)</v>
      </c>
      <c r="BR25" s="10" t="str">
        <f>_xlfn.CONCAT("(",TEXT(Table1[[#This Row],[LCL_Conj.Pow%]],"0.00%"),", ",TEXT(Table1[[#This Row],[UCL_Conj.Pow%]],"0.00%"),")")</f>
        <v>(0.00%, 0.00%)</v>
      </c>
      <c r="BS25" s="10" t="str">
        <f>_xlfn.CONCAT("(",TEXT(Table1[[#This Row],[LCL_FWER%]],"0.00%"),", ",TEXT(Table1[[#This Row],[UCL_FWER%]],"0.00%"),")")</f>
        <v>(2.17%, 2.33%)</v>
      </c>
    </row>
    <row r="26" spans="1:71" x14ac:dyDescent="0.25">
      <c r="A26">
        <v>24</v>
      </c>
      <c r="B26" t="s">
        <v>173</v>
      </c>
      <c r="C26">
        <v>5962</v>
      </c>
      <c r="D26">
        <v>1.2200000000000001E-2</v>
      </c>
      <c r="E26">
        <v>0</v>
      </c>
      <c r="F26">
        <v>0</v>
      </c>
      <c r="G26">
        <v>1.2200000000000001E-2</v>
      </c>
      <c r="H26" t="s">
        <v>193</v>
      </c>
      <c r="I26" t="s">
        <v>83</v>
      </c>
      <c r="J26" t="s">
        <v>83</v>
      </c>
      <c r="K26" t="s">
        <v>193</v>
      </c>
      <c r="L26" s="1">
        <v>24220</v>
      </c>
      <c r="M26" t="s">
        <v>194</v>
      </c>
      <c r="N26">
        <v>7.0987362265586898E-2</v>
      </c>
      <c r="O26" t="s">
        <v>85</v>
      </c>
      <c r="P26" t="s">
        <v>117</v>
      </c>
      <c r="Q26" s="2">
        <v>2000</v>
      </c>
      <c r="R26">
        <v>2.5000000000000001E-2</v>
      </c>
      <c r="S26" t="s">
        <v>42</v>
      </c>
      <c r="T26" t="s">
        <v>42</v>
      </c>
      <c r="U26" t="s">
        <v>43</v>
      </c>
      <c r="V26" s="2" t="s">
        <v>44</v>
      </c>
      <c r="W26">
        <v>5</v>
      </c>
      <c r="X26">
        <v>2</v>
      </c>
      <c r="Y26" s="2" t="s">
        <v>118</v>
      </c>
      <c r="Z26" s="2" t="s">
        <v>42</v>
      </c>
      <c r="AA26" s="2" t="s">
        <v>42</v>
      </c>
      <c r="AB26" s="2" t="s">
        <v>119</v>
      </c>
      <c r="AC26" t="s">
        <v>122</v>
      </c>
      <c r="AD26" t="s">
        <v>123</v>
      </c>
      <c r="AE26" t="s">
        <v>124</v>
      </c>
      <c r="AF26" t="s">
        <v>125</v>
      </c>
      <c r="AG26" t="s">
        <v>51</v>
      </c>
      <c r="AH26" t="s">
        <v>126</v>
      </c>
      <c r="AI26" t="s">
        <v>53</v>
      </c>
      <c r="AJ26" t="b">
        <v>1</v>
      </c>
      <c r="AK26" t="b">
        <v>1</v>
      </c>
      <c r="AL26">
        <v>1</v>
      </c>
      <c r="AM26">
        <v>1</v>
      </c>
      <c r="AN26" t="s">
        <v>56</v>
      </c>
      <c r="AO26" t="s">
        <v>57</v>
      </c>
      <c r="AP26">
        <v>0.25</v>
      </c>
      <c r="AQ26" t="b">
        <v>1</v>
      </c>
      <c r="AR26" t="s">
        <v>23</v>
      </c>
      <c r="AS26">
        <v>20000</v>
      </c>
      <c r="AT26">
        <v>500</v>
      </c>
      <c r="AU26" t="s">
        <v>121</v>
      </c>
      <c r="AV26" t="b">
        <v>0</v>
      </c>
      <c r="AW26" t="b">
        <v>0</v>
      </c>
      <c r="AX26" t="b">
        <v>1</v>
      </c>
      <c r="AY26" t="b">
        <v>0</v>
      </c>
      <c r="AZ26" t="b">
        <v>0</v>
      </c>
      <c r="BA26">
        <f>INDEX(Inp_CER_Bin_2eps3arms!$AN$2:$AN$176,MATCH(Table1[[#This Row],[ModelID]],Inp_CER_Bin_2eps3arms!$A$2:$A$176,0))</f>
        <v>0</v>
      </c>
      <c r="BB26" t="s">
        <v>42</v>
      </c>
      <c r="BC26" t="s">
        <v>621</v>
      </c>
      <c r="BD26" t="s">
        <v>628</v>
      </c>
      <c r="BE26" s="10">
        <f>Table1[[#This Row],[Global.Power]]</f>
        <v>1.2200000000000001E-2</v>
      </c>
      <c r="BF26" s="10">
        <f>Table1[[#This Row],[Conjunctive.Power]]</f>
        <v>0</v>
      </c>
      <c r="BG26" s="10">
        <f>Table1[[#This Row],[Disjunctive.Power]]</f>
        <v>0</v>
      </c>
      <c r="BH26" s="10">
        <f>Table1[[#This Row],[FWER]]</f>
        <v>1.2200000000000001E-2</v>
      </c>
      <c r="BI26" s="10">
        <f>_xlfn.NUMBERVALUE(MID(Table1[[#This Row],[CI_95perc_Global.Power]],2,FIND(",",Table1[[#This Row],[CI_95perc_Global.Power]])-2))</f>
        <v>1.068E-2</v>
      </c>
      <c r="BJ26" s="10">
        <f>_xlfn.NUMBERVALUE(MID(Table1[[#This Row],[CI_95perc_Global.Power]],FIND(",",Table1[[#This Row],[CI_95perc_Global.Power]])+1,LEN(Table1[[#This Row],[CI_95perc_Global.Power]])-FIND(",",Table1[[#This Row],[CI_95perc_Global.Power]])-1))</f>
        <v>1.372E-2</v>
      </c>
      <c r="BK26" s="10">
        <f>_xlfn.NUMBERVALUE(MID(Table1[[#This Row],[CI_95perc_Conjunctive.Power]],2,FIND(",",Table1[[#This Row],[CI_95perc_Conjunctive.Power]])-2))</f>
        <v>0</v>
      </c>
      <c r="BL26" s="10">
        <f>_xlfn.NUMBERVALUE(MID(Table1[[#This Row],[CI_95perc_Conjunctive.Power]],FIND(",",Table1[[#This Row],[CI_95perc_Conjunctive.Power]])+1,LEN(Table1[[#This Row],[CI_95perc_Conjunctive.Power]])-FIND(",",Table1[[#This Row],[CI_95perc_Conjunctive.Power]])-1))</f>
        <v>0</v>
      </c>
      <c r="BM26" s="10">
        <f>_xlfn.NUMBERVALUE(MID(Table1[[#This Row],[CI_95perc_Disjunctive.Power]],2,FIND(",",Table1[[#This Row],[CI_95perc_Disjunctive.Power]])-2))</f>
        <v>0</v>
      </c>
      <c r="BN26" s="10">
        <f>_xlfn.NUMBERVALUE(MID(Table1[[#This Row],[CI_95perc_Disjunctive.Power]],FIND(",",Table1[[#This Row],[CI_95perc_Disjunctive.Power]])+1,LEN(Table1[[#This Row],[CI_95perc_Disjunctive.Power]])-FIND(",",Table1[[#This Row],[CI_95perc_Disjunctive.Power]])-1))</f>
        <v>0</v>
      </c>
      <c r="BO26" s="10">
        <f>_xlfn.NUMBERVALUE(MID(Table1[[#This Row],[CI_95perc_FWER]],2,FIND(",",Table1[[#This Row],[CI_95perc_FWER]])-2))</f>
        <v>1.068E-2</v>
      </c>
      <c r="BP26" s="10">
        <f>_xlfn.NUMBERVALUE(MID(Table1[[#This Row],[CI_95perc_FWER]],FIND(",",Table1[[#This Row],[CI_95perc_FWER]])+1,LEN(Table1[[#This Row],[CI_95perc_FWER]])-FIND(",",Table1[[#This Row],[CI_95perc_FWER]])-1))</f>
        <v>1.372E-2</v>
      </c>
      <c r="BQ26" s="10" t="str">
        <f>_xlfn.CONCAT("(",TEXT(Table1[[#This Row],[LCL_Disj.Pow%]],"0.00%"), ", ",TEXT(Table1[[#This Row],[UCL_Disj.Pow%]],"0.00%"),")")</f>
        <v>(0.00%, 0.00%)</v>
      </c>
      <c r="BR26" s="10" t="str">
        <f>_xlfn.CONCAT("(",TEXT(Table1[[#This Row],[LCL_Conj.Pow%]],"0.00%"),", ",TEXT(Table1[[#This Row],[UCL_Conj.Pow%]],"0.00%"),")")</f>
        <v>(0.00%, 0.00%)</v>
      </c>
      <c r="BS26" s="10" t="str">
        <f>_xlfn.CONCAT("(",TEXT(Table1[[#This Row],[LCL_FWER%]],"0.00%"),", ",TEXT(Table1[[#This Row],[UCL_FWER%]],"0.00%"),")")</f>
        <v>(1.07%, 1.37%)</v>
      </c>
    </row>
    <row r="27" spans="1:71" x14ac:dyDescent="0.25">
      <c r="A27">
        <v>25</v>
      </c>
      <c r="B27" t="s">
        <v>174</v>
      </c>
      <c r="C27">
        <v>6884</v>
      </c>
      <c r="D27">
        <v>2.1748099999999999E-2</v>
      </c>
      <c r="E27">
        <v>0</v>
      </c>
      <c r="F27">
        <v>0</v>
      </c>
      <c r="G27">
        <v>2.1748099999999999E-2</v>
      </c>
      <c r="H27" t="s">
        <v>195</v>
      </c>
      <c r="I27" t="s">
        <v>83</v>
      </c>
      <c r="J27" t="s">
        <v>83</v>
      </c>
      <c r="K27" t="s">
        <v>195</v>
      </c>
      <c r="L27" s="1">
        <v>26363</v>
      </c>
      <c r="M27" t="s">
        <v>196</v>
      </c>
      <c r="N27">
        <v>0.50588358249929199</v>
      </c>
      <c r="O27" t="s">
        <v>85</v>
      </c>
      <c r="P27" t="s">
        <v>41</v>
      </c>
      <c r="Q27" s="2">
        <v>2000</v>
      </c>
      <c r="R27">
        <v>2.5000000000000001E-2</v>
      </c>
      <c r="S27" t="s">
        <v>42</v>
      </c>
      <c r="T27" t="s">
        <v>42</v>
      </c>
      <c r="U27" t="s">
        <v>43</v>
      </c>
      <c r="V27" s="2" t="s">
        <v>44</v>
      </c>
      <c r="W27">
        <v>5</v>
      </c>
      <c r="X27">
        <v>2</v>
      </c>
      <c r="Y27" s="2" t="s">
        <v>118</v>
      </c>
      <c r="Z27" s="2" t="s">
        <v>42</v>
      </c>
      <c r="AA27" s="2" t="s">
        <v>42</v>
      </c>
      <c r="AB27" s="2" t="s">
        <v>119</v>
      </c>
      <c r="AC27" t="s">
        <v>122</v>
      </c>
      <c r="AD27" t="s">
        <v>123</v>
      </c>
      <c r="AE27" t="s">
        <v>124</v>
      </c>
      <c r="AF27" t="s">
        <v>125</v>
      </c>
      <c r="AG27" t="s">
        <v>51</v>
      </c>
      <c r="AH27" t="s">
        <v>126</v>
      </c>
      <c r="AI27" t="s">
        <v>53</v>
      </c>
      <c r="AJ27" t="b">
        <v>1</v>
      </c>
      <c r="AK27" t="b">
        <v>1</v>
      </c>
      <c r="AL27">
        <v>1</v>
      </c>
      <c r="AM27">
        <v>1</v>
      </c>
      <c r="AN27" t="s">
        <v>56</v>
      </c>
      <c r="AO27" t="s">
        <v>57</v>
      </c>
      <c r="AP27">
        <v>0.25</v>
      </c>
      <c r="AQ27" t="b">
        <v>1</v>
      </c>
      <c r="AR27" t="s">
        <v>23</v>
      </c>
      <c r="AS27">
        <v>20000</v>
      </c>
      <c r="AT27">
        <v>500</v>
      </c>
      <c r="AU27" t="s">
        <v>121</v>
      </c>
      <c r="AV27" t="b">
        <v>0</v>
      </c>
      <c r="AW27" t="b">
        <v>0</v>
      </c>
      <c r="AX27" t="b">
        <v>1</v>
      </c>
      <c r="AY27" t="b">
        <v>0</v>
      </c>
      <c r="AZ27" t="b">
        <v>0</v>
      </c>
      <c r="BA27">
        <f>INDEX(Inp_CER_Bin_2eps3arms!$AN$2:$AN$176,MATCH(Table1[[#This Row],[ModelID]],Inp_CER_Bin_2eps3arms!$A$2:$A$176,0))</f>
        <v>0</v>
      </c>
      <c r="BB27" t="s">
        <v>42</v>
      </c>
      <c r="BC27" t="s">
        <v>621</v>
      </c>
      <c r="BD27" t="s">
        <v>628</v>
      </c>
      <c r="BE27" s="10">
        <f>Table1[[#This Row],[Global.Power]]</f>
        <v>2.1748099999999999E-2</v>
      </c>
      <c r="BF27" s="10">
        <f>Table1[[#This Row],[Conjunctive.Power]]</f>
        <v>0</v>
      </c>
      <c r="BG27" s="10">
        <f>Table1[[#This Row],[Disjunctive.Power]]</f>
        <v>0</v>
      </c>
      <c r="BH27" s="10">
        <f>Table1[[#This Row],[FWER]]</f>
        <v>2.1748099999999999E-2</v>
      </c>
      <c r="BI27" s="10">
        <f>_xlfn.NUMBERVALUE(MID(Table1[[#This Row],[CI_95perc_Global.Power]],2,FIND(",",Table1[[#This Row],[CI_95perc_Global.Power]])-2))</f>
        <v>2.0920000000000001E-2</v>
      </c>
      <c r="BJ27" s="10">
        <f>_xlfn.NUMBERVALUE(MID(Table1[[#This Row],[CI_95perc_Global.Power]],FIND(",",Table1[[#This Row],[CI_95perc_Global.Power]])+1,LEN(Table1[[#This Row],[CI_95perc_Global.Power]])-FIND(",",Table1[[#This Row],[CI_95perc_Global.Power]])-1))</f>
        <v>2.257E-2</v>
      </c>
      <c r="BK27" s="10">
        <f>_xlfn.NUMBERVALUE(MID(Table1[[#This Row],[CI_95perc_Conjunctive.Power]],2,FIND(",",Table1[[#This Row],[CI_95perc_Conjunctive.Power]])-2))</f>
        <v>0</v>
      </c>
      <c r="BL27" s="10">
        <f>_xlfn.NUMBERVALUE(MID(Table1[[#This Row],[CI_95perc_Conjunctive.Power]],FIND(",",Table1[[#This Row],[CI_95perc_Conjunctive.Power]])+1,LEN(Table1[[#This Row],[CI_95perc_Conjunctive.Power]])-FIND(",",Table1[[#This Row],[CI_95perc_Conjunctive.Power]])-1))</f>
        <v>0</v>
      </c>
      <c r="BM27" s="10">
        <f>_xlfn.NUMBERVALUE(MID(Table1[[#This Row],[CI_95perc_Disjunctive.Power]],2,FIND(",",Table1[[#This Row],[CI_95perc_Disjunctive.Power]])-2))</f>
        <v>0</v>
      </c>
      <c r="BN27" s="10">
        <f>_xlfn.NUMBERVALUE(MID(Table1[[#This Row],[CI_95perc_Disjunctive.Power]],FIND(",",Table1[[#This Row],[CI_95perc_Disjunctive.Power]])+1,LEN(Table1[[#This Row],[CI_95perc_Disjunctive.Power]])-FIND(",",Table1[[#This Row],[CI_95perc_Disjunctive.Power]])-1))</f>
        <v>0</v>
      </c>
      <c r="BO27" s="10">
        <f>_xlfn.NUMBERVALUE(MID(Table1[[#This Row],[CI_95perc_FWER]],2,FIND(",",Table1[[#This Row],[CI_95perc_FWER]])-2))</f>
        <v>2.0920000000000001E-2</v>
      </c>
      <c r="BP27" s="10">
        <f>_xlfn.NUMBERVALUE(MID(Table1[[#This Row],[CI_95perc_FWER]],FIND(",",Table1[[#This Row],[CI_95perc_FWER]])+1,LEN(Table1[[#This Row],[CI_95perc_FWER]])-FIND(",",Table1[[#This Row],[CI_95perc_FWER]])-1))</f>
        <v>2.257E-2</v>
      </c>
      <c r="BQ27" s="10" t="str">
        <f>_xlfn.CONCAT("(",TEXT(Table1[[#This Row],[LCL_Disj.Pow%]],"0.00%"), ", ",TEXT(Table1[[#This Row],[UCL_Disj.Pow%]],"0.00%"),")")</f>
        <v>(0.00%, 0.00%)</v>
      </c>
      <c r="BR27" s="10" t="str">
        <f>_xlfn.CONCAT("(",TEXT(Table1[[#This Row],[LCL_Conj.Pow%]],"0.00%"),", ",TEXT(Table1[[#This Row],[UCL_Conj.Pow%]],"0.00%"),")")</f>
        <v>(0.00%, 0.00%)</v>
      </c>
      <c r="BS27" s="10" t="str">
        <f>_xlfn.CONCAT("(",TEXT(Table1[[#This Row],[LCL_FWER%]],"0.00%"),", ",TEXT(Table1[[#This Row],[UCL_FWER%]],"0.00%"),")")</f>
        <v>(2.09%, 2.26%)</v>
      </c>
    </row>
    <row r="28" spans="1:71" x14ac:dyDescent="0.25">
      <c r="A28">
        <v>26</v>
      </c>
      <c r="B28" t="s">
        <v>175</v>
      </c>
      <c r="C28">
        <v>6689</v>
      </c>
      <c r="D28">
        <v>2.035E-2</v>
      </c>
      <c r="E28">
        <v>0</v>
      </c>
      <c r="F28">
        <v>0</v>
      </c>
      <c r="G28">
        <v>2.035E-2</v>
      </c>
      <c r="H28" t="s">
        <v>197</v>
      </c>
      <c r="I28" t="s">
        <v>83</v>
      </c>
      <c r="J28" t="s">
        <v>83</v>
      </c>
      <c r="K28" t="s">
        <v>197</v>
      </c>
      <c r="L28" s="1">
        <v>25382</v>
      </c>
      <c r="M28" t="s">
        <v>198</v>
      </c>
      <c r="N28">
        <v>8.2962164481480902E-2</v>
      </c>
      <c r="O28" t="s">
        <v>85</v>
      </c>
      <c r="P28" t="s">
        <v>117</v>
      </c>
      <c r="Q28" s="2">
        <v>2000</v>
      </c>
      <c r="R28">
        <v>2.5000000000000001E-2</v>
      </c>
      <c r="S28" t="s">
        <v>42</v>
      </c>
      <c r="T28" t="s">
        <v>42</v>
      </c>
      <c r="U28" t="s">
        <v>43</v>
      </c>
      <c r="V28" s="2" t="s">
        <v>44</v>
      </c>
      <c r="W28">
        <v>5</v>
      </c>
      <c r="X28">
        <v>2</v>
      </c>
      <c r="Y28" s="2" t="s">
        <v>118</v>
      </c>
      <c r="Z28" s="2" t="s">
        <v>42</v>
      </c>
      <c r="AA28" s="2" t="s">
        <v>42</v>
      </c>
      <c r="AB28" s="2" t="s">
        <v>119</v>
      </c>
      <c r="AC28" t="s">
        <v>122</v>
      </c>
      <c r="AD28" t="s">
        <v>123</v>
      </c>
      <c r="AE28" t="s">
        <v>124</v>
      </c>
      <c r="AF28" t="s">
        <v>125</v>
      </c>
      <c r="AG28" t="s">
        <v>51</v>
      </c>
      <c r="AH28" t="s">
        <v>126</v>
      </c>
      <c r="AI28" t="s">
        <v>53</v>
      </c>
      <c r="AJ28" t="b">
        <v>1</v>
      </c>
      <c r="AK28" t="b">
        <v>1</v>
      </c>
      <c r="AL28">
        <v>1</v>
      </c>
      <c r="AM28">
        <v>1</v>
      </c>
      <c r="AN28" t="s">
        <v>56</v>
      </c>
      <c r="AO28" t="s">
        <v>60</v>
      </c>
      <c r="AP28">
        <v>1</v>
      </c>
      <c r="AQ28" t="b">
        <v>1</v>
      </c>
      <c r="AR28" t="s">
        <v>23</v>
      </c>
      <c r="AS28">
        <v>20000</v>
      </c>
      <c r="AT28">
        <v>500</v>
      </c>
      <c r="AU28" t="s">
        <v>121</v>
      </c>
      <c r="AV28" t="b">
        <v>0</v>
      </c>
      <c r="AW28" t="b">
        <v>0</v>
      </c>
      <c r="AX28" t="b">
        <v>1</v>
      </c>
      <c r="AY28" t="b">
        <v>0</v>
      </c>
      <c r="AZ28" t="b">
        <v>0</v>
      </c>
      <c r="BA28">
        <f>INDEX(Inp_CER_Bin_2eps3arms!$AN$2:$AN$176,MATCH(Table1[[#This Row],[ModelID]],Inp_CER_Bin_2eps3arms!$A$2:$A$176,0))</f>
        <v>0</v>
      </c>
      <c r="BB28" t="s">
        <v>42</v>
      </c>
      <c r="BC28" t="s">
        <v>620</v>
      </c>
      <c r="BD28" t="s">
        <v>628</v>
      </c>
      <c r="BE28" s="10">
        <f>Table1[[#This Row],[Global.Power]]</f>
        <v>2.035E-2</v>
      </c>
      <c r="BF28" s="10">
        <f>Table1[[#This Row],[Conjunctive.Power]]</f>
        <v>0</v>
      </c>
      <c r="BG28" s="10">
        <f>Table1[[#This Row],[Disjunctive.Power]]</f>
        <v>0</v>
      </c>
      <c r="BH28" s="10">
        <f>Table1[[#This Row],[FWER]]</f>
        <v>2.035E-2</v>
      </c>
      <c r="BI28" s="10">
        <f>_xlfn.NUMBERVALUE(MID(Table1[[#This Row],[CI_95perc_Global.Power]],2,FIND(",",Table1[[#This Row],[CI_95perc_Global.Power]])-2))</f>
        <v>1.839E-2</v>
      </c>
      <c r="BJ28" s="10">
        <f>_xlfn.NUMBERVALUE(MID(Table1[[#This Row],[CI_95perc_Global.Power]],FIND(",",Table1[[#This Row],[CI_95perc_Global.Power]])+1,LEN(Table1[[#This Row],[CI_95perc_Global.Power]])-FIND(",",Table1[[#This Row],[CI_95perc_Global.Power]])-1))</f>
        <v>2.231E-2</v>
      </c>
      <c r="BK28" s="10">
        <f>_xlfn.NUMBERVALUE(MID(Table1[[#This Row],[CI_95perc_Conjunctive.Power]],2,FIND(",",Table1[[#This Row],[CI_95perc_Conjunctive.Power]])-2))</f>
        <v>0</v>
      </c>
      <c r="BL28" s="10">
        <f>_xlfn.NUMBERVALUE(MID(Table1[[#This Row],[CI_95perc_Conjunctive.Power]],FIND(",",Table1[[#This Row],[CI_95perc_Conjunctive.Power]])+1,LEN(Table1[[#This Row],[CI_95perc_Conjunctive.Power]])-FIND(",",Table1[[#This Row],[CI_95perc_Conjunctive.Power]])-1))</f>
        <v>0</v>
      </c>
      <c r="BM28" s="10">
        <f>_xlfn.NUMBERVALUE(MID(Table1[[#This Row],[CI_95perc_Disjunctive.Power]],2,FIND(",",Table1[[#This Row],[CI_95perc_Disjunctive.Power]])-2))</f>
        <v>0</v>
      </c>
      <c r="BN28" s="10">
        <f>_xlfn.NUMBERVALUE(MID(Table1[[#This Row],[CI_95perc_Disjunctive.Power]],FIND(",",Table1[[#This Row],[CI_95perc_Disjunctive.Power]])+1,LEN(Table1[[#This Row],[CI_95perc_Disjunctive.Power]])-FIND(",",Table1[[#This Row],[CI_95perc_Disjunctive.Power]])-1))</f>
        <v>0</v>
      </c>
      <c r="BO28" s="10">
        <f>_xlfn.NUMBERVALUE(MID(Table1[[#This Row],[CI_95perc_FWER]],2,FIND(",",Table1[[#This Row],[CI_95perc_FWER]])-2))</f>
        <v>1.839E-2</v>
      </c>
      <c r="BP28" s="10">
        <f>_xlfn.NUMBERVALUE(MID(Table1[[#This Row],[CI_95perc_FWER]],FIND(",",Table1[[#This Row],[CI_95perc_FWER]])+1,LEN(Table1[[#This Row],[CI_95perc_FWER]])-FIND(",",Table1[[#This Row],[CI_95perc_FWER]])-1))</f>
        <v>2.231E-2</v>
      </c>
      <c r="BQ28" s="10" t="str">
        <f>_xlfn.CONCAT("(",TEXT(Table1[[#This Row],[LCL_Disj.Pow%]],"0.00%"), ", ",TEXT(Table1[[#This Row],[UCL_Disj.Pow%]],"0.00%"),")")</f>
        <v>(0.00%, 0.00%)</v>
      </c>
      <c r="BR28" s="10" t="str">
        <f>_xlfn.CONCAT("(",TEXT(Table1[[#This Row],[LCL_Conj.Pow%]],"0.00%"),", ",TEXT(Table1[[#This Row],[UCL_Conj.Pow%]],"0.00%"),")")</f>
        <v>(0.00%, 0.00%)</v>
      </c>
      <c r="BS28" s="10" t="str">
        <f>_xlfn.CONCAT("(",TEXT(Table1[[#This Row],[LCL_FWER%]],"0.00%"),", ",TEXT(Table1[[#This Row],[UCL_FWER%]],"0.00%"),")")</f>
        <v>(1.84%, 2.23%)</v>
      </c>
    </row>
    <row r="29" spans="1:71" x14ac:dyDescent="0.25">
      <c r="A29">
        <v>27</v>
      </c>
      <c r="B29" t="s">
        <v>176</v>
      </c>
      <c r="C29">
        <v>8986</v>
      </c>
      <c r="D29">
        <v>2.1050200000000002E-2</v>
      </c>
      <c r="E29">
        <v>0</v>
      </c>
      <c r="F29">
        <v>0</v>
      </c>
      <c r="G29">
        <v>2.1050200000000002E-2</v>
      </c>
      <c r="H29" t="s">
        <v>199</v>
      </c>
      <c r="I29" t="s">
        <v>83</v>
      </c>
      <c r="J29" t="s">
        <v>83</v>
      </c>
      <c r="K29" t="s">
        <v>199</v>
      </c>
      <c r="L29" s="1">
        <v>28398</v>
      </c>
      <c r="M29" t="s">
        <v>200</v>
      </c>
      <c r="N29">
        <v>0.73913109276029798</v>
      </c>
      <c r="O29" t="s">
        <v>85</v>
      </c>
      <c r="P29" t="s">
        <v>41</v>
      </c>
      <c r="Q29" s="2">
        <v>2000</v>
      </c>
      <c r="R29">
        <v>2.5000000000000001E-2</v>
      </c>
      <c r="S29" t="s">
        <v>42</v>
      </c>
      <c r="T29" t="s">
        <v>42</v>
      </c>
      <c r="U29" t="s">
        <v>43</v>
      </c>
      <c r="V29" s="2" t="s">
        <v>44</v>
      </c>
      <c r="W29">
        <v>5</v>
      </c>
      <c r="X29">
        <v>2</v>
      </c>
      <c r="Y29" s="2" t="s">
        <v>118</v>
      </c>
      <c r="Z29" s="2" t="s">
        <v>42</v>
      </c>
      <c r="AA29" s="2" t="s">
        <v>42</v>
      </c>
      <c r="AB29" s="2" t="s">
        <v>119</v>
      </c>
      <c r="AC29" t="s">
        <v>122</v>
      </c>
      <c r="AD29" t="s">
        <v>123</v>
      </c>
      <c r="AE29" t="s">
        <v>124</v>
      </c>
      <c r="AF29" t="s">
        <v>125</v>
      </c>
      <c r="AG29" t="s">
        <v>51</v>
      </c>
      <c r="AH29" t="s">
        <v>126</v>
      </c>
      <c r="AI29" t="s">
        <v>53</v>
      </c>
      <c r="AJ29" t="b">
        <v>1</v>
      </c>
      <c r="AK29" t="b">
        <v>1</v>
      </c>
      <c r="AL29">
        <v>1</v>
      </c>
      <c r="AM29">
        <v>1</v>
      </c>
      <c r="AN29" t="s">
        <v>56</v>
      </c>
      <c r="AO29" t="s">
        <v>60</v>
      </c>
      <c r="AP29">
        <v>1</v>
      </c>
      <c r="AQ29" t="b">
        <v>1</v>
      </c>
      <c r="AR29" t="s">
        <v>23</v>
      </c>
      <c r="AS29">
        <v>20000</v>
      </c>
      <c r="AT29">
        <v>500</v>
      </c>
      <c r="AU29" t="s">
        <v>121</v>
      </c>
      <c r="AV29" t="b">
        <v>0</v>
      </c>
      <c r="AW29" t="b">
        <v>0</v>
      </c>
      <c r="AX29" t="b">
        <v>1</v>
      </c>
      <c r="AY29" t="b">
        <v>0</v>
      </c>
      <c r="AZ29" t="b">
        <v>0</v>
      </c>
      <c r="BA29">
        <f>INDEX(Inp_CER_Bin_2eps3arms!$AN$2:$AN$176,MATCH(Table1[[#This Row],[ModelID]],Inp_CER_Bin_2eps3arms!$A$2:$A$176,0))</f>
        <v>0</v>
      </c>
      <c r="BB29" t="s">
        <v>42</v>
      </c>
      <c r="BC29" t="s">
        <v>620</v>
      </c>
      <c r="BD29" t="s">
        <v>628</v>
      </c>
      <c r="BE29" s="10">
        <f>Table1[[#This Row],[Global.Power]]</f>
        <v>2.1050200000000002E-2</v>
      </c>
      <c r="BF29" s="10">
        <f>Table1[[#This Row],[Conjunctive.Power]]</f>
        <v>0</v>
      </c>
      <c r="BG29" s="10">
        <f>Table1[[#This Row],[Disjunctive.Power]]</f>
        <v>0</v>
      </c>
      <c r="BH29" s="10">
        <f>Table1[[#This Row],[FWER]]</f>
        <v>2.1050200000000002E-2</v>
      </c>
      <c r="BI29" s="10">
        <f>_xlfn.NUMBERVALUE(MID(Table1[[#This Row],[CI_95perc_Global.Power]],2,FIND(",",Table1[[#This Row],[CI_95perc_Global.Power]])-2))</f>
        <v>2.0240000000000001E-2</v>
      </c>
      <c r="BJ29" s="10">
        <f>_xlfn.NUMBERVALUE(MID(Table1[[#This Row],[CI_95perc_Global.Power]],FIND(",",Table1[[#This Row],[CI_95perc_Global.Power]])+1,LEN(Table1[[#This Row],[CI_95perc_Global.Power]])-FIND(",",Table1[[#This Row],[CI_95perc_Global.Power]])-1))</f>
        <v>2.1860000000000001E-2</v>
      </c>
      <c r="BK29" s="10">
        <f>_xlfn.NUMBERVALUE(MID(Table1[[#This Row],[CI_95perc_Conjunctive.Power]],2,FIND(",",Table1[[#This Row],[CI_95perc_Conjunctive.Power]])-2))</f>
        <v>0</v>
      </c>
      <c r="BL29" s="10">
        <f>_xlfn.NUMBERVALUE(MID(Table1[[#This Row],[CI_95perc_Conjunctive.Power]],FIND(",",Table1[[#This Row],[CI_95perc_Conjunctive.Power]])+1,LEN(Table1[[#This Row],[CI_95perc_Conjunctive.Power]])-FIND(",",Table1[[#This Row],[CI_95perc_Conjunctive.Power]])-1))</f>
        <v>0</v>
      </c>
      <c r="BM29" s="10">
        <f>_xlfn.NUMBERVALUE(MID(Table1[[#This Row],[CI_95perc_Disjunctive.Power]],2,FIND(",",Table1[[#This Row],[CI_95perc_Disjunctive.Power]])-2))</f>
        <v>0</v>
      </c>
      <c r="BN29" s="10">
        <f>_xlfn.NUMBERVALUE(MID(Table1[[#This Row],[CI_95perc_Disjunctive.Power]],FIND(",",Table1[[#This Row],[CI_95perc_Disjunctive.Power]])+1,LEN(Table1[[#This Row],[CI_95perc_Disjunctive.Power]])-FIND(",",Table1[[#This Row],[CI_95perc_Disjunctive.Power]])-1))</f>
        <v>0</v>
      </c>
      <c r="BO29" s="10">
        <f>_xlfn.NUMBERVALUE(MID(Table1[[#This Row],[CI_95perc_FWER]],2,FIND(",",Table1[[#This Row],[CI_95perc_FWER]])-2))</f>
        <v>2.0240000000000001E-2</v>
      </c>
      <c r="BP29" s="10">
        <f>_xlfn.NUMBERVALUE(MID(Table1[[#This Row],[CI_95perc_FWER]],FIND(",",Table1[[#This Row],[CI_95perc_FWER]])+1,LEN(Table1[[#This Row],[CI_95perc_FWER]])-FIND(",",Table1[[#This Row],[CI_95perc_FWER]])-1))</f>
        <v>2.1860000000000001E-2</v>
      </c>
      <c r="BQ29" s="10" t="str">
        <f>_xlfn.CONCAT("(",TEXT(Table1[[#This Row],[LCL_Disj.Pow%]],"0.00%"), ", ",TEXT(Table1[[#This Row],[UCL_Disj.Pow%]],"0.00%"),")")</f>
        <v>(0.00%, 0.00%)</v>
      </c>
      <c r="BR29" s="10" t="str">
        <f>_xlfn.CONCAT("(",TEXT(Table1[[#This Row],[LCL_Conj.Pow%]],"0.00%"),", ",TEXT(Table1[[#This Row],[UCL_Conj.Pow%]],"0.00%"),")")</f>
        <v>(0.00%, 0.00%)</v>
      </c>
      <c r="BS29" s="10" t="str">
        <f>_xlfn.CONCAT("(",TEXT(Table1[[#This Row],[LCL_FWER%]],"0.00%"),", ",TEXT(Table1[[#This Row],[UCL_FWER%]],"0.00%"),")")</f>
        <v>(2.02%, 2.19%)</v>
      </c>
    </row>
    <row r="30" spans="1:71" x14ac:dyDescent="0.25">
      <c r="A30">
        <v>28</v>
      </c>
      <c r="B30" t="s">
        <v>601</v>
      </c>
      <c r="C30">
        <v>6219</v>
      </c>
      <c r="D30">
        <v>0.96822373696872499</v>
      </c>
      <c r="E30">
        <v>0.91720128307939097</v>
      </c>
      <c r="F30">
        <v>0.96822373696872499</v>
      </c>
      <c r="G30">
        <v>1.2028869286287099E-2</v>
      </c>
      <c r="H30" t="s">
        <v>201</v>
      </c>
      <c r="I30" t="s">
        <v>202</v>
      </c>
      <c r="J30" t="s">
        <v>201</v>
      </c>
      <c r="K30" t="s">
        <v>203</v>
      </c>
      <c r="L30" s="1">
        <v>97169602</v>
      </c>
      <c r="M30" t="s">
        <v>204</v>
      </c>
      <c r="N30">
        <v>8.9947458571857902E-2</v>
      </c>
      <c r="O30" t="s">
        <v>85</v>
      </c>
      <c r="P30" t="s">
        <v>117</v>
      </c>
      <c r="Q30" s="2">
        <v>2000</v>
      </c>
      <c r="R30" s="2">
        <v>2.5000000000000001E-2</v>
      </c>
      <c r="S30" s="2" t="s">
        <v>42</v>
      </c>
      <c r="T30" s="2" t="s">
        <v>42</v>
      </c>
      <c r="U30" s="2" t="s">
        <v>43</v>
      </c>
      <c r="V30" s="2" t="s">
        <v>44</v>
      </c>
      <c r="W30" s="2">
        <v>5</v>
      </c>
      <c r="X30" s="2">
        <v>2</v>
      </c>
      <c r="Y30" s="2" t="s">
        <v>118</v>
      </c>
      <c r="Z30" s="2" t="s">
        <v>42</v>
      </c>
      <c r="AA30" s="2" t="s">
        <v>42</v>
      </c>
      <c r="AB30" s="2" t="s">
        <v>127</v>
      </c>
      <c r="AC30" t="s">
        <v>122</v>
      </c>
      <c r="AD30" s="2" t="s">
        <v>120</v>
      </c>
      <c r="AE30" t="s">
        <v>124</v>
      </c>
      <c r="AF30" t="s">
        <v>125</v>
      </c>
      <c r="AG30" s="2" t="s">
        <v>51</v>
      </c>
      <c r="AH30" t="s">
        <v>52</v>
      </c>
      <c r="AI30" t="s">
        <v>53</v>
      </c>
      <c r="AJ30" t="b">
        <v>1</v>
      </c>
      <c r="AK30" t="b">
        <v>0</v>
      </c>
      <c r="AL30" t="s">
        <v>42</v>
      </c>
      <c r="AM30" t="s">
        <v>42</v>
      </c>
      <c r="AN30" t="s">
        <v>42</v>
      </c>
      <c r="AO30" t="s">
        <v>42</v>
      </c>
      <c r="AP30" t="s">
        <v>42</v>
      </c>
      <c r="AQ30" t="s">
        <v>42</v>
      </c>
      <c r="AR30" t="s">
        <v>54</v>
      </c>
      <c r="AS30">
        <v>20000</v>
      </c>
      <c r="AT30">
        <v>500</v>
      </c>
      <c r="AU30" t="s">
        <v>121</v>
      </c>
      <c r="AV30" t="b">
        <v>0</v>
      </c>
      <c r="AW30" t="b">
        <v>0</v>
      </c>
      <c r="AX30" t="b">
        <v>1</v>
      </c>
      <c r="AY30" t="b">
        <v>0</v>
      </c>
      <c r="AZ30" t="b">
        <v>0</v>
      </c>
      <c r="BA30">
        <f>INDEX(Inp_CER_Bin_2eps3arms!$AN$2:$AN$176,MATCH(Table1[[#This Row],[ModelID]],Inp_CER_Bin_2eps3arms!$A$2:$A$176,0))</f>
        <v>0</v>
      </c>
      <c r="BB30" t="s">
        <v>42</v>
      </c>
      <c r="BC30" t="s">
        <v>618</v>
      </c>
      <c r="BD30" t="s">
        <v>629</v>
      </c>
      <c r="BE30" s="10">
        <f>Table1[[#This Row],[Global.Power]]</f>
        <v>0.96822373696872499</v>
      </c>
      <c r="BF30" s="10">
        <f>Table1[[#This Row],[Conjunctive.Power]]</f>
        <v>0.91720128307939097</v>
      </c>
      <c r="BG30" s="10">
        <f>Table1[[#This Row],[Disjunctive.Power]]</f>
        <v>0.96822373696872499</v>
      </c>
      <c r="BH30" s="10">
        <f>Table1[[#This Row],[FWER]]</f>
        <v>1.2028869286287099E-2</v>
      </c>
      <c r="BI30" s="10">
        <f>_xlfn.NUMBERVALUE(MID(Table1[[#This Row],[CI_95perc_Global.Power]],2,FIND(",",Table1[[#This Row],[CI_95perc_Global.Power]])-2))</f>
        <v>0.96579000000000004</v>
      </c>
      <c r="BJ30" s="10">
        <f>_xlfn.NUMBERVALUE(MID(Table1[[#This Row],[CI_95perc_Global.Power]],FIND(",",Table1[[#This Row],[CI_95perc_Global.Power]])+1,LEN(Table1[[#This Row],[CI_95perc_Global.Power]])-FIND(",",Table1[[#This Row],[CI_95perc_Global.Power]])-1))</f>
        <v>0.97065999999999997</v>
      </c>
      <c r="BK30" s="10">
        <f>_xlfn.NUMBERVALUE(MID(Table1[[#This Row],[CI_95perc_Conjunctive.Power]],2,FIND(",",Table1[[#This Row],[CI_95perc_Conjunctive.Power]])-2))</f>
        <v>0.91337999999999997</v>
      </c>
      <c r="BL30" s="10">
        <f>_xlfn.NUMBERVALUE(MID(Table1[[#This Row],[CI_95perc_Conjunctive.Power]],FIND(",",Table1[[#This Row],[CI_95perc_Conjunctive.Power]])+1,LEN(Table1[[#This Row],[CI_95perc_Conjunctive.Power]])-FIND(",",Table1[[#This Row],[CI_95perc_Conjunctive.Power]])-1))</f>
        <v>0.92103000000000002</v>
      </c>
      <c r="BM30" s="10">
        <f>_xlfn.NUMBERVALUE(MID(Table1[[#This Row],[CI_95perc_Disjunctive.Power]],2,FIND(",",Table1[[#This Row],[CI_95perc_Disjunctive.Power]])-2))</f>
        <v>0.96579000000000004</v>
      </c>
      <c r="BN30" s="10">
        <f>_xlfn.NUMBERVALUE(MID(Table1[[#This Row],[CI_95perc_Disjunctive.Power]],FIND(",",Table1[[#This Row],[CI_95perc_Disjunctive.Power]])+1,LEN(Table1[[#This Row],[CI_95perc_Disjunctive.Power]])-FIND(",",Table1[[#This Row],[CI_95perc_Disjunctive.Power]])-1))</f>
        <v>0.97065999999999997</v>
      </c>
      <c r="BO30" s="10">
        <f>_xlfn.NUMBERVALUE(MID(Table1[[#This Row],[CI_95perc_FWER]],2,FIND(",",Table1[[#This Row],[CI_95perc_FWER]])-2))</f>
        <v>1.052E-2</v>
      </c>
      <c r="BP30" s="10">
        <f>_xlfn.NUMBERVALUE(MID(Table1[[#This Row],[CI_95perc_FWER]],FIND(",",Table1[[#This Row],[CI_95perc_FWER]])+1,LEN(Table1[[#This Row],[CI_95perc_FWER]])-FIND(",",Table1[[#This Row],[CI_95perc_FWER]])-1))</f>
        <v>1.354E-2</v>
      </c>
      <c r="BQ30" s="10" t="str">
        <f>_xlfn.CONCAT("(",TEXT(Table1[[#This Row],[LCL_Disj.Pow%]],"0.00%"), ", ",TEXT(Table1[[#This Row],[UCL_Disj.Pow%]],"0.00%"),")")</f>
        <v>(96.58%, 97.07%)</v>
      </c>
      <c r="BR30" s="10" t="str">
        <f>_xlfn.CONCAT("(",TEXT(Table1[[#This Row],[LCL_Conj.Pow%]],"0.00%"),", ",TEXT(Table1[[#This Row],[UCL_Conj.Pow%]],"0.00%"),")")</f>
        <v>(91.34%, 92.10%)</v>
      </c>
      <c r="BS30" s="10" t="str">
        <f>_xlfn.CONCAT("(",TEXT(Table1[[#This Row],[LCL_FWER%]],"0.00%"),", ",TEXT(Table1[[#This Row],[UCL_FWER%]],"0.00%"),")")</f>
        <v>(1.05%, 1.35%)</v>
      </c>
    </row>
    <row r="31" spans="1:71" x14ac:dyDescent="0.25">
      <c r="A31">
        <v>29</v>
      </c>
      <c r="B31" t="s">
        <v>602</v>
      </c>
      <c r="C31">
        <v>1935</v>
      </c>
      <c r="D31">
        <v>0.98715889999999995</v>
      </c>
      <c r="E31">
        <v>0.97101320000000002</v>
      </c>
      <c r="F31">
        <v>0.98715750000000002</v>
      </c>
      <c r="G31">
        <v>2.3285299999999998E-2</v>
      </c>
      <c r="H31" t="s">
        <v>205</v>
      </c>
      <c r="I31" t="s">
        <v>206</v>
      </c>
      <c r="J31" t="s">
        <v>205</v>
      </c>
      <c r="K31" t="s">
        <v>207</v>
      </c>
      <c r="L31" s="1">
        <v>99179810</v>
      </c>
      <c r="M31" t="s">
        <v>208</v>
      </c>
      <c r="N31">
        <v>1.26568471027745</v>
      </c>
      <c r="O31" t="s">
        <v>85</v>
      </c>
      <c r="P31" t="s">
        <v>41</v>
      </c>
      <c r="Q31" s="2">
        <v>2000</v>
      </c>
      <c r="R31" s="2">
        <v>2.5000000000000001E-2</v>
      </c>
      <c r="S31" s="2" t="s">
        <v>42</v>
      </c>
      <c r="T31" s="2" t="s">
        <v>42</v>
      </c>
      <c r="U31" s="2" t="s">
        <v>43</v>
      </c>
      <c r="V31" s="2" t="s">
        <v>44</v>
      </c>
      <c r="W31" s="2">
        <v>5</v>
      </c>
      <c r="X31" s="2">
        <v>2</v>
      </c>
      <c r="Y31" s="2" t="s">
        <v>118</v>
      </c>
      <c r="Z31" s="2" t="s">
        <v>42</v>
      </c>
      <c r="AA31" s="2" t="s">
        <v>42</v>
      </c>
      <c r="AB31" s="2" t="s">
        <v>127</v>
      </c>
      <c r="AC31" t="s">
        <v>122</v>
      </c>
      <c r="AD31" s="2" t="s">
        <v>120</v>
      </c>
      <c r="AE31" t="s">
        <v>124</v>
      </c>
      <c r="AF31" t="s">
        <v>125</v>
      </c>
      <c r="AG31" s="2" t="s">
        <v>51</v>
      </c>
      <c r="AH31" t="s">
        <v>52</v>
      </c>
      <c r="AI31" t="s">
        <v>53</v>
      </c>
      <c r="AJ31" t="b">
        <v>1</v>
      </c>
      <c r="AK31" t="b">
        <v>0</v>
      </c>
      <c r="AL31" t="s">
        <v>42</v>
      </c>
      <c r="AM31" t="s">
        <v>42</v>
      </c>
      <c r="AN31" t="s">
        <v>42</v>
      </c>
      <c r="AO31" t="s">
        <v>42</v>
      </c>
      <c r="AP31" t="s">
        <v>42</v>
      </c>
      <c r="AQ31" t="s">
        <v>42</v>
      </c>
      <c r="AR31" t="s">
        <v>54</v>
      </c>
      <c r="AS31">
        <v>20000</v>
      </c>
      <c r="AT31">
        <v>500</v>
      </c>
      <c r="AU31" t="s">
        <v>121</v>
      </c>
      <c r="AV31" t="b">
        <v>0</v>
      </c>
      <c r="AW31" t="b">
        <v>0</v>
      </c>
      <c r="AX31" t="b">
        <v>1</v>
      </c>
      <c r="AY31" t="b">
        <v>0</v>
      </c>
      <c r="AZ31" t="b">
        <v>0</v>
      </c>
      <c r="BA31">
        <f>INDEX(Inp_CER_Bin_2eps3arms!$AN$2:$AN$176,MATCH(Table1[[#This Row],[ModelID]],Inp_CER_Bin_2eps3arms!$A$2:$A$176,0))</f>
        <v>0</v>
      </c>
      <c r="BB31" t="s">
        <v>42</v>
      </c>
      <c r="BC31" t="s">
        <v>618</v>
      </c>
      <c r="BD31" t="s">
        <v>629</v>
      </c>
      <c r="BE31" s="10">
        <f>Table1[[#This Row],[Global.Power]]</f>
        <v>0.98715889999999995</v>
      </c>
      <c r="BF31" s="10">
        <f>Table1[[#This Row],[Conjunctive.Power]]</f>
        <v>0.97101320000000002</v>
      </c>
      <c r="BG31" s="10">
        <f>Table1[[#This Row],[Disjunctive.Power]]</f>
        <v>0.98715750000000002</v>
      </c>
      <c r="BH31" s="10">
        <f>Table1[[#This Row],[FWER]]</f>
        <v>2.3285299999999998E-2</v>
      </c>
      <c r="BI31" s="10">
        <f>_xlfn.NUMBERVALUE(MID(Table1[[#This Row],[CI_95perc_Global.Power]],2,FIND(",",Table1[[#This Row],[CI_95perc_Global.Power]])-2))</f>
        <v>0.98658000000000001</v>
      </c>
      <c r="BJ31" s="10">
        <f>_xlfn.NUMBERVALUE(MID(Table1[[#This Row],[CI_95perc_Global.Power]],FIND(",",Table1[[#This Row],[CI_95perc_Global.Power]])+1,LEN(Table1[[#This Row],[CI_95perc_Global.Power]])-FIND(",",Table1[[#This Row],[CI_95perc_Global.Power]])-1))</f>
        <v>0.98773999999999995</v>
      </c>
      <c r="BK31" s="10">
        <f>_xlfn.NUMBERVALUE(MID(Table1[[#This Row],[CI_95perc_Conjunctive.Power]],2,FIND(",",Table1[[#This Row],[CI_95perc_Conjunctive.Power]])-2))</f>
        <v>0.97009999999999996</v>
      </c>
      <c r="BL31" s="10">
        <f>_xlfn.NUMBERVALUE(MID(Table1[[#This Row],[CI_95perc_Conjunctive.Power]],FIND(",",Table1[[#This Row],[CI_95perc_Conjunctive.Power]])+1,LEN(Table1[[#This Row],[CI_95perc_Conjunctive.Power]])-FIND(",",Table1[[#This Row],[CI_95perc_Conjunctive.Power]])-1))</f>
        <v>0.97192000000000001</v>
      </c>
      <c r="BM31" s="10">
        <f>_xlfn.NUMBERVALUE(MID(Table1[[#This Row],[CI_95perc_Disjunctive.Power]],2,FIND(",",Table1[[#This Row],[CI_95perc_Disjunctive.Power]])-2))</f>
        <v>0.98658000000000001</v>
      </c>
      <c r="BN31" s="10">
        <f>_xlfn.NUMBERVALUE(MID(Table1[[#This Row],[CI_95perc_Disjunctive.Power]],FIND(",",Table1[[#This Row],[CI_95perc_Disjunctive.Power]])+1,LEN(Table1[[#This Row],[CI_95perc_Disjunctive.Power]])-FIND(",",Table1[[#This Row],[CI_95perc_Disjunctive.Power]])-1))</f>
        <v>0.98773999999999995</v>
      </c>
      <c r="BO31" s="10">
        <f>_xlfn.NUMBERVALUE(MID(Table1[[#This Row],[CI_95perc_FWER]],2,FIND(",",Table1[[#This Row],[CI_95perc_FWER]])-2))</f>
        <v>2.2409999999999999E-2</v>
      </c>
      <c r="BP31" s="10">
        <f>_xlfn.NUMBERVALUE(MID(Table1[[#This Row],[CI_95perc_FWER]],FIND(",",Table1[[#This Row],[CI_95perc_FWER]])+1,LEN(Table1[[#This Row],[CI_95perc_FWER]])-FIND(",",Table1[[#This Row],[CI_95perc_FWER]])-1))</f>
        <v>2.4160000000000001E-2</v>
      </c>
      <c r="BQ31" s="10" t="str">
        <f>_xlfn.CONCAT("(",TEXT(Table1[[#This Row],[LCL_Disj.Pow%]],"0.00%"), ", ",TEXT(Table1[[#This Row],[UCL_Disj.Pow%]],"0.00%"),")")</f>
        <v>(98.66%, 98.77%)</v>
      </c>
      <c r="BR31" s="10" t="str">
        <f>_xlfn.CONCAT("(",TEXT(Table1[[#This Row],[LCL_Conj.Pow%]],"0.00%"),", ",TEXT(Table1[[#This Row],[UCL_Conj.Pow%]],"0.00%"),")")</f>
        <v>(97.01%, 97.19%)</v>
      </c>
      <c r="BS31" s="10" t="str">
        <f>_xlfn.CONCAT("(",TEXT(Table1[[#This Row],[LCL_FWER%]],"0.00%"),", ",TEXT(Table1[[#This Row],[UCL_FWER%]],"0.00%"),")")</f>
        <v>(2.24%, 2.42%)</v>
      </c>
    </row>
    <row r="32" spans="1:71" x14ac:dyDescent="0.25">
      <c r="A32">
        <v>30</v>
      </c>
      <c r="B32" t="s">
        <v>133</v>
      </c>
      <c r="C32">
        <v>5069</v>
      </c>
      <c r="D32">
        <v>0.98767967145790603</v>
      </c>
      <c r="E32">
        <v>0.95287223919467101</v>
      </c>
      <c r="F32">
        <v>0.98767967145790603</v>
      </c>
      <c r="G32">
        <v>1.2220163269394501E-2</v>
      </c>
      <c r="H32" t="s">
        <v>209</v>
      </c>
      <c r="I32" t="s">
        <v>210</v>
      </c>
      <c r="J32" t="s">
        <v>209</v>
      </c>
      <c r="K32" t="s">
        <v>211</v>
      </c>
      <c r="L32" s="1">
        <v>97389983</v>
      </c>
      <c r="M32" t="s">
        <v>212</v>
      </c>
      <c r="N32">
        <v>8.5714511672655702E-2</v>
      </c>
      <c r="O32" t="s">
        <v>85</v>
      </c>
      <c r="P32" t="s">
        <v>117</v>
      </c>
      <c r="Q32" s="2">
        <v>2000</v>
      </c>
      <c r="R32">
        <v>2.5000000000000001E-2</v>
      </c>
      <c r="S32" t="s">
        <v>42</v>
      </c>
      <c r="T32" t="s">
        <v>42</v>
      </c>
      <c r="U32" t="s">
        <v>43</v>
      </c>
      <c r="V32" s="2" t="s">
        <v>44</v>
      </c>
      <c r="W32">
        <v>5</v>
      </c>
      <c r="X32">
        <v>2</v>
      </c>
      <c r="Y32" s="2" t="s">
        <v>118</v>
      </c>
      <c r="Z32" s="2" t="s">
        <v>42</v>
      </c>
      <c r="AA32" s="2" t="s">
        <v>42</v>
      </c>
      <c r="AB32" s="2" t="s">
        <v>127</v>
      </c>
      <c r="AC32" t="s">
        <v>122</v>
      </c>
      <c r="AD32" t="s">
        <v>123</v>
      </c>
      <c r="AE32" t="s">
        <v>124</v>
      </c>
      <c r="AF32" t="s">
        <v>125</v>
      </c>
      <c r="AG32" t="s">
        <v>51</v>
      </c>
      <c r="AH32" t="s">
        <v>126</v>
      </c>
      <c r="AI32" t="s">
        <v>53</v>
      </c>
      <c r="AJ32" t="b">
        <v>1</v>
      </c>
      <c r="AK32" t="b">
        <v>1</v>
      </c>
      <c r="AL32">
        <v>1</v>
      </c>
      <c r="AM32">
        <v>1</v>
      </c>
      <c r="AN32" t="s">
        <v>56</v>
      </c>
      <c r="AO32" t="s">
        <v>57</v>
      </c>
      <c r="AP32">
        <v>0.75</v>
      </c>
      <c r="AQ32" t="b">
        <v>1</v>
      </c>
      <c r="AR32" t="s">
        <v>23</v>
      </c>
      <c r="AS32">
        <v>20000</v>
      </c>
      <c r="AT32">
        <v>500</v>
      </c>
      <c r="AU32" t="s">
        <v>121</v>
      </c>
      <c r="AV32" t="b">
        <v>0</v>
      </c>
      <c r="AW32" t="b">
        <v>0</v>
      </c>
      <c r="AX32" t="b">
        <v>1</v>
      </c>
      <c r="AY32" t="b">
        <v>0</v>
      </c>
      <c r="AZ32" t="b">
        <v>0</v>
      </c>
      <c r="BA32">
        <f>INDEX(Inp_CER_Bin_2eps3arms!$AN$2:$AN$176,MATCH(Table1[[#This Row],[ModelID]],Inp_CER_Bin_2eps3arms!$A$2:$A$176,0))</f>
        <v>0</v>
      </c>
      <c r="BB32" t="s">
        <v>42</v>
      </c>
      <c r="BC32" t="s">
        <v>619</v>
      </c>
      <c r="BD32" t="s">
        <v>629</v>
      </c>
      <c r="BE32" s="10">
        <f>Table1[[#This Row],[Global.Power]]</f>
        <v>0.98767967145790603</v>
      </c>
      <c r="BF32" s="10">
        <f>Table1[[#This Row],[Conjunctive.Power]]</f>
        <v>0.95287223919467101</v>
      </c>
      <c r="BG32" s="10">
        <f>Table1[[#This Row],[Disjunctive.Power]]</f>
        <v>0.98767967145790603</v>
      </c>
      <c r="BH32" s="10">
        <f>Table1[[#This Row],[FWER]]</f>
        <v>1.2220163269394501E-2</v>
      </c>
      <c r="BI32" s="10">
        <f>_xlfn.NUMBERVALUE(MID(Table1[[#This Row],[CI_95perc_Global.Power]],2,FIND(",",Table1[[#This Row],[CI_95perc_Global.Power]])-2))</f>
        <v>0.98614999999999997</v>
      </c>
      <c r="BJ32" s="10">
        <f>_xlfn.NUMBERVALUE(MID(Table1[[#This Row],[CI_95perc_Global.Power]],FIND(",",Table1[[#This Row],[CI_95perc_Global.Power]])+1,LEN(Table1[[#This Row],[CI_95perc_Global.Power]])-FIND(",",Table1[[#This Row],[CI_95perc_Global.Power]])-1))</f>
        <v>0.98921000000000003</v>
      </c>
      <c r="BK32" s="10">
        <f>_xlfn.NUMBERVALUE(MID(Table1[[#This Row],[CI_95perc_Conjunctive.Power]],2,FIND(",",Table1[[#This Row],[CI_95perc_Conjunctive.Power]])-2))</f>
        <v>0.94993000000000005</v>
      </c>
      <c r="BL32" s="10">
        <f>_xlfn.NUMBERVALUE(MID(Table1[[#This Row],[CI_95perc_Conjunctive.Power]],FIND(",",Table1[[#This Row],[CI_95perc_Conjunctive.Power]])+1,LEN(Table1[[#This Row],[CI_95perc_Conjunctive.Power]])-FIND(",",Table1[[#This Row],[CI_95perc_Conjunctive.Power]])-1))</f>
        <v>0.95581000000000005</v>
      </c>
      <c r="BM32" s="10">
        <f>_xlfn.NUMBERVALUE(MID(Table1[[#This Row],[CI_95perc_Disjunctive.Power]],2,FIND(",",Table1[[#This Row],[CI_95perc_Disjunctive.Power]])-2))</f>
        <v>0.98614999999999997</v>
      </c>
      <c r="BN32" s="10">
        <f>_xlfn.NUMBERVALUE(MID(Table1[[#This Row],[CI_95perc_Disjunctive.Power]],FIND(",",Table1[[#This Row],[CI_95perc_Disjunctive.Power]])+1,LEN(Table1[[#This Row],[CI_95perc_Disjunctive.Power]])-FIND(",",Table1[[#This Row],[CI_95perc_Disjunctive.Power]])-1))</f>
        <v>0.98921000000000003</v>
      </c>
      <c r="BO32" s="10">
        <f>_xlfn.NUMBERVALUE(MID(Table1[[#This Row],[CI_95perc_FWER]],2,FIND(",",Table1[[#This Row],[CI_95perc_FWER]])-2))</f>
        <v>1.0699999999999999E-2</v>
      </c>
      <c r="BP32" s="10">
        <f>_xlfn.NUMBERVALUE(MID(Table1[[#This Row],[CI_95perc_FWER]],FIND(",",Table1[[#This Row],[CI_95perc_FWER]])+1,LEN(Table1[[#This Row],[CI_95perc_FWER]])-FIND(",",Table1[[#This Row],[CI_95perc_FWER]])-1))</f>
        <v>1.374E-2</v>
      </c>
      <c r="BQ32" s="10" t="str">
        <f>_xlfn.CONCAT("(",TEXT(Table1[[#This Row],[LCL_Disj.Pow%]],"0.00%"), ", ",TEXT(Table1[[#This Row],[UCL_Disj.Pow%]],"0.00%"),")")</f>
        <v>(98.62%, 98.92%)</v>
      </c>
      <c r="BR32" s="10" t="str">
        <f>_xlfn.CONCAT("(",TEXT(Table1[[#This Row],[LCL_Conj.Pow%]],"0.00%"),", ",TEXT(Table1[[#This Row],[UCL_Conj.Pow%]],"0.00%"),")")</f>
        <v>(94.99%, 95.58%)</v>
      </c>
      <c r="BS32" s="10" t="str">
        <f>_xlfn.CONCAT("(",TEXT(Table1[[#This Row],[LCL_FWER%]],"0.00%"),", ",TEXT(Table1[[#This Row],[UCL_FWER%]],"0.00%"),")")</f>
        <v>(1.07%, 1.37%)</v>
      </c>
    </row>
    <row r="33" spans="1:71" x14ac:dyDescent="0.25">
      <c r="A33">
        <v>31</v>
      </c>
      <c r="B33" t="s">
        <v>141</v>
      </c>
      <c r="C33">
        <v>6881</v>
      </c>
      <c r="D33">
        <v>0.99577070000000001</v>
      </c>
      <c r="E33">
        <v>0.98601669999999997</v>
      </c>
      <c r="F33">
        <v>0.99576980000000004</v>
      </c>
      <c r="G33">
        <v>2.2538800000000001E-2</v>
      </c>
      <c r="H33" t="s">
        <v>213</v>
      </c>
      <c r="I33" t="s">
        <v>214</v>
      </c>
      <c r="J33" t="s">
        <v>213</v>
      </c>
      <c r="K33" t="s">
        <v>215</v>
      </c>
      <c r="L33" s="1">
        <v>985110075</v>
      </c>
      <c r="M33" t="s">
        <v>216</v>
      </c>
      <c r="N33">
        <v>1.0470355755753</v>
      </c>
      <c r="O33" t="s">
        <v>85</v>
      </c>
      <c r="P33" t="s">
        <v>41</v>
      </c>
      <c r="Q33" s="2">
        <v>2000</v>
      </c>
      <c r="R33">
        <v>2.5000000000000001E-2</v>
      </c>
      <c r="S33" t="s">
        <v>42</v>
      </c>
      <c r="T33" t="s">
        <v>42</v>
      </c>
      <c r="U33" t="s">
        <v>43</v>
      </c>
      <c r="V33" s="2" t="s">
        <v>44</v>
      </c>
      <c r="W33">
        <v>5</v>
      </c>
      <c r="X33">
        <v>2</v>
      </c>
      <c r="Y33" s="2" t="s">
        <v>118</v>
      </c>
      <c r="Z33" s="2" t="s">
        <v>42</v>
      </c>
      <c r="AA33" s="2" t="s">
        <v>42</v>
      </c>
      <c r="AB33" s="2" t="s">
        <v>127</v>
      </c>
      <c r="AC33" t="s">
        <v>122</v>
      </c>
      <c r="AD33" t="s">
        <v>123</v>
      </c>
      <c r="AE33" t="s">
        <v>124</v>
      </c>
      <c r="AF33" t="s">
        <v>125</v>
      </c>
      <c r="AG33" t="s">
        <v>51</v>
      </c>
      <c r="AH33" t="s">
        <v>126</v>
      </c>
      <c r="AI33" t="s">
        <v>53</v>
      </c>
      <c r="AJ33" t="b">
        <v>1</v>
      </c>
      <c r="AK33" t="b">
        <v>1</v>
      </c>
      <c r="AL33">
        <v>1</v>
      </c>
      <c r="AM33">
        <v>1</v>
      </c>
      <c r="AN33" t="s">
        <v>56</v>
      </c>
      <c r="AO33" t="s">
        <v>57</v>
      </c>
      <c r="AP33">
        <v>0.75</v>
      </c>
      <c r="AQ33" t="b">
        <v>1</v>
      </c>
      <c r="AR33" t="s">
        <v>23</v>
      </c>
      <c r="AS33">
        <v>20000</v>
      </c>
      <c r="AT33">
        <v>500</v>
      </c>
      <c r="AU33" t="s">
        <v>121</v>
      </c>
      <c r="AV33" t="b">
        <v>0</v>
      </c>
      <c r="AW33" t="b">
        <v>0</v>
      </c>
      <c r="AX33" t="b">
        <v>1</v>
      </c>
      <c r="AY33" t="b">
        <v>0</v>
      </c>
      <c r="AZ33" t="b">
        <v>0</v>
      </c>
      <c r="BA33">
        <f>INDEX(Inp_CER_Bin_2eps3arms!$AN$2:$AN$176,MATCH(Table1[[#This Row],[ModelID]],Inp_CER_Bin_2eps3arms!$A$2:$A$176,0))</f>
        <v>0</v>
      </c>
      <c r="BB33" t="s">
        <v>42</v>
      </c>
      <c r="BC33" t="s">
        <v>619</v>
      </c>
      <c r="BD33" t="s">
        <v>629</v>
      </c>
      <c r="BE33" s="10">
        <f>Table1[[#This Row],[Global.Power]]</f>
        <v>0.99577070000000001</v>
      </c>
      <c r="BF33" s="10">
        <f>Table1[[#This Row],[Conjunctive.Power]]</f>
        <v>0.98601669999999997</v>
      </c>
      <c r="BG33" s="10">
        <f>Table1[[#This Row],[Disjunctive.Power]]</f>
        <v>0.99576980000000004</v>
      </c>
      <c r="BH33" s="10">
        <f>Table1[[#This Row],[FWER]]</f>
        <v>2.2538800000000001E-2</v>
      </c>
      <c r="BI33" s="10">
        <f>_xlfn.NUMBERVALUE(MID(Table1[[#This Row],[CI_95perc_Global.Power]],2,FIND(",",Table1[[#This Row],[CI_95perc_Global.Power]])-2))</f>
        <v>0.99550000000000005</v>
      </c>
      <c r="BJ33" s="10">
        <f>_xlfn.NUMBERVALUE(MID(Table1[[#This Row],[CI_95perc_Global.Power]],FIND(",",Table1[[#This Row],[CI_95perc_Global.Power]])+1,LEN(Table1[[#This Row],[CI_95perc_Global.Power]])-FIND(",",Table1[[#This Row],[CI_95perc_Global.Power]])-1))</f>
        <v>0.99604000000000004</v>
      </c>
      <c r="BK33" s="10">
        <f>_xlfn.NUMBERVALUE(MID(Table1[[#This Row],[CI_95perc_Conjunctive.Power]],2,FIND(",",Table1[[#This Row],[CI_95perc_Conjunctive.Power]])-2))</f>
        <v>0.98543999999999998</v>
      </c>
      <c r="BL33" s="10">
        <f>_xlfn.NUMBERVALUE(MID(Table1[[#This Row],[CI_95perc_Conjunctive.Power]],FIND(",",Table1[[#This Row],[CI_95perc_Conjunctive.Power]])+1,LEN(Table1[[#This Row],[CI_95perc_Conjunctive.Power]])-FIND(",",Table1[[#This Row],[CI_95perc_Conjunctive.Power]])-1))</f>
        <v>0.98658999999999997</v>
      </c>
      <c r="BM33" s="10">
        <f>_xlfn.NUMBERVALUE(MID(Table1[[#This Row],[CI_95perc_Disjunctive.Power]],2,FIND(",",Table1[[#This Row],[CI_95perc_Disjunctive.Power]])-2))</f>
        <v>0.99550000000000005</v>
      </c>
      <c r="BN33" s="10">
        <f>_xlfn.NUMBERVALUE(MID(Table1[[#This Row],[CI_95perc_Disjunctive.Power]],FIND(",",Table1[[#This Row],[CI_95perc_Disjunctive.Power]])+1,LEN(Table1[[#This Row],[CI_95perc_Disjunctive.Power]])-FIND(",",Table1[[#This Row],[CI_95perc_Disjunctive.Power]])-1))</f>
        <v>0.99604000000000004</v>
      </c>
      <c r="BO33" s="10">
        <f>_xlfn.NUMBERVALUE(MID(Table1[[#This Row],[CI_95perc_FWER]],2,FIND(",",Table1[[#This Row],[CI_95perc_FWER]])-2))</f>
        <v>2.171E-2</v>
      </c>
      <c r="BP33" s="10">
        <f>_xlfn.NUMBERVALUE(MID(Table1[[#This Row],[CI_95perc_FWER]],FIND(",",Table1[[#This Row],[CI_95perc_FWER]])+1,LEN(Table1[[#This Row],[CI_95perc_FWER]])-FIND(",",Table1[[#This Row],[CI_95perc_FWER]])-1))</f>
        <v>2.3369999999999998E-2</v>
      </c>
      <c r="BQ33" s="10" t="str">
        <f>_xlfn.CONCAT("(",TEXT(Table1[[#This Row],[LCL_Disj.Pow%]],"0.00%"), ", ",TEXT(Table1[[#This Row],[UCL_Disj.Pow%]],"0.00%"),")")</f>
        <v>(99.55%, 99.60%)</v>
      </c>
      <c r="BR33" s="10" t="str">
        <f>_xlfn.CONCAT("(",TEXT(Table1[[#This Row],[LCL_Conj.Pow%]],"0.00%"),", ",TEXT(Table1[[#This Row],[UCL_Conj.Pow%]],"0.00%"),")")</f>
        <v>(98.54%, 98.66%)</v>
      </c>
      <c r="BS33" s="10" t="str">
        <f>_xlfn.CONCAT("(",TEXT(Table1[[#This Row],[LCL_FWER%]],"0.00%"),", ",TEXT(Table1[[#This Row],[UCL_FWER%]],"0.00%"),")")</f>
        <v>(2.17%, 2.34%)</v>
      </c>
    </row>
    <row r="34" spans="1:71" x14ac:dyDescent="0.25">
      <c r="A34">
        <v>32</v>
      </c>
      <c r="B34" t="s">
        <v>134</v>
      </c>
      <c r="C34">
        <v>5807</v>
      </c>
      <c r="D34">
        <v>0.99374343060213199</v>
      </c>
      <c r="E34">
        <v>0.96991841433505199</v>
      </c>
      <c r="F34">
        <v>0.99374343060213199</v>
      </c>
      <c r="G34">
        <v>1.33640322338455E-2</v>
      </c>
      <c r="H34" t="s">
        <v>217</v>
      </c>
      <c r="I34" t="s">
        <v>218</v>
      </c>
      <c r="J34" t="s">
        <v>217</v>
      </c>
      <c r="K34" t="s">
        <v>219</v>
      </c>
      <c r="L34" s="1">
        <v>972510129</v>
      </c>
      <c r="M34" t="s">
        <v>220</v>
      </c>
      <c r="N34">
        <v>8.1795238653818797E-2</v>
      </c>
      <c r="O34" t="s">
        <v>85</v>
      </c>
      <c r="P34" t="s">
        <v>117</v>
      </c>
      <c r="Q34" s="2">
        <v>2000</v>
      </c>
      <c r="R34">
        <v>2.5000000000000001E-2</v>
      </c>
      <c r="S34" t="s">
        <v>42</v>
      </c>
      <c r="T34" t="s">
        <v>42</v>
      </c>
      <c r="U34" t="s">
        <v>43</v>
      </c>
      <c r="V34" s="2" t="s">
        <v>44</v>
      </c>
      <c r="W34">
        <v>5</v>
      </c>
      <c r="X34">
        <v>2</v>
      </c>
      <c r="Y34" s="2" t="s">
        <v>118</v>
      </c>
      <c r="Z34" s="2" t="s">
        <v>42</v>
      </c>
      <c r="AA34" s="2" t="s">
        <v>42</v>
      </c>
      <c r="AB34" s="2" t="s">
        <v>127</v>
      </c>
      <c r="AC34" t="s">
        <v>122</v>
      </c>
      <c r="AD34" t="s">
        <v>123</v>
      </c>
      <c r="AE34" t="s">
        <v>124</v>
      </c>
      <c r="AF34" t="s">
        <v>125</v>
      </c>
      <c r="AG34" t="s">
        <v>51</v>
      </c>
      <c r="AH34" t="s">
        <v>126</v>
      </c>
      <c r="AI34" t="s">
        <v>53</v>
      </c>
      <c r="AJ34" t="b">
        <v>1</v>
      </c>
      <c r="AK34" t="b">
        <v>1</v>
      </c>
      <c r="AL34">
        <v>1</v>
      </c>
      <c r="AM34">
        <v>1</v>
      </c>
      <c r="AN34" t="s">
        <v>56</v>
      </c>
      <c r="AO34" t="s">
        <v>57</v>
      </c>
      <c r="AP34">
        <v>0.5</v>
      </c>
      <c r="AQ34" t="b">
        <v>1</v>
      </c>
      <c r="AR34" t="s">
        <v>23</v>
      </c>
      <c r="AS34">
        <v>20000</v>
      </c>
      <c r="AT34">
        <v>500</v>
      </c>
      <c r="AU34" t="s">
        <v>121</v>
      </c>
      <c r="AV34" t="b">
        <v>0</v>
      </c>
      <c r="AW34" t="b">
        <v>0</v>
      </c>
      <c r="AX34" t="b">
        <v>1</v>
      </c>
      <c r="AY34" t="b">
        <v>0</v>
      </c>
      <c r="AZ34" t="b">
        <v>0</v>
      </c>
      <c r="BA34">
        <f>INDEX(Inp_CER_Bin_2eps3arms!$AN$2:$AN$176,MATCH(Table1[[#This Row],[ModelID]],Inp_CER_Bin_2eps3arms!$A$2:$A$176,0))</f>
        <v>0</v>
      </c>
      <c r="BB34" t="s">
        <v>42</v>
      </c>
      <c r="BC34" t="s">
        <v>622</v>
      </c>
      <c r="BD34" t="s">
        <v>629</v>
      </c>
      <c r="BE34" s="10">
        <f>Table1[[#This Row],[Global.Power]]</f>
        <v>0.99374343060213199</v>
      </c>
      <c r="BF34" s="10">
        <f>Table1[[#This Row],[Conjunctive.Power]]</f>
        <v>0.96991841433505199</v>
      </c>
      <c r="BG34" s="10">
        <f>Table1[[#This Row],[Disjunctive.Power]]</f>
        <v>0.99374343060213199</v>
      </c>
      <c r="BH34" s="10">
        <f>Table1[[#This Row],[FWER]]</f>
        <v>1.33640322338455E-2</v>
      </c>
      <c r="BI34" s="10">
        <f>_xlfn.NUMBERVALUE(MID(Table1[[#This Row],[CI_95perc_Global.Power]],2,FIND(",",Table1[[#This Row],[CI_95perc_Global.Power]])-2))</f>
        <v>0.99265000000000003</v>
      </c>
      <c r="BJ34" s="10">
        <f>_xlfn.NUMBERVALUE(MID(Table1[[#This Row],[CI_95perc_Global.Power]],FIND(",",Table1[[#This Row],[CI_95perc_Global.Power]])+1,LEN(Table1[[#This Row],[CI_95perc_Global.Power]])-FIND(",",Table1[[#This Row],[CI_95perc_Global.Power]])-1))</f>
        <v>0.99483999999999995</v>
      </c>
      <c r="BK34" s="10">
        <f>_xlfn.NUMBERVALUE(MID(Table1[[#This Row],[CI_95perc_Conjunctive.Power]],2,FIND(",",Table1[[#This Row],[CI_95perc_Conjunctive.Power]])-2))</f>
        <v>0.96755000000000002</v>
      </c>
      <c r="BL34" s="10">
        <f>_xlfn.NUMBERVALUE(MID(Table1[[#This Row],[CI_95perc_Conjunctive.Power]],FIND(",",Table1[[#This Row],[CI_95perc_Conjunctive.Power]])+1,LEN(Table1[[#This Row],[CI_95perc_Conjunctive.Power]])-FIND(",",Table1[[#This Row],[CI_95perc_Conjunctive.Power]])-1))</f>
        <v>0.97228999999999999</v>
      </c>
      <c r="BM34" s="10">
        <f>_xlfn.NUMBERVALUE(MID(Table1[[#This Row],[CI_95perc_Disjunctive.Power]],2,FIND(",",Table1[[#This Row],[CI_95perc_Disjunctive.Power]])-2))</f>
        <v>0.99265000000000003</v>
      </c>
      <c r="BN34" s="10">
        <f>_xlfn.NUMBERVALUE(MID(Table1[[#This Row],[CI_95perc_Disjunctive.Power]],FIND(",",Table1[[#This Row],[CI_95perc_Disjunctive.Power]])+1,LEN(Table1[[#This Row],[CI_95perc_Disjunctive.Power]])-FIND(",",Table1[[#This Row],[CI_95perc_Disjunctive.Power]])-1))</f>
        <v>0.99483999999999995</v>
      </c>
      <c r="BO34" s="10">
        <f>_xlfn.NUMBERVALUE(MID(Table1[[#This Row],[CI_95perc_FWER]],2,FIND(",",Table1[[#This Row],[CI_95perc_FWER]])-2))</f>
        <v>1.1769999999999999E-2</v>
      </c>
      <c r="BP34" s="10">
        <f>_xlfn.NUMBERVALUE(MID(Table1[[#This Row],[CI_95perc_FWER]],FIND(",",Table1[[#This Row],[CI_95perc_FWER]])+1,LEN(Table1[[#This Row],[CI_95perc_FWER]])-FIND(",",Table1[[#This Row],[CI_95perc_FWER]])-1))</f>
        <v>1.4959999999999999E-2</v>
      </c>
      <c r="BQ34" s="10" t="str">
        <f>_xlfn.CONCAT("(",TEXT(Table1[[#This Row],[LCL_Disj.Pow%]],"0.00%"), ", ",TEXT(Table1[[#This Row],[UCL_Disj.Pow%]],"0.00%"),")")</f>
        <v>(99.27%, 99.48%)</v>
      </c>
      <c r="BR34" s="10" t="str">
        <f>_xlfn.CONCAT("(",TEXT(Table1[[#This Row],[LCL_Conj.Pow%]],"0.00%"),", ",TEXT(Table1[[#This Row],[UCL_Conj.Pow%]],"0.00%"),")")</f>
        <v>(96.76%, 97.23%)</v>
      </c>
      <c r="BS34" s="10" t="str">
        <f>_xlfn.CONCAT("(",TEXT(Table1[[#This Row],[LCL_FWER%]],"0.00%"),", ",TEXT(Table1[[#This Row],[UCL_FWER%]],"0.00%"),")")</f>
        <v>(1.18%, 1.50%)</v>
      </c>
    </row>
    <row r="35" spans="1:71" x14ac:dyDescent="0.25">
      <c r="A35">
        <v>33</v>
      </c>
      <c r="B35" t="s">
        <v>142</v>
      </c>
      <c r="C35">
        <v>828</v>
      </c>
      <c r="D35">
        <v>0.99826029999999999</v>
      </c>
      <c r="E35">
        <v>0.99212690000000003</v>
      </c>
      <c r="F35">
        <v>0.99825909999999995</v>
      </c>
      <c r="G35">
        <v>2.2908000000000001E-2</v>
      </c>
      <c r="H35" t="s">
        <v>221</v>
      </c>
      <c r="I35" t="s">
        <v>222</v>
      </c>
      <c r="J35" t="s">
        <v>221</v>
      </c>
      <c r="K35" t="s">
        <v>223</v>
      </c>
      <c r="L35" s="1">
        <v>987810089</v>
      </c>
      <c r="M35" t="s">
        <v>224</v>
      </c>
      <c r="N35">
        <v>0.89547328829765305</v>
      </c>
      <c r="O35" t="s">
        <v>85</v>
      </c>
      <c r="P35" t="s">
        <v>41</v>
      </c>
      <c r="Q35" s="2">
        <v>2000</v>
      </c>
      <c r="R35">
        <v>2.5000000000000001E-2</v>
      </c>
      <c r="S35" t="s">
        <v>42</v>
      </c>
      <c r="T35" t="s">
        <v>42</v>
      </c>
      <c r="U35" t="s">
        <v>43</v>
      </c>
      <c r="V35" s="2" t="s">
        <v>44</v>
      </c>
      <c r="W35">
        <v>5</v>
      </c>
      <c r="X35">
        <v>2</v>
      </c>
      <c r="Y35" s="2" t="s">
        <v>118</v>
      </c>
      <c r="Z35" s="2" t="s">
        <v>42</v>
      </c>
      <c r="AA35" s="2" t="s">
        <v>42</v>
      </c>
      <c r="AB35" s="2" t="s">
        <v>127</v>
      </c>
      <c r="AC35" t="s">
        <v>122</v>
      </c>
      <c r="AD35" t="s">
        <v>123</v>
      </c>
      <c r="AE35" t="s">
        <v>124</v>
      </c>
      <c r="AF35" t="s">
        <v>125</v>
      </c>
      <c r="AG35" t="s">
        <v>51</v>
      </c>
      <c r="AH35" t="s">
        <v>126</v>
      </c>
      <c r="AI35" t="s">
        <v>53</v>
      </c>
      <c r="AJ35" t="b">
        <v>1</v>
      </c>
      <c r="AK35" t="b">
        <v>1</v>
      </c>
      <c r="AL35">
        <v>1</v>
      </c>
      <c r="AM35">
        <v>1</v>
      </c>
      <c r="AN35" t="s">
        <v>56</v>
      </c>
      <c r="AO35" t="s">
        <v>57</v>
      </c>
      <c r="AP35">
        <v>0.5</v>
      </c>
      <c r="AQ35" t="b">
        <v>1</v>
      </c>
      <c r="AR35" t="s">
        <v>23</v>
      </c>
      <c r="AS35">
        <v>20000</v>
      </c>
      <c r="AT35">
        <v>500</v>
      </c>
      <c r="AU35" t="s">
        <v>121</v>
      </c>
      <c r="AV35" t="b">
        <v>0</v>
      </c>
      <c r="AW35" t="b">
        <v>0</v>
      </c>
      <c r="AX35" t="b">
        <v>1</v>
      </c>
      <c r="AY35" t="b">
        <v>0</v>
      </c>
      <c r="AZ35" t="b">
        <v>0</v>
      </c>
      <c r="BA35">
        <f>INDEX(Inp_CER_Bin_2eps3arms!$AN$2:$AN$176,MATCH(Table1[[#This Row],[ModelID]],Inp_CER_Bin_2eps3arms!$A$2:$A$176,0))</f>
        <v>0</v>
      </c>
      <c r="BB35" t="s">
        <v>42</v>
      </c>
      <c r="BC35" t="s">
        <v>622</v>
      </c>
      <c r="BD35" t="s">
        <v>629</v>
      </c>
      <c r="BE35" s="10">
        <f>Table1[[#This Row],[Global.Power]]</f>
        <v>0.99826029999999999</v>
      </c>
      <c r="BF35" s="10">
        <f>Table1[[#This Row],[Conjunctive.Power]]</f>
        <v>0.99212690000000003</v>
      </c>
      <c r="BG35" s="10">
        <f>Table1[[#This Row],[Disjunctive.Power]]</f>
        <v>0.99825909999999995</v>
      </c>
      <c r="BH35" s="10">
        <f>Table1[[#This Row],[FWER]]</f>
        <v>2.2908000000000001E-2</v>
      </c>
      <c r="BI35" s="10">
        <f>_xlfn.NUMBERVALUE(MID(Table1[[#This Row],[CI_95perc_Global.Power]],2,FIND(",",Table1[[#This Row],[CI_95perc_Global.Power]])-2))</f>
        <v>0.99802000000000002</v>
      </c>
      <c r="BJ35" s="10">
        <f>_xlfn.NUMBERVALUE(MID(Table1[[#This Row],[CI_95perc_Global.Power]],FIND(",",Table1[[#This Row],[CI_95perc_Global.Power]])+1,LEN(Table1[[#This Row],[CI_95perc_Global.Power]])-FIND(",",Table1[[#This Row],[CI_95perc_Global.Power]])-1))</f>
        <v>0.99850000000000005</v>
      </c>
      <c r="BK35" s="10">
        <f>_xlfn.NUMBERVALUE(MID(Table1[[#This Row],[CI_95perc_Conjunctive.Power]],2,FIND(",",Table1[[#This Row],[CI_95perc_Conjunctive.Power]])-2))</f>
        <v>0.99167000000000005</v>
      </c>
      <c r="BL35" s="10">
        <f>_xlfn.NUMBERVALUE(MID(Table1[[#This Row],[CI_95perc_Conjunctive.Power]],FIND(",",Table1[[#This Row],[CI_95perc_Conjunctive.Power]])+1,LEN(Table1[[#This Row],[CI_95perc_Conjunctive.Power]])-FIND(",",Table1[[#This Row],[CI_95perc_Conjunctive.Power]])-1))</f>
        <v>0.99258999999999997</v>
      </c>
      <c r="BM35" s="10">
        <f>_xlfn.NUMBERVALUE(MID(Table1[[#This Row],[CI_95perc_Disjunctive.Power]],2,FIND(",",Table1[[#This Row],[CI_95perc_Disjunctive.Power]])-2))</f>
        <v>0.99802000000000002</v>
      </c>
      <c r="BN35" s="10">
        <f>_xlfn.NUMBERVALUE(MID(Table1[[#This Row],[CI_95perc_Disjunctive.Power]],FIND(",",Table1[[#This Row],[CI_95perc_Disjunctive.Power]])+1,LEN(Table1[[#This Row],[CI_95perc_Disjunctive.Power]])-FIND(",",Table1[[#This Row],[CI_95perc_Disjunctive.Power]])-1))</f>
        <v>0.99850000000000005</v>
      </c>
      <c r="BO35" s="10">
        <f>_xlfn.NUMBERVALUE(MID(Table1[[#This Row],[CI_95perc_FWER]],2,FIND(",",Table1[[#This Row],[CI_95perc_FWER]])-2))</f>
        <v>2.205E-2</v>
      </c>
      <c r="BP35" s="10">
        <f>_xlfn.NUMBERVALUE(MID(Table1[[#This Row],[CI_95perc_FWER]],FIND(",",Table1[[#This Row],[CI_95perc_FWER]])+1,LEN(Table1[[#This Row],[CI_95perc_FWER]])-FIND(",",Table1[[#This Row],[CI_95perc_FWER]])-1))</f>
        <v>2.3769999999999999E-2</v>
      </c>
      <c r="BQ35" s="10" t="str">
        <f>_xlfn.CONCAT("(",TEXT(Table1[[#This Row],[LCL_Disj.Pow%]],"0.00%"), ", ",TEXT(Table1[[#This Row],[UCL_Disj.Pow%]],"0.00%"),")")</f>
        <v>(99.80%, 99.85%)</v>
      </c>
      <c r="BR35" s="10" t="str">
        <f>_xlfn.CONCAT("(",TEXT(Table1[[#This Row],[LCL_Conj.Pow%]],"0.00%"),", ",TEXT(Table1[[#This Row],[UCL_Conj.Pow%]],"0.00%"),")")</f>
        <v>(99.17%, 99.26%)</v>
      </c>
      <c r="BS35" s="10" t="str">
        <f>_xlfn.CONCAT("(",TEXT(Table1[[#This Row],[LCL_FWER%]],"0.00%"),", ",TEXT(Table1[[#This Row],[UCL_FWER%]],"0.00%"),")")</f>
        <v>(2.21%, 2.38%)</v>
      </c>
    </row>
    <row r="36" spans="1:71" x14ac:dyDescent="0.25">
      <c r="A36">
        <v>34</v>
      </c>
      <c r="B36" t="s">
        <v>135</v>
      </c>
      <c r="C36">
        <v>1046</v>
      </c>
      <c r="D36">
        <v>0.99549774887443698</v>
      </c>
      <c r="E36">
        <v>0.98339169584792396</v>
      </c>
      <c r="F36">
        <v>0.99549774887443698</v>
      </c>
      <c r="G36">
        <v>1.51075537768884E-2</v>
      </c>
      <c r="H36" t="s">
        <v>225</v>
      </c>
      <c r="I36" t="s">
        <v>226</v>
      </c>
      <c r="J36" t="s">
        <v>225</v>
      </c>
      <c r="K36" t="s">
        <v>227</v>
      </c>
      <c r="L36" s="1">
        <v>974310157</v>
      </c>
      <c r="M36" t="s">
        <v>228</v>
      </c>
      <c r="N36">
        <v>7.6328510774506503E-2</v>
      </c>
      <c r="O36" t="s">
        <v>85</v>
      </c>
      <c r="P36" t="s">
        <v>117</v>
      </c>
      <c r="Q36" s="2">
        <v>2000</v>
      </c>
      <c r="R36">
        <v>2.5000000000000001E-2</v>
      </c>
      <c r="S36" t="s">
        <v>42</v>
      </c>
      <c r="T36" t="s">
        <v>42</v>
      </c>
      <c r="U36" t="s">
        <v>43</v>
      </c>
      <c r="V36" s="2" t="s">
        <v>44</v>
      </c>
      <c r="W36">
        <v>5</v>
      </c>
      <c r="X36">
        <v>2</v>
      </c>
      <c r="Y36" s="2" t="s">
        <v>118</v>
      </c>
      <c r="Z36" s="2" t="s">
        <v>42</v>
      </c>
      <c r="AA36" s="2" t="s">
        <v>42</v>
      </c>
      <c r="AB36" s="2" t="s">
        <v>127</v>
      </c>
      <c r="AC36" t="s">
        <v>122</v>
      </c>
      <c r="AD36" t="s">
        <v>123</v>
      </c>
      <c r="AE36" t="s">
        <v>124</v>
      </c>
      <c r="AF36" t="s">
        <v>125</v>
      </c>
      <c r="AG36" t="s">
        <v>51</v>
      </c>
      <c r="AH36" t="s">
        <v>126</v>
      </c>
      <c r="AI36" t="s">
        <v>53</v>
      </c>
      <c r="AJ36" t="b">
        <v>1</v>
      </c>
      <c r="AK36" t="b">
        <v>1</v>
      </c>
      <c r="AL36">
        <v>1</v>
      </c>
      <c r="AM36">
        <v>1</v>
      </c>
      <c r="AN36" t="s">
        <v>56</v>
      </c>
      <c r="AO36" t="s">
        <v>57</v>
      </c>
      <c r="AP36">
        <v>0.25</v>
      </c>
      <c r="AQ36" t="b">
        <v>1</v>
      </c>
      <c r="AR36" t="s">
        <v>23</v>
      </c>
      <c r="AS36">
        <v>20000</v>
      </c>
      <c r="AT36">
        <v>500</v>
      </c>
      <c r="AU36" t="s">
        <v>121</v>
      </c>
      <c r="AV36" t="b">
        <v>0</v>
      </c>
      <c r="AW36" t="b">
        <v>0</v>
      </c>
      <c r="AX36" t="b">
        <v>1</v>
      </c>
      <c r="AY36" t="b">
        <v>0</v>
      </c>
      <c r="AZ36" t="b">
        <v>0</v>
      </c>
      <c r="BA36">
        <f>INDEX(Inp_CER_Bin_2eps3arms!$AN$2:$AN$176,MATCH(Table1[[#This Row],[ModelID]],Inp_CER_Bin_2eps3arms!$A$2:$A$176,0))</f>
        <v>0</v>
      </c>
      <c r="BB36" t="s">
        <v>42</v>
      </c>
      <c r="BC36" t="s">
        <v>621</v>
      </c>
      <c r="BD36" t="s">
        <v>629</v>
      </c>
      <c r="BE36" s="10">
        <f>Table1[[#This Row],[Global.Power]]</f>
        <v>0.99549774887443698</v>
      </c>
      <c r="BF36" s="10">
        <f>Table1[[#This Row],[Conjunctive.Power]]</f>
        <v>0.98339169584792396</v>
      </c>
      <c r="BG36" s="10">
        <f>Table1[[#This Row],[Disjunctive.Power]]</f>
        <v>0.99549774887443698</v>
      </c>
      <c r="BH36" s="10">
        <f>Table1[[#This Row],[FWER]]</f>
        <v>1.51075537768884E-2</v>
      </c>
      <c r="BI36" s="10">
        <f>_xlfn.NUMBERVALUE(MID(Table1[[#This Row],[CI_95perc_Global.Power]],2,FIND(",",Table1[[#This Row],[CI_95perc_Global.Power]])-2))</f>
        <v>0.99456999999999995</v>
      </c>
      <c r="BJ36" s="10">
        <f>_xlfn.NUMBERVALUE(MID(Table1[[#This Row],[CI_95perc_Global.Power]],FIND(",",Table1[[#This Row],[CI_95perc_Global.Power]])+1,LEN(Table1[[#This Row],[CI_95perc_Global.Power]])-FIND(",",Table1[[#This Row],[CI_95perc_Global.Power]])-1))</f>
        <v>0.99643000000000004</v>
      </c>
      <c r="BK36" s="10">
        <f>_xlfn.NUMBERVALUE(MID(Table1[[#This Row],[CI_95perc_Conjunctive.Power]],2,FIND(",",Table1[[#This Row],[CI_95perc_Conjunctive.Power]])-2))</f>
        <v>0.98162000000000005</v>
      </c>
      <c r="BL36" s="10">
        <f>_xlfn.NUMBERVALUE(MID(Table1[[#This Row],[CI_95perc_Conjunctive.Power]],FIND(",",Table1[[#This Row],[CI_95perc_Conjunctive.Power]])+1,LEN(Table1[[#This Row],[CI_95perc_Conjunctive.Power]])-FIND(",",Table1[[#This Row],[CI_95perc_Conjunctive.Power]])-1))</f>
        <v>0.98516000000000004</v>
      </c>
      <c r="BM36" s="10">
        <f>_xlfn.NUMBERVALUE(MID(Table1[[#This Row],[CI_95perc_Disjunctive.Power]],2,FIND(",",Table1[[#This Row],[CI_95perc_Disjunctive.Power]])-2))</f>
        <v>0.99456999999999995</v>
      </c>
      <c r="BN36" s="10">
        <f>_xlfn.NUMBERVALUE(MID(Table1[[#This Row],[CI_95perc_Disjunctive.Power]],FIND(",",Table1[[#This Row],[CI_95perc_Disjunctive.Power]])+1,LEN(Table1[[#This Row],[CI_95perc_Disjunctive.Power]])-FIND(",",Table1[[#This Row],[CI_95perc_Disjunctive.Power]])-1))</f>
        <v>0.99643000000000004</v>
      </c>
      <c r="BO36" s="10">
        <f>_xlfn.NUMBERVALUE(MID(Table1[[#This Row],[CI_95perc_FWER]],2,FIND(",",Table1[[#This Row],[CI_95perc_FWER]])-2))</f>
        <v>1.342E-2</v>
      </c>
      <c r="BP36" s="10">
        <f>_xlfn.NUMBERVALUE(MID(Table1[[#This Row],[CI_95perc_FWER]],FIND(",",Table1[[#This Row],[CI_95perc_FWER]])+1,LEN(Table1[[#This Row],[CI_95perc_FWER]])-FIND(",",Table1[[#This Row],[CI_95perc_FWER]])-1))</f>
        <v>1.6799999999999999E-2</v>
      </c>
      <c r="BQ36" s="10" t="str">
        <f>_xlfn.CONCAT("(",TEXT(Table1[[#This Row],[LCL_Disj.Pow%]],"0.00%"), ", ",TEXT(Table1[[#This Row],[UCL_Disj.Pow%]],"0.00%"),")")</f>
        <v>(99.46%, 99.64%)</v>
      </c>
      <c r="BR36" s="10" t="str">
        <f>_xlfn.CONCAT("(",TEXT(Table1[[#This Row],[LCL_Conj.Pow%]],"0.00%"),", ",TEXT(Table1[[#This Row],[UCL_Conj.Pow%]],"0.00%"),")")</f>
        <v>(98.16%, 98.52%)</v>
      </c>
      <c r="BS36" s="10" t="str">
        <f>_xlfn.CONCAT("(",TEXT(Table1[[#This Row],[LCL_FWER%]],"0.00%"),", ",TEXT(Table1[[#This Row],[UCL_FWER%]],"0.00%"),")")</f>
        <v>(1.34%, 1.68%)</v>
      </c>
    </row>
    <row r="37" spans="1:71" x14ac:dyDescent="0.25">
      <c r="A37">
        <v>35</v>
      </c>
      <c r="B37" t="s">
        <v>143</v>
      </c>
      <c r="C37">
        <v>4308</v>
      </c>
      <c r="D37">
        <v>0.9955465</v>
      </c>
      <c r="E37">
        <v>0.9933168</v>
      </c>
      <c r="F37">
        <v>0.99554430000000005</v>
      </c>
      <c r="G37">
        <v>2.2285900000000001E-2</v>
      </c>
      <c r="H37" t="s">
        <v>229</v>
      </c>
      <c r="I37" t="s">
        <v>230</v>
      </c>
      <c r="J37" t="s">
        <v>231</v>
      </c>
      <c r="K37" t="s">
        <v>232</v>
      </c>
      <c r="L37" s="1">
        <v>987910036</v>
      </c>
      <c r="M37" t="s">
        <v>233</v>
      </c>
      <c r="N37">
        <v>0.74148017863432603</v>
      </c>
      <c r="O37" t="s">
        <v>85</v>
      </c>
      <c r="P37" t="s">
        <v>41</v>
      </c>
      <c r="Q37" s="2">
        <v>2000</v>
      </c>
      <c r="R37">
        <v>2.5000000000000001E-2</v>
      </c>
      <c r="S37" t="s">
        <v>42</v>
      </c>
      <c r="T37" t="s">
        <v>42</v>
      </c>
      <c r="U37" t="s">
        <v>43</v>
      </c>
      <c r="V37" s="2" t="s">
        <v>44</v>
      </c>
      <c r="W37">
        <v>5</v>
      </c>
      <c r="X37">
        <v>2</v>
      </c>
      <c r="Y37" s="2" t="s">
        <v>118</v>
      </c>
      <c r="Z37" s="2" t="s">
        <v>42</v>
      </c>
      <c r="AA37" s="2" t="s">
        <v>42</v>
      </c>
      <c r="AB37" s="2" t="s">
        <v>127</v>
      </c>
      <c r="AC37" t="s">
        <v>122</v>
      </c>
      <c r="AD37" t="s">
        <v>123</v>
      </c>
      <c r="AE37" t="s">
        <v>124</v>
      </c>
      <c r="AF37" t="s">
        <v>125</v>
      </c>
      <c r="AG37" t="s">
        <v>51</v>
      </c>
      <c r="AH37" t="s">
        <v>126</v>
      </c>
      <c r="AI37" t="s">
        <v>53</v>
      </c>
      <c r="AJ37" t="b">
        <v>1</v>
      </c>
      <c r="AK37" t="b">
        <v>1</v>
      </c>
      <c r="AL37">
        <v>1</v>
      </c>
      <c r="AM37">
        <v>1</v>
      </c>
      <c r="AN37" t="s">
        <v>56</v>
      </c>
      <c r="AO37" t="s">
        <v>57</v>
      </c>
      <c r="AP37">
        <v>0.25</v>
      </c>
      <c r="AQ37" t="b">
        <v>1</v>
      </c>
      <c r="AR37" t="s">
        <v>23</v>
      </c>
      <c r="AS37">
        <v>20000</v>
      </c>
      <c r="AT37">
        <v>500</v>
      </c>
      <c r="AU37" t="s">
        <v>121</v>
      </c>
      <c r="AV37" t="b">
        <v>0</v>
      </c>
      <c r="AW37" t="b">
        <v>0</v>
      </c>
      <c r="AX37" t="b">
        <v>1</v>
      </c>
      <c r="AY37" t="b">
        <v>0</v>
      </c>
      <c r="AZ37" t="b">
        <v>0</v>
      </c>
      <c r="BA37">
        <f>INDEX(Inp_CER_Bin_2eps3arms!$AN$2:$AN$176,MATCH(Table1[[#This Row],[ModelID]],Inp_CER_Bin_2eps3arms!$A$2:$A$176,0))</f>
        <v>0</v>
      </c>
      <c r="BB37" t="s">
        <v>42</v>
      </c>
      <c r="BC37" t="s">
        <v>621</v>
      </c>
      <c r="BD37" t="s">
        <v>629</v>
      </c>
      <c r="BE37" s="10">
        <f>Table1[[#This Row],[Global.Power]]</f>
        <v>0.9955465</v>
      </c>
      <c r="BF37" s="10">
        <f>Table1[[#This Row],[Conjunctive.Power]]</f>
        <v>0.9933168</v>
      </c>
      <c r="BG37" s="10">
        <f>Table1[[#This Row],[Disjunctive.Power]]</f>
        <v>0.99554430000000005</v>
      </c>
      <c r="BH37" s="10">
        <f>Table1[[#This Row],[FWER]]</f>
        <v>2.2285900000000001E-2</v>
      </c>
      <c r="BI37" s="10">
        <f>_xlfn.NUMBERVALUE(MID(Table1[[#This Row],[CI_95perc_Global.Power]],2,FIND(",",Table1[[#This Row],[CI_95perc_Global.Power]])-2))</f>
        <v>0.99465999999999999</v>
      </c>
      <c r="BJ37" s="10">
        <f>_xlfn.NUMBERVALUE(MID(Table1[[#This Row],[CI_95perc_Global.Power]],FIND(",",Table1[[#This Row],[CI_95perc_Global.Power]])+1,LEN(Table1[[#This Row],[CI_95perc_Global.Power]])-FIND(",",Table1[[#This Row],[CI_95perc_Global.Power]])-1))</f>
        <v>0.99643999999999999</v>
      </c>
      <c r="BK37" s="10">
        <f>_xlfn.NUMBERVALUE(MID(Table1[[#This Row],[CI_95perc_Conjunctive.Power]],2,FIND(",",Table1[[#This Row],[CI_95perc_Conjunctive.Power]])-2))</f>
        <v>0.99239999999999995</v>
      </c>
      <c r="BL37" s="10">
        <f>_xlfn.NUMBERVALUE(MID(Table1[[#This Row],[CI_95perc_Conjunctive.Power]],FIND(",",Table1[[#This Row],[CI_95perc_Conjunctive.Power]])+1,LEN(Table1[[#This Row],[CI_95perc_Conjunctive.Power]])-FIND(",",Table1[[#This Row],[CI_95perc_Conjunctive.Power]])-1))</f>
        <v>0.99422999999999995</v>
      </c>
      <c r="BM37" s="10">
        <f>_xlfn.NUMBERVALUE(MID(Table1[[#This Row],[CI_95perc_Disjunctive.Power]],2,FIND(",",Table1[[#This Row],[CI_95perc_Disjunctive.Power]])-2))</f>
        <v>0.99465000000000003</v>
      </c>
      <c r="BN37" s="10">
        <f>_xlfn.NUMBERVALUE(MID(Table1[[#This Row],[CI_95perc_Disjunctive.Power]],FIND(",",Table1[[#This Row],[CI_95perc_Disjunctive.Power]])+1,LEN(Table1[[#This Row],[CI_95perc_Disjunctive.Power]])-FIND(",",Table1[[#This Row],[CI_95perc_Disjunctive.Power]])-1))</f>
        <v>0.99643999999999999</v>
      </c>
      <c r="BO37" s="10">
        <f>_xlfn.NUMBERVALUE(MID(Table1[[#This Row],[CI_95perc_FWER]],2,FIND(",",Table1[[#This Row],[CI_95perc_FWER]])-2))</f>
        <v>2.1420000000000002E-2</v>
      </c>
      <c r="BP37" s="10">
        <f>_xlfn.NUMBERVALUE(MID(Table1[[#This Row],[CI_95perc_FWER]],FIND(",",Table1[[#This Row],[CI_95perc_FWER]])+1,LEN(Table1[[#This Row],[CI_95perc_FWER]])-FIND(",",Table1[[#This Row],[CI_95perc_FWER]])-1))</f>
        <v>2.315E-2</v>
      </c>
      <c r="BQ37" s="10" t="str">
        <f>_xlfn.CONCAT("(",TEXT(Table1[[#This Row],[LCL_Disj.Pow%]],"0.00%"), ", ",TEXT(Table1[[#This Row],[UCL_Disj.Pow%]],"0.00%"),")")</f>
        <v>(99.47%, 99.64%)</v>
      </c>
      <c r="BR37" s="10" t="str">
        <f>_xlfn.CONCAT("(",TEXT(Table1[[#This Row],[LCL_Conj.Pow%]],"0.00%"),", ",TEXT(Table1[[#This Row],[UCL_Conj.Pow%]],"0.00%"),")")</f>
        <v>(99.24%, 99.42%)</v>
      </c>
      <c r="BS37" s="10" t="str">
        <f>_xlfn.CONCAT("(",TEXT(Table1[[#This Row],[LCL_FWER%]],"0.00%"),", ",TEXT(Table1[[#This Row],[UCL_FWER%]],"0.00%"),")")</f>
        <v>(2.14%, 2.32%)</v>
      </c>
    </row>
    <row r="38" spans="1:71" x14ac:dyDescent="0.25">
      <c r="A38">
        <v>36</v>
      </c>
      <c r="B38" t="s">
        <v>136</v>
      </c>
      <c r="C38">
        <v>570</v>
      </c>
      <c r="D38">
        <v>0.99654896468940701</v>
      </c>
      <c r="E38">
        <v>0.99044713414024199</v>
      </c>
      <c r="F38">
        <v>0.99609882964889496</v>
      </c>
      <c r="G38">
        <v>1.11533460038011E-2</v>
      </c>
      <c r="H38" t="s">
        <v>234</v>
      </c>
      <c r="I38" t="s">
        <v>235</v>
      </c>
      <c r="J38" t="s">
        <v>236</v>
      </c>
      <c r="K38" t="s">
        <v>237</v>
      </c>
      <c r="L38" s="1">
        <v>974310182</v>
      </c>
      <c r="M38" t="s">
        <v>238</v>
      </c>
      <c r="N38">
        <v>7.3793000578880302E-2</v>
      </c>
      <c r="O38" t="s">
        <v>85</v>
      </c>
      <c r="P38" t="s">
        <v>117</v>
      </c>
      <c r="Q38" s="2">
        <v>2000</v>
      </c>
      <c r="R38">
        <v>2.5000000000000001E-2</v>
      </c>
      <c r="S38" t="s">
        <v>42</v>
      </c>
      <c r="T38" t="s">
        <v>42</v>
      </c>
      <c r="U38" t="s">
        <v>43</v>
      </c>
      <c r="V38" s="2" t="s">
        <v>44</v>
      </c>
      <c r="W38">
        <v>5</v>
      </c>
      <c r="X38">
        <v>2</v>
      </c>
      <c r="Y38" s="2" t="s">
        <v>118</v>
      </c>
      <c r="Z38" s="2" t="s">
        <v>42</v>
      </c>
      <c r="AA38" s="2" t="s">
        <v>42</v>
      </c>
      <c r="AB38" s="2" t="s">
        <v>127</v>
      </c>
      <c r="AC38" t="s">
        <v>122</v>
      </c>
      <c r="AD38" t="s">
        <v>123</v>
      </c>
      <c r="AE38" t="s">
        <v>124</v>
      </c>
      <c r="AF38" t="s">
        <v>125</v>
      </c>
      <c r="AG38" t="s">
        <v>51</v>
      </c>
      <c r="AH38" t="s">
        <v>126</v>
      </c>
      <c r="AI38" t="s">
        <v>53</v>
      </c>
      <c r="AJ38" t="b">
        <v>1</v>
      </c>
      <c r="AK38" t="b">
        <v>1</v>
      </c>
      <c r="AL38">
        <v>1</v>
      </c>
      <c r="AM38">
        <v>1</v>
      </c>
      <c r="AN38" t="s">
        <v>56</v>
      </c>
      <c r="AO38" t="s">
        <v>60</v>
      </c>
      <c r="AP38">
        <v>1</v>
      </c>
      <c r="AQ38" t="b">
        <v>1</v>
      </c>
      <c r="AR38" t="s">
        <v>23</v>
      </c>
      <c r="AS38">
        <v>20000</v>
      </c>
      <c r="AT38">
        <v>500</v>
      </c>
      <c r="AU38" t="s">
        <v>121</v>
      </c>
      <c r="AV38" t="b">
        <v>0</v>
      </c>
      <c r="AW38" t="b">
        <v>0</v>
      </c>
      <c r="AX38" t="b">
        <v>1</v>
      </c>
      <c r="AY38" t="b">
        <v>0</v>
      </c>
      <c r="AZ38" t="b">
        <v>0</v>
      </c>
      <c r="BA38">
        <f>INDEX(Inp_CER_Bin_2eps3arms!$AN$2:$AN$176,MATCH(Table1[[#This Row],[ModelID]],Inp_CER_Bin_2eps3arms!$A$2:$A$176,0))</f>
        <v>0</v>
      </c>
      <c r="BB38" t="s">
        <v>42</v>
      </c>
      <c r="BC38" t="s">
        <v>620</v>
      </c>
      <c r="BD38" t="s">
        <v>629</v>
      </c>
      <c r="BE38" s="10">
        <f>Table1[[#This Row],[Global.Power]]</f>
        <v>0.99654896468940701</v>
      </c>
      <c r="BF38" s="10">
        <f>Table1[[#This Row],[Conjunctive.Power]]</f>
        <v>0.99044713414024199</v>
      </c>
      <c r="BG38" s="10">
        <f>Table1[[#This Row],[Disjunctive.Power]]</f>
        <v>0.99609882964889496</v>
      </c>
      <c r="BH38" s="10">
        <f>Table1[[#This Row],[FWER]]</f>
        <v>1.11533460038011E-2</v>
      </c>
      <c r="BI38" s="10">
        <f>_xlfn.NUMBERVALUE(MID(Table1[[#This Row],[CI_95perc_Global.Power]],2,FIND(",",Table1[[#This Row],[CI_95perc_Global.Power]])-2))</f>
        <v>0.99573999999999996</v>
      </c>
      <c r="BJ38" s="10">
        <f>_xlfn.NUMBERVALUE(MID(Table1[[#This Row],[CI_95perc_Global.Power]],FIND(",",Table1[[#This Row],[CI_95perc_Global.Power]])+1,LEN(Table1[[#This Row],[CI_95perc_Global.Power]])-FIND(",",Table1[[#This Row],[CI_95perc_Global.Power]])-1))</f>
        <v>0.99736000000000002</v>
      </c>
      <c r="BK38" s="10">
        <f>_xlfn.NUMBERVALUE(MID(Table1[[#This Row],[CI_95perc_Conjunctive.Power]],2,FIND(",",Table1[[#This Row],[CI_95perc_Conjunctive.Power]])-2))</f>
        <v>0.98909999999999998</v>
      </c>
      <c r="BL38" s="10">
        <f>_xlfn.NUMBERVALUE(MID(Table1[[#This Row],[CI_95perc_Conjunctive.Power]],FIND(",",Table1[[#This Row],[CI_95perc_Conjunctive.Power]])+1,LEN(Table1[[#This Row],[CI_95perc_Conjunctive.Power]])-FIND(",",Table1[[#This Row],[CI_95perc_Conjunctive.Power]])-1))</f>
        <v>0.99180000000000001</v>
      </c>
      <c r="BM38" s="10">
        <f>_xlfn.NUMBERVALUE(MID(Table1[[#This Row],[CI_95perc_Disjunctive.Power]],2,FIND(",",Table1[[#This Row],[CI_95perc_Disjunctive.Power]])-2))</f>
        <v>0.99522999999999995</v>
      </c>
      <c r="BN38" s="10">
        <f>_xlfn.NUMBERVALUE(MID(Table1[[#This Row],[CI_95perc_Disjunctive.Power]],FIND(",",Table1[[#This Row],[CI_95perc_Disjunctive.Power]])+1,LEN(Table1[[#This Row],[CI_95perc_Disjunctive.Power]])-FIND(",",Table1[[#This Row],[CI_95perc_Disjunctive.Power]])-1))</f>
        <v>0.99695999999999996</v>
      </c>
      <c r="BO38" s="10">
        <f>_xlfn.NUMBERVALUE(MID(Table1[[#This Row],[CI_95perc_FWER]],2,FIND(",",Table1[[#This Row],[CI_95perc_FWER]])-2))</f>
        <v>9.7000000000000003E-3</v>
      </c>
      <c r="BP38" s="10">
        <f>_xlfn.NUMBERVALUE(MID(Table1[[#This Row],[CI_95perc_FWER]],FIND(",",Table1[[#This Row],[CI_95perc_FWER]])+1,LEN(Table1[[#This Row],[CI_95perc_FWER]])-FIND(",",Table1[[#This Row],[CI_95perc_FWER]])-1))</f>
        <v>1.261E-2</v>
      </c>
      <c r="BQ38" s="10" t="str">
        <f>_xlfn.CONCAT("(",TEXT(Table1[[#This Row],[LCL_Disj.Pow%]],"0.00%"), ", ",TEXT(Table1[[#This Row],[UCL_Disj.Pow%]],"0.00%"),")")</f>
        <v>(99.52%, 99.70%)</v>
      </c>
      <c r="BR38" s="10" t="str">
        <f>_xlfn.CONCAT("(",TEXT(Table1[[#This Row],[LCL_Conj.Pow%]],"0.00%"),", ",TEXT(Table1[[#This Row],[UCL_Conj.Pow%]],"0.00%"),")")</f>
        <v>(98.91%, 99.18%)</v>
      </c>
      <c r="BS38" s="10" t="str">
        <f>_xlfn.CONCAT("(",TEXT(Table1[[#This Row],[LCL_FWER%]],"0.00%"),", ",TEXT(Table1[[#This Row],[UCL_FWER%]],"0.00%"),")")</f>
        <v>(0.97%, 1.26%)</v>
      </c>
    </row>
    <row r="39" spans="1:71" x14ac:dyDescent="0.25">
      <c r="A39">
        <v>37</v>
      </c>
      <c r="B39" t="s">
        <v>144</v>
      </c>
      <c r="C39">
        <v>7361</v>
      </c>
      <c r="D39">
        <v>0.9986623</v>
      </c>
      <c r="E39">
        <v>0.99825370000000002</v>
      </c>
      <c r="F39">
        <v>0.99845170000000005</v>
      </c>
      <c r="G39">
        <v>1.1021100000000001E-2</v>
      </c>
      <c r="H39" t="s">
        <v>239</v>
      </c>
      <c r="I39" t="s">
        <v>240</v>
      </c>
      <c r="J39" t="s">
        <v>241</v>
      </c>
      <c r="K39" t="s">
        <v>242</v>
      </c>
      <c r="L39" s="1">
        <v>983810138</v>
      </c>
      <c r="M39" t="s">
        <v>243</v>
      </c>
      <c r="N39">
        <v>0.72058849804931202</v>
      </c>
      <c r="O39" t="s">
        <v>85</v>
      </c>
      <c r="P39" t="s">
        <v>41</v>
      </c>
      <c r="Q39" s="2">
        <v>2000</v>
      </c>
      <c r="R39">
        <v>2.5000000000000001E-2</v>
      </c>
      <c r="S39" t="s">
        <v>42</v>
      </c>
      <c r="T39" t="s">
        <v>42</v>
      </c>
      <c r="U39" t="s">
        <v>43</v>
      </c>
      <c r="V39" s="2" t="s">
        <v>44</v>
      </c>
      <c r="W39">
        <v>5</v>
      </c>
      <c r="X39">
        <v>2</v>
      </c>
      <c r="Y39" s="2" t="s">
        <v>118</v>
      </c>
      <c r="Z39" s="2" t="s">
        <v>42</v>
      </c>
      <c r="AA39" s="2" t="s">
        <v>42</v>
      </c>
      <c r="AB39" s="2" t="s">
        <v>127</v>
      </c>
      <c r="AC39" t="s">
        <v>122</v>
      </c>
      <c r="AD39" t="s">
        <v>123</v>
      </c>
      <c r="AE39" t="s">
        <v>124</v>
      </c>
      <c r="AF39" t="s">
        <v>125</v>
      </c>
      <c r="AG39" t="s">
        <v>51</v>
      </c>
      <c r="AH39" t="s">
        <v>126</v>
      </c>
      <c r="AI39" t="s">
        <v>53</v>
      </c>
      <c r="AJ39" t="b">
        <v>1</v>
      </c>
      <c r="AK39" t="b">
        <v>1</v>
      </c>
      <c r="AL39">
        <v>1</v>
      </c>
      <c r="AM39">
        <v>1</v>
      </c>
      <c r="AN39" t="s">
        <v>56</v>
      </c>
      <c r="AO39" t="s">
        <v>60</v>
      </c>
      <c r="AP39">
        <v>1</v>
      </c>
      <c r="AQ39" t="b">
        <v>1</v>
      </c>
      <c r="AR39" t="s">
        <v>23</v>
      </c>
      <c r="AS39">
        <v>20000</v>
      </c>
      <c r="AT39">
        <v>500</v>
      </c>
      <c r="AU39" t="s">
        <v>121</v>
      </c>
      <c r="AV39" t="b">
        <v>0</v>
      </c>
      <c r="AW39" t="b">
        <v>0</v>
      </c>
      <c r="AX39" t="b">
        <v>1</v>
      </c>
      <c r="AY39" t="b">
        <v>0</v>
      </c>
      <c r="AZ39" t="b">
        <v>0</v>
      </c>
      <c r="BA39">
        <f>INDEX(Inp_CER_Bin_2eps3arms!$AN$2:$AN$176,MATCH(Table1[[#This Row],[ModelID]],Inp_CER_Bin_2eps3arms!$A$2:$A$176,0))</f>
        <v>0</v>
      </c>
      <c r="BB39" t="s">
        <v>42</v>
      </c>
      <c r="BC39" t="s">
        <v>620</v>
      </c>
      <c r="BD39" t="s">
        <v>629</v>
      </c>
      <c r="BE39" s="10">
        <f>Table1[[#This Row],[Global.Power]]</f>
        <v>0.9986623</v>
      </c>
      <c r="BF39" s="10">
        <f>Table1[[#This Row],[Conjunctive.Power]]</f>
        <v>0.99825370000000002</v>
      </c>
      <c r="BG39" s="10">
        <f>Table1[[#This Row],[Disjunctive.Power]]</f>
        <v>0.99845170000000005</v>
      </c>
      <c r="BH39" s="10">
        <f>Table1[[#This Row],[FWER]]</f>
        <v>1.1021100000000001E-2</v>
      </c>
      <c r="BI39" s="10">
        <f>_xlfn.NUMBERVALUE(MID(Table1[[#This Row],[CI_95perc_Global.Power]],2,FIND(",",Table1[[#This Row],[CI_95perc_Global.Power]])-2))</f>
        <v>0.99819999999999998</v>
      </c>
      <c r="BJ39" s="10">
        <f>_xlfn.NUMBERVALUE(MID(Table1[[#This Row],[CI_95perc_Global.Power]],FIND(",",Table1[[#This Row],[CI_95perc_Global.Power]])+1,LEN(Table1[[#This Row],[CI_95perc_Global.Power]])-FIND(",",Table1[[#This Row],[CI_95perc_Global.Power]])-1))</f>
        <v>0.99912000000000001</v>
      </c>
      <c r="BK39" s="10">
        <f>_xlfn.NUMBERVALUE(MID(Table1[[#This Row],[CI_95perc_Conjunctive.Power]],2,FIND(",",Table1[[#This Row],[CI_95perc_Conjunctive.Power]])-2))</f>
        <v>0.99773000000000001</v>
      </c>
      <c r="BL39" s="10">
        <f>_xlfn.NUMBERVALUE(MID(Table1[[#This Row],[CI_95perc_Conjunctive.Power]],FIND(",",Table1[[#This Row],[CI_95perc_Conjunctive.Power]])+1,LEN(Table1[[#This Row],[CI_95perc_Conjunctive.Power]])-FIND(",",Table1[[#This Row],[CI_95perc_Conjunctive.Power]])-1))</f>
        <v>0.99877000000000005</v>
      </c>
      <c r="BM39" s="10">
        <f>_xlfn.NUMBERVALUE(MID(Table1[[#This Row],[CI_95perc_Disjunctive.Power]],2,FIND(",",Table1[[#This Row],[CI_95perc_Disjunctive.Power]])-2))</f>
        <v>0.99792999999999998</v>
      </c>
      <c r="BN39" s="10">
        <f>_xlfn.NUMBERVALUE(MID(Table1[[#This Row],[CI_95perc_Disjunctive.Power]],FIND(",",Table1[[#This Row],[CI_95perc_Disjunctive.Power]])+1,LEN(Table1[[#This Row],[CI_95perc_Disjunctive.Power]])-FIND(",",Table1[[#This Row],[CI_95perc_Disjunctive.Power]])-1))</f>
        <v>0.99897000000000002</v>
      </c>
      <c r="BO39" s="10">
        <f>_xlfn.NUMBERVALUE(MID(Table1[[#This Row],[CI_95perc_FWER]],2,FIND(",",Table1[[#This Row],[CI_95perc_FWER]])-2))</f>
        <v>1.0319999999999999E-2</v>
      </c>
      <c r="BP39" s="10">
        <f>_xlfn.NUMBERVALUE(MID(Table1[[#This Row],[CI_95perc_FWER]],FIND(",",Table1[[#This Row],[CI_95perc_FWER]])+1,LEN(Table1[[#This Row],[CI_95perc_FWER]])-FIND(",",Table1[[#This Row],[CI_95perc_FWER]])-1))</f>
        <v>1.172E-2</v>
      </c>
      <c r="BQ39" s="10" t="str">
        <f>_xlfn.CONCAT("(",TEXT(Table1[[#This Row],[LCL_Disj.Pow%]],"0.00%"), ", ",TEXT(Table1[[#This Row],[UCL_Disj.Pow%]],"0.00%"),")")</f>
        <v>(99.79%, 99.90%)</v>
      </c>
      <c r="BR39" s="10" t="str">
        <f>_xlfn.CONCAT("(",TEXT(Table1[[#This Row],[LCL_Conj.Pow%]],"0.00%"),", ",TEXT(Table1[[#This Row],[UCL_Conj.Pow%]],"0.00%"),")")</f>
        <v>(99.77%, 99.88%)</v>
      </c>
      <c r="BS39" s="10" t="str">
        <f>_xlfn.CONCAT("(",TEXT(Table1[[#This Row],[LCL_FWER%]],"0.00%"),", ",TEXT(Table1[[#This Row],[UCL_FWER%]],"0.00%"),")")</f>
        <v>(1.03%, 1.17%)</v>
      </c>
    </row>
    <row r="40" spans="1:71" x14ac:dyDescent="0.25">
      <c r="A40">
        <v>38</v>
      </c>
      <c r="B40" t="s">
        <v>603</v>
      </c>
      <c r="C40">
        <v>9190</v>
      </c>
      <c r="D40">
        <v>0.995435393258427</v>
      </c>
      <c r="E40">
        <v>0.90003009630818598</v>
      </c>
      <c r="F40">
        <v>0.995435393258427</v>
      </c>
      <c r="G40">
        <v>1.6252006420545698E-2</v>
      </c>
      <c r="H40" t="s">
        <v>244</v>
      </c>
      <c r="I40" t="s">
        <v>245</v>
      </c>
      <c r="J40" t="s">
        <v>244</v>
      </c>
      <c r="K40" t="s">
        <v>246</v>
      </c>
      <c r="L40" s="1">
        <v>129586887</v>
      </c>
      <c r="M40" t="s">
        <v>247</v>
      </c>
      <c r="N40">
        <v>8.1739582750532405E-2</v>
      </c>
      <c r="O40" t="s">
        <v>85</v>
      </c>
      <c r="P40" t="s">
        <v>117</v>
      </c>
      <c r="Q40" s="2">
        <v>2000</v>
      </c>
      <c r="R40" s="2">
        <v>2.5000000000000001E-2</v>
      </c>
      <c r="S40" s="2" t="s">
        <v>42</v>
      </c>
      <c r="T40" s="2" t="s">
        <v>42</v>
      </c>
      <c r="U40" s="2" t="s">
        <v>43</v>
      </c>
      <c r="V40" s="2" t="s">
        <v>44</v>
      </c>
      <c r="W40" s="2">
        <v>5</v>
      </c>
      <c r="X40" s="2">
        <v>2</v>
      </c>
      <c r="Y40" s="2" t="s">
        <v>118</v>
      </c>
      <c r="Z40" s="2" t="s">
        <v>42</v>
      </c>
      <c r="AA40" s="2" t="s">
        <v>42</v>
      </c>
      <c r="AB40" s="2" t="s">
        <v>128</v>
      </c>
      <c r="AC40" t="s">
        <v>122</v>
      </c>
      <c r="AD40" s="2" t="s">
        <v>120</v>
      </c>
      <c r="AE40" t="s">
        <v>124</v>
      </c>
      <c r="AF40" t="s">
        <v>125</v>
      </c>
      <c r="AG40" s="2" t="s">
        <v>51</v>
      </c>
      <c r="AH40" t="s">
        <v>52</v>
      </c>
      <c r="AI40" t="s">
        <v>53</v>
      </c>
      <c r="AJ40" t="b">
        <v>1</v>
      </c>
      <c r="AK40" t="b">
        <v>0</v>
      </c>
      <c r="AL40" t="s">
        <v>42</v>
      </c>
      <c r="AM40" t="s">
        <v>42</v>
      </c>
      <c r="AN40" t="s">
        <v>42</v>
      </c>
      <c r="AO40" t="s">
        <v>42</v>
      </c>
      <c r="AP40" t="s">
        <v>42</v>
      </c>
      <c r="AQ40" t="s">
        <v>42</v>
      </c>
      <c r="AR40" t="s">
        <v>54</v>
      </c>
      <c r="AS40">
        <v>20000</v>
      </c>
      <c r="AT40">
        <v>500</v>
      </c>
      <c r="AU40" t="s">
        <v>121</v>
      </c>
      <c r="AV40" t="b">
        <v>0</v>
      </c>
      <c r="AW40" t="b">
        <v>0</v>
      </c>
      <c r="AX40" t="b">
        <v>1</v>
      </c>
      <c r="AY40" t="b">
        <v>0</v>
      </c>
      <c r="AZ40" t="b">
        <v>0</v>
      </c>
      <c r="BA40">
        <f>INDEX(Inp_CER_Bin_2eps3arms!$AN$2:$AN$176,MATCH(Table1[[#This Row],[ModelID]],Inp_CER_Bin_2eps3arms!$A$2:$A$176,0))</f>
        <v>0</v>
      </c>
      <c r="BB40" t="s">
        <v>42</v>
      </c>
      <c r="BC40" t="s">
        <v>618</v>
      </c>
      <c r="BD40" t="s">
        <v>630</v>
      </c>
      <c r="BE40" s="10">
        <f>Table1[[#This Row],[Global.Power]]</f>
        <v>0.995435393258427</v>
      </c>
      <c r="BF40" s="10">
        <f>Table1[[#This Row],[Conjunctive.Power]]</f>
        <v>0.90003009630818598</v>
      </c>
      <c r="BG40" s="10">
        <f>Table1[[#This Row],[Disjunctive.Power]]</f>
        <v>0.995435393258427</v>
      </c>
      <c r="BH40" s="10">
        <f>Table1[[#This Row],[FWER]]</f>
        <v>1.6252006420545698E-2</v>
      </c>
      <c r="BI40" s="10">
        <f>_xlfn.NUMBERVALUE(MID(Table1[[#This Row],[CI_95perc_Global.Power]],2,FIND(",",Table1[[#This Row],[CI_95perc_Global.Power]])-2))</f>
        <v>0.99450000000000005</v>
      </c>
      <c r="BJ40" s="10">
        <f>_xlfn.NUMBERVALUE(MID(Table1[[#This Row],[CI_95perc_Global.Power]],FIND(",",Table1[[#This Row],[CI_95perc_Global.Power]])+1,LEN(Table1[[#This Row],[CI_95perc_Global.Power]])-FIND(",",Table1[[#This Row],[CI_95perc_Global.Power]])-1))</f>
        <v>0.99636999999999998</v>
      </c>
      <c r="BK40" s="10">
        <f>_xlfn.NUMBERVALUE(MID(Table1[[#This Row],[CI_95perc_Conjunctive.Power]],2,FIND(",",Table1[[#This Row],[CI_95perc_Conjunctive.Power]])-2))</f>
        <v>0.89587000000000006</v>
      </c>
      <c r="BL40" s="10">
        <f>_xlfn.NUMBERVALUE(MID(Table1[[#This Row],[CI_95perc_Conjunctive.Power]],FIND(",",Table1[[#This Row],[CI_95perc_Conjunctive.Power]])+1,LEN(Table1[[#This Row],[CI_95perc_Conjunctive.Power]])-FIND(",",Table1[[#This Row],[CI_95perc_Conjunctive.Power]])-1))</f>
        <v>0.90419000000000005</v>
      </c>
      <c r="BM40" s="10">
        <f>_xlfn.NUMBERVALUE(MID(Table1[[#This Row],[CI_95perc_Disjunctive.Power]],2,FIND(",",Table1[[#This Row],[CI_95perc_Disjunctive.Power]])-2))</f>
        <v>0.99450000000000005</v>
      </c>
      <c r="BN40" s="10">
        <f>_xlfn.NUMBERVALUE(MID(Table1[[#This Row],[CI_95perc_Disjunctive.Power]],FIND(",",Table1[[#This Row],[CI_95perc_Disjunctive.Power]])+1,LEN(Table1[[#This Row],[CI_95perc_Disjunctive.Power]])-FIND(",",Table1[[#This Row],[CI_95perc_Disjunctive.Power]])-1))</f>
        <v>0.99636999999999998</v>
      </c>
      <c r="BO40" s="10">
        <f>_xlfn.NUMBERVALUE(MID(Table1[[#This Row],[CI_95perc_FWER]],2,FIND(",",Table1[[#This Row],[CI_95perc_FWER]])-2))</f>
        <v>1.4500000000000001E-2</v>
      </c>
      <c r="BP40" s="10">
        <f>_xlfn.NUMBERVALUE(MID(Table1[[#This Row],[CI_95perc_FWER]],FIND(",",Table1[[#This Row],[CI_95perc_FWER]])+1,LEN(Table1[[#This Row],[CI_95perc_FWER]])-FIND(",",Table1[[#This Row],[CI_95perc_FWER]])-1))</f>
        <v>1.8010000000000002E-2</v>
      </c>
      <c r="BQ40" s="10" t="str">
        <f>_xlfn.CONCAT("(",TEXT(Table1[[#This Row],[LCL_Disj.Pow%]],"0.00%"), ", ",TEXT(Table1[[#This Row],[UCL_Disj.Pow%]],"0.00%"),")")</f>
        <v>(99.45%, 99.64%)</v>
      </c>
      <c r="BR40" s="10" t="str">
        <f>_xlfn.CONCAT("(",TEXT(Table1[[#This Row],[LCL_Conj.Pow%]],"0.00%"),", ",TEXT(Table1[[#This Row],[UCL_Conj.Pow%]],"0.00%"),")")</f>
        <v>(89.59%, 90.42%)</v>
      </c>
      <c r="BS40" s="10" t="str">
        <f>_xlfn.CONCAT("(",TEXT(Table1[[#This Row],[LCL_FWER%]],"0.00%"),", ",TEXT(Table1[[#This Row],[UCL_FWER%]],"0.00%"),")")</f>
        <v>(1.45%, 1.80%)</v>
      </c>
    </row>
    <row r="41" spans="1:71" x14ac:dyDescent="0.25">
      <c r="A41">
        <v>39</v>
      </c>
      <c r="B41" t="s">
        <v>604</v>
      </c>
      <c r="C41">
        <v>240</v>
      </c>
      <c r="D41">
        <v>0.99833269999999996</v>
      </c>
      <c r="E41">
        <v>0.95884100000000005</v>
      </c>
      <c r="F41">
        <v>0.99833269999999996</v>
      </c>
      <c r="G41">
        <v>2.3877900000000001E-2</v>
      </c>
      <c r="H41" t="s">
        <v>248</v>
      </c>
      <c r="I41" t="s">
        <v>249</v>
      </c>
      <c r="J41" t="s">
        <v>248</v>
      </c>
      <c r="K41" t="s">
        <v>250</v>
      </c>
      <c r="L41" s="1">
        <v>131946769</v>
      </c>
      <c r="M41" t="s">
        <v>251</v>
      </c>
      <c r="N41">
        <v>1.1529785283406599</v>
      </c>
      <c r="O41" t="s">
        <v>85</v>
      </c>
      <c r="P41" t="s">
        <v>41</v>
      </c>
      <c r="Q41" s="2">
        <v>2000</v>
      </c>
      <c r="R41" s="2">
        <v>2.5000000000000001E-2</v>
      </c>
      <c r="S41" s="2" t="s">
        <v>42</v>
      </c>
      <c r="T41" s="2" t="s">
        <v>42</v>
      </c>
      <c r="U41" s="2" t="s">
        <v>43</v>
      </c>
      <c r="V41" s="2" t="s">
        <v>44</v>
      </c>
      <c r="W41" s="2">
        <v>5</v>
      </c>
      <c r="X41" s="2">
        <v>2</v>
      </c>
      <c r="Y41" s="2" t="s">
        <v>118</v>
      </c>
      <c r="Z41" s="2" t="s">
        <v>42</v>
      </c>
      <c r="AA41" s="2" t="s">
        <v>42</v>
      </c>
      <c r="AB41" s="2" t="s">
        <v>128</v>
      </c>
      <c r="AC41" t="s">
        <v>122</v>
      </c>
      <c r="AD41" s="2" t="s">
        <v>120</v>
      </c>
      <c r="AE41" t="s">
        <v>124</v>
      </c>
      <c r="AF41" t="s">
        <v>125</v>
      </c>
      <c r="AG41" s="2" t="s">
        <v>51</v>
      </c>
      <c r="AH41" t="s">
        <v>52</v>
      </c>
      <c r="AI41" t="s">
        <v>53</v>
      </c>
      <c r="AJ41" t="b">
        <v>1</v>
      </c>
      <c r="AK41" t="b">
        <v>0</v>
      </c>
      <c r="AL41" t="s">
        <v>42</v>
      </c>
      <c r="AM41" t="s">
        <v>42</v>
      </c>
      <c r="AN41" t="s">
        <v>42</v>
      </c>
      <c r="AO41" t="s">
        <v>42</v>
      </c>
      <c r="AP41" t="s">
        <v>42</v>
      </c>
      <c r="AQ41" t="s">
        <v>42</v>
      </c>
      <c r="AR41" t="s">
        <v>54</v>
      </c>
      <c r="AS41">
        <v>20000</v>
      </c>
      <c r="AT41">
        <v>500</v>
      </c>
      <c r="AU41" t="s">
        <v>121</v>
      </c>
      <c r="AV41" t="b">
        <v>0</v>
      </c>
      <c r="AW41" t="b">
        <v>0</v>
      </c>
      <c r="AX41" t="b">
        <v>1</v>
      </c>
      <c r="AY41" t="b">
        <v>0</v>
      </c>
      <c r="AZ41" t="b">
        <v>0</v>
      </c>
      <c r="BA41">
        <f>INDEX(Inp_CER_Bin_2eps3arms!$AN$2:$AN$176,MATCH(Table1[[#This Row],[ModelID]],Inp_CER_Bin_2eps3arms!$A$2:$A$176,0))</f>
        <v>0</v>
      </c>
      <c r="BB41" t="s">
        <v>42</v>
      </c>
      <c r="BC41" t="s">
        <v>618</v>
      </c>
      <c r="BD41" t="s">
        <v>630</v>
      </c>
      <c r="BE41" s="10">
        <f>Table1[[#This Row],[Global.Power]]</f>
        <v>0.99833269999999996</v>
      </c>
      <c r="BF41" s="10">
        <f>Table1[[#This Row],[Conjunctive.Power]]</f>
        <v>0.95884100000000005</v>
      </c>
      <c r="BG41" s="10">
        <f>Table1[[#This Row],[Disjunctive.Power]]</f>
        <v>0.99833269999999996</v>
      </c>
      <c r="BH41" s="10">
        <f>Table1[[#This Row],[FWER]]</f>
        <v>2.3877900000000001E-2</v>
      </c>
      <c r="BI41" s="10">
        <f>_xlfn.NUMBERVALUE(MID(Table1[[#This Row],[CI_95perc_Global.Power]],2,FIND(",",Table1[[#This Row],[CI_95perc_Global.Power]])-2))</f>
        <v>0.99817999999999996</v>
      </c>
      <c r="BJ41" s="10">
        <f>_xlfn.NUMBERVALUE(MID(Table1[[#This Row],[CI_95perc_Global.Power]],FIND(",",Table1[[#This Row],[CI_95perc_Global.Power]])+1,LEN(Table1[[#This Row],[CI_95perc_Global.Power]])-FIND(",",Table1[[#This Row],[CI_95perc_Global.Power]])-1))</f>
        <v>0.99848999999999999</v>
      </c>
      <c r="BK41" s="10">
        <f>_xlfn.NUMBERVALUE(MID(Table1[[#This Row],[CI_95perc_Conjunctive.Power]],2,FIND(",",Table1[[#This Row],[CI_95perc_Conjunctive.Power]])-2))</f>
        <v>0.95775999999999994</v>
      </c>
      <c r="BL41" s="10">
        <f>_xlfn.NUMBERVALUE(MID(Table1[[#This Row],[CI_95perc_Conjunctive.Power]],FIND(",",Table1[[#This Row],[CI_95perc_Conjunctive.Power]])+1,LEN(Table1[[#This Row],[CI_95perc_Conjunctive.Power]])-FIND(",",Table1[[#This Row],[CI_95perc_Conjunctive.Power]])-1))</f>
        <v>0.95992</v>
      </c>
      <c r="BM41" s="10">
        <f>_xlfn.NUMBERVALUE(MID(Table1[[#This Row],[CI_95perc_Disjunctive.Power]],2,FIND(",",Table1[[#This Row],[CI_95perc_Disjunctive.Power]])-2))</f>
        <v>0.99817999999999996</v>
      </c>
      <c r="BN41" s="10">
        <f>_xlfn.NUMBERVALUE(MID(Table1[[#This Row],[CI_95perc_Disjunctive.Power]],FIND(",",Table1[[#This Row],[CI_95perc_Disjunctive.Power]])+1,LEN(Table1[[#This Row],[CI_95perc_Disjunctive.Power]])-FIND(",",Table1[[#This Row],[CI_95perc_Disjunctive.Power]])-1))</f>
        <v>0.99848999999999999</v>
      </c>
      <c r="BO41" s="10">
        <f>_xlfn.NUMBERVALUE(MID(Table1[[#This Row],[CI_95perc_FWER]],2,FIND(",",Table1[[#This Row],[CI_95perc_FWER]])-2))</f>
        <v>2.3E-2</v>
      </c>
      <c r="BP41" s="10">
        <f>_xlfn.NUMBERVALUE(MID(Table1[[#This Row],[CI_95perc_FWER]],FIND(",",Table1[[#This Row],[CI_95perc_FWER]])+1,LEN(Table1[[#This Row],[CI_95perc_FWER]])-FIND(",",Table1[[#This Row],[CI_95perc_FWER]])-1))</f>
        <v>2.4750000000000001E-2</v>
      </c>
      <c r="BQ41" s="10" t="str">
        <f>_xlfn.CONCAT("(",TEXT(Table1[[#This Row],[LCL_Disj.Pow%]],"0.00%"), ", ",TEXT(Table1[[#This Row],[UCL_Disj.Pow%]],"0.00%"),")")</f>
        <v>(99.82%, 99.85%)</v>
      </c>
      <c r="BR41" s="10" t="str">
        <f>_xlfn.CONCAT("(",TEXT(Table1[[#This Row],[LCL_Conj.Pow%]],"0.00%"),", ",TEXT(Table1[[#This Row],[UCL_Conj.Pow%]],"0.00%"),")")</f>
        <v>(95.78%, 95.99%)</v>
      </c>
      <c r="BS41" s="10" t="str">
        <f>_xlfn.CONCAT("(",TEXT(Table1[[#This Row],[LCL_FWER%]],"0.00%"),", ",TEXT(Table1[[#This Row],[UCL_FWER%]],"0.00%"),")")</f>
        <v>(2.30%, 2.48%)</v>
      </c>
    </row>
    <row r="42" spans="1:71" x14ac:dyDescent="0.25">
      <c r="A42">
        <v>40</v>
      </c>
      <c r="B42" t="s">
        <v>161</v>
      </c>
      <c r="C42">
        <v>3545</v>
      </c>
      <c r="D42">
        <v>0.99854716697560197</v>
      </c>
      <c r="E42">
        <v>0.93677671459345702</v>
      </c>
      <c r="F42">
        <v>0.99854716697560197</v>
      </c>
      <c r="G42">
        <v>1.55803817444016E-2</v>
      </c>
      <c r="H42" t="s">
        <v>252</v>
      </c>
      <c r="I42" t="s">
        <v>253</v>
      </c>
      <c r="J42" t="s">
        <v>252</v>
      </c>
      <c r="K42" t="s">
        <v>254</v>
      </c>
      <c r="L42" s="1">
        <v>130896843</v>
      </c>
      <c r="M42" t="s">
        <v>255</v>
      </c>
      <c r="N42">
        <v>7.9247044987148699E-2</v>
      </c>
      <c r="O42" t="s">
        <v>85</v>
      </c>
      <c r="P42" t="s">
        <v>117</v>
      </c>
      <c r="Q42" s="2">
        <v>2000</v>
      </c>
      <c r="R42">
        <v>2.5000000000000001E-2</v>
      </c>
      <c r="S42" t="s">
        <v>42</v>
      </c>
      <c r="T42" t="s">
        <v>42</v>
      </c>
      <c r="U42" t="s">
        <v>43</v>
      </c>
      <c r="V42" s="2" t="s">
        <v>44</v>
      </c>
      <c r="W42">
        <v>5</v>
      </c>
      <c r="X42">
        <v>2</v>
      </c>
      <c r="Y42" s="2" t="s">
        <v>118</v>
      </c>
      <c r="Z42" s="2" t="s">
        <v>42</v>
      </c>
      <c r="AA42" s="2" t="s">
        <v>42</v>
      </c>
      <c r="AB42" s="2" t="s">
        <v>128</v>
      </c>
      <c r="AC42" t="s">
        <v>122</v>
      </c>
      <c r="AD42" t="s">
        <v>123</v>
      </c>
      <c r="AE42" t="s">
        <v>124</v>
      </c>
      <c r="AF42" t="s">
        <v>125</v>
      </c>
      <c r="AG42" t="s">
        <v>51</v>
      </c>
      <c r="AH42" t="s">
        <v>126</v>
      </c>
      <c r="AI42" t="s">
        <v>53</v>
      </c>
      <c r="AJ42" t="b">
        <v>1</v>
      </c>
      <c r="AK42" t="b">
        <v>1</v>
      </c>
      <c r="AL42">
        <v>1</v>
      </c>
      <c r="AM42">
        <v>1</v>
      </c>
      <c r="AN42" t="s">
        <v>56</v>
      </c>
      <c r="AO42" t="s">
        <v>57</v>
      </c>
      <c r="AP42">
        <v>0.75</v>
      </c>
      <c r="AQ42" t="b">
        <v>1</v>
      </c>
      <c r="AR42" t="s">
        <v>23</v>
      </c>
      <c r="AS42">
        <v>20000</v>
      </c>
      <c r="AT42">
        <v>500</v>
      </c>
      <c r="AU42" t="s">
        <v>121</v>
      </c>
      <c r="AV42" t="b">
        <v>0</v>
      </c>
      <c r="AW42" t="b">
        <v>0</v>
      </c>
      <c r="AX42" t="b">
        <v>1</v>
      </c>
      <c r="AY42" t="b">
        <v>0</v>
      </c>
      <c r="AZ42" t="b">
        <v>0</v>
      </c>
      <c r="BA42">
        <f>INDEX(Inp_CER_Bin_2eps3arms!$AN$2:$AN$176,MATCH(Table1[[#This Row],[ModelID]],Inp_CER_Bin_2eps3arms!$A$2:$A$176,0))</f>
        <v>0</v>
      </c>
      <c r="BB42" t="s">
        <v>42</v>
      </c>
      <c r="BC42" t="s">
        <v>619</v>
      </c>
      <c r="BD42" t="s">
        <v>630</v>
      </c>
      <c r="BE42" s="10">
        <f>Table1[[#This Row],[Global.Power]]</f>
        <v>0.99854716697560197</v>
      </c>
      <c r="BF42" s="10">
        <f>Table1[[#This Row],[Conjunctive.Power]]</f>
        <v>0.93677671459345702</v>
      </c>
      <c r="BG42" s="10">
        <f>Table1[[#This Row],[Disjunctive.Power]]</f>
        <v>0.99854716697560197</v>
      </c>
      <c r="BH42" s="10">
        <f>Table1[[#This Row],[FWER]]</f>
        <v>1.55803817444016E-2</v>
      </c>
      <c r="BI42" s="10">
        <f>_xlfn.NUMBERVALUE(MID(Table1[[#This Row],[CI_95perc_Global.Power]],2,FIND(",",Table1[[#This Row],[CI_95perc_Global.Power]])-2))</f>
        <v>0.99802000000000002</v>
      </c>
      <c r="BJ42" s="10">
        <f>_xlfn.NUMBERVALUE(MID(Table1[[#This Row],[CI_95perc_Global.Power]],FIND(",",Table1[[#This Row],[CI_95perc_Global.Power]])+1,LEN(Table1[[#This Row],[CI_95perc_Global.Power]])-FIND(",",Table1[[#This Row],[CI_95perc_Global.Power]])-1))</f>
        <v>0.99907999999999997</v>
      </c>
      <c r="BK42" s="10">
        <f>_xlfn.NUMBERVALUE(MID(Table1[[#This Row],[CI_95perc_Conjunctive.Power]],2,FIND(",",Table1[[#This Row],[CI_95perc_Conjunctive.Power]])-2))</f>
        <v>0.93340000000000001</v>
      </c>
      <c r="BL42" s="10">
        <f>_xlfn.NUMBERVALUE(MID(Table1[[#This Row],[CI_95perc_Conjunctive.Power]],FIND(",",Table1[[#This Row],[CI_95perc_Conjunctive.Power]])+1,LEN(Table1[[#This Row],[CI_95perc_Conjunctive.Power]])-FIND(",",Table1[[#This Row],[CI_95perc_Conjunctive.Power]])-1))</f>
        <v>0.94015000000000004</v>
      </c>
      <c r="BM42" s="10">
        <f>_xlfn.NUMBERVALUE(MID(Table1[[#This Row],[CI_95perc_Disjunctive.Power]],2,FIND(",",Table1[[#This Row],[CI_95perc_Disjunctive.Power]])-2))</f>
        <v>0.99802000000000002</v>
      </c>
      <c r="BN42" s="10">
        <f>_xlfn.NUMBERVALUE(MID(Table1[[#This Row],[CI_95perc_Disjunctive.Power]],FIND(",",Table1[[#This Row],[CI_95perc_Disjunctive.Power]])+1,LEN(Table1[[#This Row],[CI_95perc_Disjunctive.Power]])-FIND(",",Table1[[#This Row],[CI_95perc_Disjunctive.Power]])-1))</f>
        <v>0.99907999999999997</v>
      </c>
      <c r="BO42" s="10">
        <f>_xlfn.NUMBERVALUE(MID(Table1[[#This Row],[CI_95perc_FWER]],2,FIND(",",Table1[[#This Row],[CI_95perc_FWER]])-2))</f>
        <v>1.3860000000000001E-2</v>
      </c>
      <c r="BP42" s="10">
        <f>_xlfn.NUMBERVALUE(MID(Table1[[#This Row],[CI_95perc_FWER]],FIND(",",Table1[[#This Row],[CI_95perc_FWER]])+1,LEN(Table1[[#This Row],[CI_95perc_FWER]])-FIND(",",Table1[[#This Row],[CI_95perc_FWER]])-1))</f>
        <v>1.7299999999999999E-2</v>
      </c>
      <c r="BQ42" s="10" t="str">
        <f>_xlfn.CONCAT("(",TEXT(Table1[[#This Row],[LCL_Disj.Pow%]],"0.00%"), ", ",TEXT(Table1[[#This Row],[UCL_Disj.Pow%]],"0.00%"),")")</f>
        <v>(99.80%, 99.91%)</v>
      </c>
      <c r="BR42" s="10" t="str">
        <f>_xlfn.CONCAT("(",TEXT(Table1[[#This Row],[LCL_Conj.Pow%]],"0.00%"),", ",TEXT(Table1[[#This Row],[UCL_Conj.Pow%]],"0.00%"),")")</f>
        <v>(93.34%, 94.02%)</v>
      </c>
      <c r="BS42" s="10" t="str">
        <f>_xlfn.CONCAT("(",TEXT(Table1[[#This Row],[LCL_FWER%]],"0.00%"),", ",TEXT(Table1[[#This Row],[UCL_FWER%]],"0.00%"),")")</f>
        <v>(1.39%, 1.73%)</v>
      </c>
    </row>
    <row r="43" spans="1:71" x14ac:dyDescent="0.25">
      <c r="A43">
        <v>41</v>
      </c>
      <c r="B43" t="s">
        <v>162</v>
      </c>
      <c r="C43">
        <v>4604</v>
      </c>
      <c r="D43">
        <v>0.99959100000000001</v>
      </c>
      <c r="E43">
        <v>0.97481549999999995</v>
      </c>
      <c r="F43">
        <v>0.99959100000000001</v>
      </c>
      <c r="G43">
        <v>2.36063E-2</v>
      </c>
      <c r="H43" t="s">
        <v>256</v>
      </c>
      <c r="I43" t="s">
        <v>257</v>
      </c>
      <c r="J43" t="s">
        <v>256</v>
      </c>
      <c r="K43" t="s">
        <v>258</v>
      </c>
      <c r="L43" s="1">
        <v>131996793</v>
      </c>
      <c r="M43" t="s">
        <v>259</v>
      </c>
      <c r="N43">
        <v>0.97285817166169497</v>
      </c>
      <c r="O43" t="s">
        <v>85</v>
      </c>
      <c r="P43" t="s">
        <v>41</v>
      </c>
      <c r="Q43" s="2">
        <v>2000</v>
      </c>
      <c r="R43">
        <v>2.5000000000000001E-2</v>
      </c>
      <c r="S43" t="s">
        <v>42</v>
      </c>
      <c r="T43" t="s">
        <v>42</v>
      </c>
      <c r="U43" t="s">
        <v>43</v>
      </c>
      <c r="V43" s="2" t="s">
        <v>44</v>
      </c>
      <c r="W43">
        <v>5</v>
      </c>
      <c r="X43">
        <v>2</v>
      </c>
      <c r="Y43" s="2" t="s">
        <v>118</v>
      </c>
      <c r="Z43" s="2" t="s">
        <v>42</v>
      </c>
      <c r="AA43" s="2" t="s">
        <v>42</v>
      </c>
      <c r="AB43" s="2" t="s">
        <v>128</v>
      </c>
      <c r="AC43" t="s">
        <v>122</v>
      </c>
      <c r="AD43" t="s">
        <v>123</v>
      </c>
      <c r="AE43" t="s">
        <v>124</v>
      </c>
      <c r="AF43" t="s">
        <v>125</v>
      </c>
      <c r="AG43" t="s">
        <v>51</v>
      </c>
      <c r="AH43" t="s">
        <v>126</v>
      </c>
      <c r="AI43" t="s">
        <v>53</v>
      </c>
      <c r="AJ43" t="b">
        <v>1</v>
      </c>
      <c r="AK43" t="b">
        <v>1</v>
      </c>
      <c r="AL43">
        <v>1</v>
      </c>
      <c r="AM43">
        <v>1</v>
      </c>
      <c r="AN43" t="s">
        <v>56</v>
      </c>
      <c r="AO43" t="s">
        <v>57</v>
      </c>
      <c r="AP43">
        <v>0.75</v>
      </c>
      <c r="AQ43" t="b">
        <v>1</v>
      </c>
      <c r="AR43" t="s">
        <v>23</v>
      </c>
      <c r="AS43">
        <v>20000</v>
      </c>
      <c r="AT43">
        <v>500</v>
      </c>
      <c r="AU43" t="s">
        <v>121</v>
      </c>
      <c r="AV43" t="b">
        <v>0</v>
      </c>
      <c r="AW43" t="b">
        <v>0</v>
      </c>
      <c r="AX43" t="b">
        <v>1</v>
      </c>
      <c r="AY43" t="b">
        <v>0</v>
      </c>
      <c r="AZ43" t="b">
        <v>0</v>
      </c>
      <c r="BA43">
        <f>INDEX(Inp_CER_Bin_2eps3arms!$AN$2:$AN$176,MATCH(Table1[[#This Row],[ModelID]],Inp_CER_Bin_2eps3arms!$A$2:$A$176,0))</f>
        <v>0</v>
      </c>
      <c r="BB43" t="s">
        <v>42</v>
      </c>
      <c r="BC43" t="s">
        <v>619</v>
      </c>
      <c r="BD43" t="s">
        <v>630</v>
      </c>
      <c r="BE43" s="10">
        <f>Table1[[#This Row],[Global.Power]]</f>
        <v>0.99959100000000001</v>
      </c>
      <c r="BF43" s="10">
        <f>Table1[[#This Row],[Conjunctive.Power]]</f>
        <v>0.97481549999999995</v>
      </c>
      <c r="BG43" s="10">
        <f>Table1[[#This Row],[Disjunctive.Power]]</f>
        <v>0.99959100000000001</v>
      </c>
      <c r="BH43" s="10">
        <f>Table1[[#This Row],[FWER]]</f>
        <v>2.36063E-2</v>
      </c>
      <c r="BI43" s="10">
        <f>_xlfn.NUMBERVALUE(MID(Table1[[#This Row],[CI_95perc_Global.Power]],2,FIND(",",Table1[[#This Row],[CI_95perc_Global.Power]])-2))</f>
        <v>0.99955000000000005</v>
      </c>
      <c r="BJ43" s="10">
        <f>_xlfn.NUMBERVALUE(MID(Table1[[#This Row],[CI_95perc_Global.Power]],FIND(",",Table1[[#This Row],[CI_95perc_Global.Power]])+1,LEN(Table1[[#This Row],[CI_95perc_Global.Power]])-FIND(",",Table1[[#This Row],[CI_95perc_Global.Power]])-1))</f>
        <v>0.99963000000000002</v>
      </c>
      <c r="BK43" s="10">
        <f>_xlfn.NUMBERVALUE(MID(Table1[[#This Row],[CI_95perc_Conjunctive.Power]],2,FIND(",",Table1[[#This Row],[CI_95perc_Conjunctive.Power]])-2))</f>
        <v>0.97402999999999995</v>
      </c>
      <c r="BL43" s="10">
        <f>_xlfn.NUMBERVALUE(MID(Table1[[#This Row],[CI_95perc_Conjunctive.Power]],FIND(",",Table1[[#This Row],[CI_95perc_Conjunctive.Power]])+1,LEN(Table1[[#This Row],[CI_95perc_Conjunctive.Power]])-FIND(",",Table1[[#This Row],[CI_95perc_Conjunctive.Power]])-1))</f>
        <v>0.97560000000000002</v>
      </c>
      <c r="BM43" s="10">
        <f>_xlfn.NUMBERVALUE(MID(Table1[[#This Row],[CI_95perc_Disjunctive.Power]],2,FIND(",",Table1[[#This Row],[CI_95perc_Disjunctive.Power]])-2))</f>
        <v>0.99955000000000005</v>
      </c>
      <c r="BN43" s="10">
        <f>_xlfn.NUMBERVALUE(MID(Table1[[#This Row],[CI_95perc_Disjunctive.Power]],FIND(",",Table1[[#This Row],[CI_95perc_Disjunctive.Power]])+1,LEN(Table1[[#This Row],[CI_95perc_Disjunctive.Power]])-FIND(",",Table1[[#This Row],[CI_95perc_Disjunctive.Power]])-1))</f>
        <v>0.99963000000000002</v>
      </c>
      <c r="BO43" s="10">
        <f>_xlfn.NUMBERVALUE(MID(Table1[[#This Row],[CI_95perc_FWER]],2,FIND(",",Table1[[#This Row],[CI_95perc_FWER]])-2))</f>
        <v>2.274E-2</v>
      </c>
      <c r="BP43" s="10">
        <f>_xlfn.NUMBERVALUE(MID(Table1[[#This Row],[CI_95perc_FWER]],FIND(",",Table1[[#This Row],[CI_95perc_FWER]])+1,LEN(Table1[[#This Row],[CI_95perc_FWER]])-FIND(",",Table1[[#This Row],[CI_95perc_FWER]])-1))</f>
        <v>2.4469999999999999E-2</v>
      </c>
      <c r="BQ43" s="10" t="str">
        <f>_xlfn.CONCAT("(",TEXT(Table1[[#This Row],[LCL_Disj.Pow%]],"0.00%"), ", ",TEXT(Table1[[#This Row],[UCL_Disj.Pow%]],"0.00%"),")")</f>
        <v>(99.96%, 99.96%)</v>
      </c>
      <c r="BR43" s="10" t="str">
        <f>_xlfn.CONCAT("(",TEXT(Table1[[#This Row],[LCL_Conj.Pow%]],"0.00%"),", ",TEXT(Table1[[#This Row],[UCL_Conj.Pow%]],"0.00%"),")")</f>
        <v>(97.40%, 97.56%)</v>
      </c>
      <c r="BS43" s="10" t="str">
        <f>_xlfn.CONCAT("(",TEXT(Table1[[#This Row],[LCL_FWER%]],"0.00%"),", ",TEXT(Table1[[#This Row],[UCL_FWER%]],"0.00%"),")")</f>
        <v>(2.27%, 2.45%)</v>
      </c>
    </row>
    <row r="44" spans="1:71" x14ac:dyDescent="0.25">
      <c r="A44">
        <v>42</v>
      </c>
      <c r="B44" t="s">
        <v>163</v>
      </c>
      <c r="C44">
        <v>1483</v>
      </c>
      <c r="D44">
        <v>0.999349186483104</v>
      </c>
      <c r="E44">
        <v>0.95659574468085096</v>
      </c>
      <c r="F44">
        <v>0.999349186483104</v>
      </c>
      <c r="G44">
        <v>1.63204005006258E-2</v>
      </c>
      <c r="H44" t="s">
        <v>260</v>
      </c>
      <c r="I44" t="s">
        <v>261</v>
      </c>
      <c r="J44" t="s">
        <v>260</v>
      </c>
      <c r="K44" t="s">
        <v>262</v>
      </c>
      <c r="L44" s="1">
        <v>130826880</v>
      </c>
      <c r="M44" t="s">
        <v>263</v>
      </c>
      <c r="N44">
        <v>7.76279513703452E-2</v>
      </c>
      <c r="O44" t="s">
        <v>85</v>
      </c>
      <c r="P44" t="s">
        <v>117</v>
      </c>
      <c r="Q44" s="2">
        <v>2000</v>
      </c>
      <c r="R44">
        <v>2.5000000000000001E-2</v>
      </c>
      <c r="S44" t="s">
        <v>42</v>
      </c>
      <c r="T44" t="s">
        <v>42</v>
      </c>
      <c r="U44" t="s">
        <v>43</v>
      </c>
      <c r="V44" s="2" t="s">
        <v>44</v>
      </c>
      <c r="W44">
        <v>5</v>
      </c>
      <c r="X44">
        <v>2</v>
      </c>
      <c r="Y44" s="2" t="s">
        <v>118</v>
      </c>
      <c r="Z44" s="2" t="s">
        <v>42</v>
      </c>
      <c r="AA44" s="2" t="s">
        <v>42</v>
      </c>
      <c r="AB44" s="2" t="s">
        <v>128</v>
      </c>
      <c r="AC44" t="s">
        <v>122</v>
      </c>
      <c r="AD44" t="s">
        <v>123</v>
      </c>
      <c r="AE44" t="s">
        <v>124</v>
      </c>
      <c r="AF44" t="s">
        <v>125</v>
      </c>
      <c r="AG44" t="s">
        <v>51</v>
      </c>
      <c r="AH44" t="s">
        <v>126</v>
      </c>
      <c r="AI44" t="s">
        <v>53</v>
      </c>
      <c r="AJ44" t="b">
        <v>1</v>
      </c>
      <c r="AK44" t="b">
        <v>1</v>
      </c>
      <c r="AL44">
        <v>1</v>
      </c>
      <c r="AM44">
        <v>1</v>
      </c>
      <c r="AN44" t="s">
        <v>56</v>
      </c>
      <c r="AO44" t="s">
        <v>57</v>
      </c>
      <c r="AP44">
        <v>0.5</v>
      </c>
      <c r="AQ44" t="b">
        <v>1</v>
      </c>
      <c r="AR44" t="s">
        <v>23</v>
      </c>
      <c r="AS44">
        <v>20000</v>
      </c>
      <c r="AT44">
        <v>500</v>
      </c>
      <c r="AU44" t="s">
        <v>121</v>
      </c>
      <c r="AV44" t="b">
        <v>0</v>
      </c>
      <c r="AW44" t="b">
        <v>0</v>
      </c>
      <c r="AX44" t="b">
        <v>1</v>
      </c>
      <c r="AY44" t="b">
        <v>0</v>
      </c>
      <c r="AZ44" t="b">
        <v>0</v>
      </c>
      <c r="BA44">
        <f>INDEX(Inp_CER_Bin_2eps3arms!$AN$2:$AN$176,MATCH(Table1[[#This Row],[ModelID]],Inp_CER_Bin_2eps3arms!$A$2:$A$176,0))</f>
        <v>0</v>
      </c>
      <c r="BB44" t="s">
        <v>42</v>
      </c>
      <c r="BC44" t="s">
        <v>622</v>
      </c>
      <c r="BD44" t="s">
        <v>630</v>
      </c>
      <c r="BE44" s="10">
        <f>Table1[[#This Row],[Global.Power]]</f>
        <v>0.999349186483104</v>
      </c>
      <c r="BF44" s="10">
        <f>Table1[[#This Row],[Conjunctive.Power]]</f>
        <v>0.95659574468085096</v>
      </c>
      <c r="BG44" s="10">
        <f>Table1[[#This Row],[Disjunctive.Power]]</f>
        <v>0.999349186483104</v>
      </c>
      <c r="BH44" s="10">
        <f>Table1[[#This Row],[FWER]]</f>
        <v>1.63204005006258E-2</v>
      </c>
      <c r="BI44" s="10">
        <f>_xlfn.NUMBERVALUE(MID(Table1[[#This Row],[CI_95perc_Global.Power]],2,FIND(",",Table1[[#This Row],[CI_95perc_Global.Power]])-2))</f>
        <v>0.999</v>
      </c>
      <c r="BJ44" s="10">
        <f>_xlfn.NUMBERVALUE(MID(Table1[[#This Row],[CI_95perc_Global.Power]],FIND(",",Table1[[#This Row],[CI_95perc_Global.Power]])+1,LEN(Table1[[#This Row],[CI_95perc_Global.Power]])-FIND(",",Table1[[#This Row],[CI_95perc_Global.Power]])-1))</f>
        <v>0.99970000000000003</v>
      </c>
      <c r="BK44" s="10">
        <f>_xlfn.NUMBERVALUE(MID(Table1[[#This Row],[CI_95perc_Conjunctive.Power]],2,FIND(",",Table1[[#This Row],[CI_95perc_Conjunctive.Power]])-2))</f>
        <v>0.95377000000000001</v>
      </c>
      <c r="BL44" s="10">
        <f>_xlfn.NUMBERVALUE(MID(Table1[[#This Row],[CI_95perc_Conjunctive.Power]],FIND(",",Table1[[#This Row],[CI_95perc_Conjunctive.Power]])+1,LEN(Table1[[#This Row],[CI_95perc_Conjunctive.Power]])-FIND(",",Table1[[#This Row],[CI_95perc_Conjunctive.Power]])-1))</f>
        <v>0.95942000000000005</v>
      </c>
      <c r="BM44" s="10">
        <f>_xlfn.NUMBERVALUE(MID(Table1[[#This Row],[CI_95perc_Disjunctive.Power]],2,FIND(",",Table1[[#This Row],[CI_95perc_Disjunctive.Power]])-2))</f>
        <v>0.999</v>
      </c>
      <c r="BN44" s="10">
        <f>_xlfn.NUMBERVALUE(MID(Table1[[#This Row],[CI_95perc_Disjunctive.Power]],FIND(",",Table1[[#This Row],[CI_95perc_Disjunctive.Power]])+1,LEN(Table1[[#This Row],[CI_95perc_Disjunctive.Power]])-FIND(",",Table1[[#This Row],[CI_95perc_Disjunctive.Power]])-1))</f>
        <v>0.99970000000000003</v>
      </c>
      <c r="BO44" s="10">
        <f>_xlfn.NUMBERVALUE(MID(Table1[[#This Row],[CI_95perc_FWER]],2,FIND(",",Table1[[#This Row],[CI_95perc_FWER]])-2))</f>
        <v>1.456E-2</v>
      </c>
      <c r="BP44" s="10">
        <f>_xlfn.NUMBERVALUE(MID(Table1[[#This Row],[CI_95perc_FWER]],FIND(",",Table1[[#This Row],[CI_95perc_FWER]])+1,LEN(Table1[[#This Row],[CI_95perc_FWER]])-FIND(",",Table1[[#This Row],[CI_95perc_FWER]])-1))</f>
        <v>1.8079999999999999E-2</v>
      </c>
      <c r="BQ44" s="10" t="str">
        <f>_xlfn.CONCAT("(",TEXT(Table1[[#This Row],[LCL_Disj.Pow%]],"0.00%"), ", ",TEXT(Table1[[#This Row],[UCL_Disj.Pow%]],"0.00%"),")")</f>
        <v>(99.90%, 99.97%)</v>
      </c>
      <c r="BR44" s="10" t="str">
        <f>_xlfn.CONCAT("(",TEXT(Table1[[#This Row],[LCL_Conj.Pow%]],"0.00%"),", ",TEXT(Table1[[#This Row],[UCL_Conj.Pow%]],"0.00%"),")")</f>
        <v>(95.38%, 95.94%)</v>
      </c>
      <c r="BS44" s="10" t="str">
        <f>_xlfn.CONCAT("(",TEXT(Table1[[#This Row],[LCL_FWER%]],"0.00%"),", ",TEXT(Table1[[#This Row],[UCL_FWER%]],"0.00%"),")")</f>
        <v>(1.46%, 1.81%)</v>
      </c>
    </row>
    <row r="45" spans="1:71" x14ac:dyDescent="0.25">
      <c r="A45">
        <v>43</v>
      </c>
      <c r="B45" t="s">
        <v>164</v>
      </c>
      <c r="C45">
        <v>8422</v>
      </c>
      <c r="D45">
        <v>0.99981469999999995</v>
      </c>
      <c r="E45">
        <v>0.98281510000000005</v>
      </c>
      <c r="F45">
        <v>0.99981469999999995</v>
      </c>
      <c r="G45">
        <v>2.3739699999999999E-2</v>
      </c>
      <c r="H45" t="s">
        <v>264</v>
      </c>
      <c r="I45" t="s">
        <v>265</v>
      </c>
      <c r="J45" t="s">
        <v>264</v>
      </c>
      <c r="K45" t="s">
        <v>266</v>
      </c>
      <c r="L45" s="1">
        <v>130996898</v>
      </c>
      <c r="M45" t="s">
        <v>267</v>
      </c>
      <c r="N45">
        <v>0.909783743355009</v>
      </c>
      <c r="O45" t="s">
        <v>85</v>
      </c>
      <c r="P45" t="s">
        <v>41</v>
      </c>
      <c r="Q45" s="2">
        <v>2000</v>
      </c>
      <c r="R45">
        <v>2.5000000000000001E-2</v>
      </c>
      <c r="S45" t="s">
        <v>42</v>
      </c>
      <c r="T45" t="s">
        <v>42</v>
      </c>
      <c r="U45" t="s">
        <v>43</v>
      </c>
      <c r="V45" s="2" t="s">
        <v>44</v>
      </c>
      <c r="W45">
        <v>5</v>
      </c>
      <c r="X45">
        <v>2</v>
      </c>
      <c r="Y45" s="2" t="s">
        <v>118</v>
      </c>
      <c r="Z45" s="2" t="s">
        <v>42</v>
      </c>
      <c r="AA45" s="2" t="s">
        <v>42</v>
      </c>
      <c r="AB45" s="2" t="s">
        <v>128</v>
      </c>
      <c r="AC45" t="s">
        <v>122</v>
      </c>
      <c r="AD45" t="s">
        <v>123</v>
      </c>
      <c r="AE45" t="s">
        <v>124</v>
      </c>
      <c r="AF45" t="s">
        <v>125</v>
      </c>
      <c r="AG45" t="s">
        <v>51</v>
      </c>
      <c r="AH45" t="s">
        <v>126</v>
      </c>
      <c r="AI45" t="s">
        <v>53</v>
      </c>
      <c r="AJ45" t="b">
        <v>1</v>
      </c>
      <c r="AK45" t="b">
        <v>1</v>
      </c>
      <c r="AL45">
        <v>1</v>
      </c>
      <c r="AM45">
        <v>1</v>
      </c>
      <c r="AN45" t="s">
        <v>56</v>
      </c>
      <c r="AO45" t="s">
        <v>57</v>
      </c>
      <c r="AP45">
        <v>0.5</v>
      </c>
      <c r="AQ45" t="b">
        <v>1</v>
      </c>
      <c r="AR45" t="s">
        <v>23</v>
      </c>
      <c r="AS45">
        <v>20000</v>
      </c>
      <c r="AT45">
        <v>500</v>
      </c>
      <c r="AU45" t="s">
        <v>121</v>
      </c>
      <c r="AV45" t="b">
        <v>0</v>
      </c>
      <c r="AW45" t="b">
        <v>0</v>
      </c>
      <c r="AX45" t="b">
        <v>1</v>
      </c>
      <c r="AY45" t="b">
        <v>0</v>
      </c>
      <c r="AZ45" t="b">
        <v>0</v>
      </c>
      <c r="BA45">
        <f>INDEX(Inp_CER_Bin_2eps3arms!$AN$2:$AN$176,MATCH(Table1[[#This Row],[ModelID]],Inp_CER_Bin_2eps3arms!$A$2:$A$176,0))</f>
        <v>0</v>
      </c>
      <c r="BB45" t="s">
        <v>42</v>
      </c>
      <c r="BC45" t="s">
        <v>622</v>
      </c>
      <c r="BD45" t="s">
        <v>630</v>
      </c>
      <c r="BE45" s="10">
        <f>Table1[[#This Row],[Global.Power]]</f>
        <v>0.99981469999999995</v>
      </c>
      <c r="BF45" s="10">
        <f>Table1[[#This Row],[Conjunctive.Power]]</f>
        <v>0.98281510000000005</v>
      </c>
      <c r="BG45" s="10">
        <f>Table1[[#This Row],[Disjunctive.Power]]</f>
        <v>0.99981469999999995</v>
      </c>
      <c r="BH45" s="10">
        <f>Table1[[#This Row],[FWER]]</f>
        <v>2.3739699999999999E-2</v>
      </c>
      <c r="BI45" s="10">
        <f>_xlfn.NUMBERVALUE(MID(Table1[[#This Row],[CI_95perc_Global.Power]],2,FIND(",",Table1[[#This Row],[CI_95perc_Global.Power]])-2))</f>
        <v>0.99978999999999996</v>
      </c>
      <c r="BJ45" s="10">
        <f>_xlfn.NUMBERVALUE(MID(Table1[[#This Row],[CI_95perc_Global.Power]],FIND(",",Table1[[#This Row],[CI_95perc_Global.Power]])+1,LEN(Table1[[#This Row],[CI_95perc_Global.Power]])-FIND(",",Table1[[#This Row],[CI_95perc_Global.Power]])-1))</f>
        <v>0.99983999999999995</v>
      </c>
      <c r="BK45" s="10">
        <f>_xlfn.NUMBERVALUE(MID(Table1[[#This Row],[CI_95perc_Conjunctive.Power]],2,FIND(",",Table1[[#This Row],[CI_95perc_Conjunctive.Power]])-2))</f>
        <v>0.98212999999999995</v>
      </c>
      <c r="BL45" s="10">
        <f>_xlfn.NUMBERVALUE(MID(Table1[[#This Row],[CI_95perc_Conjunctive.Power]],FIND(",",Table1[[#This Row],[CI_95perc_Conjunctive.Power]])+1,LEN(Table1[[#This Row],[CI_95perc_Conjunctive.Power]])-FIND(",",Table1[[#This Row],[CI_95perc_Conjunctive.Power]])-1))</f>
        <v>0.98350000000000004</v>
      </c>
      <c r="BM45" s="10">
        <f>_xlfn.NUMBERVALUE(MID(Table1[[#This Row],[CI_95perc_Disjunctive.Power]],2,FIND(",",Table1[[#This Row],[CI_95perc_Disjunctive.Power]])-2))</f>
        <v>0.99978999999999996</v>
      </c>
      <c r="BN45" s="10">
        <f>_xlfn.NUMBERVALUE(MID(Table1[[#This Row],[CI_95perc_Disjunctive.Power]],FIND(",",Table1[[#This Row],[CI_95perc_Disjunctive.Power]])+1,LEN(Table1[[#This Row],[CI_95perc_Disjunctive.Power]])-FIND(",",Table1[[#This Row],[CI_95perc_Disjunctive.Power]])-1))</f>
        <v>0.99983999999999995</v>
      </c>
      <c r="BO45" s="10">
        <f>_xlfn.NUMBERVALUE(MID(Table1[[#This Row],[CI_95perc_FWER]],2,FIND(",",Table1[[#This Row],[CI_95perc_FWER]])-2))</f>
        <v>2.2870000000000001E-2</v>
      </c>
      <c r="BP45" s="10">
        <f>_xlfn.NUMBERVALUE(MID(Table1[[#This Row],[CI_95perc_FWER]],FIND(",",Table1[[#This Row],[CI_95perc_FWER]])+1,LEN(Table1[[#This Row],[CI_95perc_FWER]])-FIND(",",Table1[[#This Row],[CI_95perc_FWER]])-1))</f>
        <v>2.461E-2</v>
      </c>
      <c r="BQ45" s="10" t="str">
        <f>_xlfn.CONCAT("(",TEXT(Table1[[#This Row],[LCL_Disj.Pow%]],"0.00%"), ", ",TEXT(Table1[[#This Row],[UCL_Disj.Pow%]],"0.00%"),")")</f>
        <v>(99.98%, 99.98%)</v>
      </c>
      <c r="BR45" s="10" t="str">
        <f>_xlfn.CONCAT("(",TEXT(Table1[[#This Row],[LCL_Conj.Pow%]],"0.00%"),", ",TEXT(Table1[[#This Row],[UCL_Conj.Pow%]],"0.00%"),")")</f>
        <v>(98.21%, 98.35%)</v>
      </c>
      <c r="BS45" s="10" t="str">
        <f>_xlfn.CONCAT("(",TEXT(Table1[[#This Row],[LCL_FWER%]],"0.00%"),", ",TEXT(Table1[[#This Row],[UCL_FWER%]],"0.00%"),")")</f>
        <v>(2.29%, 2.46%)</v>
      </c>
    </row>
    <row r="46" spans="1:71" x14ac:dyDescent="0.25">
      <c r="A46">
        <v>44</v>
      </c>
      <c r="B46" t="s">
        <v>165</v>
      </c>
      <c r="C46">
        <v>6918</v>
      </c>
      <c r="D46">
        <v>0.99969984992496297</v>
      </c>
      <c r="E46">
        <v>0.971785892946473</v>
      </c>
      <c r="F46">
        <v>0.99969984992496297</v>
      </c>
      <c r="G46">
        <v>1.84092046023012E-2</v>
      </c>
      <c r="H46" t="s">
        <v>268</v>
      </c>
      <c r="I46" t="s">
        <v>269</v>
      </c>
      <c r="J46" t="s">
        <v>268</v>
      </c>
      <c r="K46" t="s">
        <v>270</v>
      </c>
      <c r="L46" s="1">
        <v>130166968</v>
      </c>
      <c r="M46" t="s">
        <v>271</v>
      </c>
      <c r="N46">
        <v>7.5362641943825595E-2</v>
      </c>
      <c r="O46" t="s">
        <v>85</v>
      </c>
      <c r="P46" t="s">
        <v>117</v>
      </c>
      <c r="Q46" s="2">
        <v>2000</v>
      </c>
      <c r="R46">
        <v>2.5000000000000001E-2</v>
      </c>
      <c r="S46" t="s">
        <v>42</v>
      </c>
      <c r="T46" t="s">
        <v>42</v>
      </c>
      <c r="U46" t="s">
        <v>43</v>
      </c>
      <c r="V46" s="2" t="s">
        <v>44</v>
      </c>
      <c r="W46">
        <v>5</v>
      </c>
      <c r="X46">
        <v>2</v>
      </c>
      <c r="Y46" s="2" t="s">
        <v>118</v>
      </c>
      <c r="Z46" s="2" t="s">
        <v>42</v>
      </c>
      <c r="AA46" s="2" t="s">
        <v>42</v>
      </c>
      <c r="AB46" s="2" t="s">
        <v>128</v>
      </c>
      <c r="AC46" t="s">
        <v>122</v>
      </c>
      <c r="AD46" t="s">
        <v>123</v>
      </c>
      <c r="AE46" t="s">
        <v>124</v>
      </c>
      <c r="AF46" t="s">
        <v>125</v>
      </c>
      <c r="AG46" t="s">
        <v>51</v>
      </c>
      <c r="AH46" t="s">
        <v>126</v>
      </c>
      <c r="AI46" t="s">
        <v>53</v>
      </c>
      <c r="AJ46" t="b">
        <v>1</v>
      </c>
      <c r="AK46" t="b">
        <v>1</v>
      </c>
      <c r="AL46">
        <v>1</v>
      </c>
      <c r="AM46">
        <v>1</v>
      </c>
      <c r="AN46" t="s">
        <v>56</v>
      </c>
      <c r="AO46" t="s">
        <v>57</v>
      </c>
      <c r="AP46">
        <v>0.25</v>
      </c>
      <c r="AQ46" t="b">
        <v>1</v>
      </c>
      <c r="AR46" t="s">
        <v>23</v>
      </c>
      <c r="AS46">
        <v>20000</v>
      </c>
      <c r="AT46">
        <v>500</v>
      </c>
      <c r="AU46" t="s">
        <v>121</v>
      </c>
      <c r="AV46" t="b">
        <v>0</v>
      </c>
      <c r="AW46" t="b">
        <v>0</v>
      </c>
      <c r="AX46" t="b">
        <v>1</v>
      </c>
      <c r="AY46" t="b">
        <v>0</v>
      </c>
      <c r="AZ46" t="b">
        <v>0</v>
      </c>
      <c r="BA46">
        <f>INDEX(Inp_CER_Bin_2eps3arms!$AN$2:$AN$176,MATCH(Table1[[#This Row],[ModelID]],Inp_CER_Bin_2eps3arms!$A$2:$A$176,0))</f>
        <v>0</v>
      </c>
      <c r="BB46" t="s">
        <v>42</v>
      </c>
      <c r="BC46" t="s">
        <v>621</v>
      </c>
      <c r="BD46" t="s">
        <v>630</v>
      </c>
      <c r="BE46" s="10">
        <f>Table1[[#This Row],[Global.Power]]</f>
        <v>0.99969984992496297</v>
      </c>
      <c r="BF46" s="10">
        <f>Table1[[#This Row],[Conjunctive.Power]]</f>
        <v>0.971785892946473</v>
      </c>
      <c r="BG46" s="10">
        <f>Table1[[#This Row],[Disjunctive.Power]]</f>
        <v>0.99969984992496297</v>
      </c>
      <c r="BH46" s="10">
        <f>Table1[[#This Row],[FWER]]</f>
        <v>1.84092046023012E-2</v>
      </c>
      <c r="BI46" s="10">
        <f>_xlfn.NUMBERVALUE(MID(Table1[[#This Row],[CI_95perc_Global.Power]],2,FIND(",",Table1[[#This Row],[CI_95perc_Global.Power]])-2))</f>
        <v>0.99946000000000002</v>
      </c>
      <c r="BJ46" s="10">
        <f>_xlfn.NUMBERVALUE(MID(Table1[[#This Row],[CI_95perc_Global.Power]],FIND(",",Table1[[#This Row],[CI_95perc_Global.Power]])+1,LEN(Table1[[#This Row],[CI_95perc_Global.Power]])-FIND(",",Table1[[#This Row],[CI_95perc_Global.Power]])-1))</f>
        <v>0.99994000000000005</v>
      </c>
      <c r="BK46" s="10">
        <f>_xlfn.NUMBERVALUE(MID(Table1[[#This Row],[CI_95perc_Conjunctive.Power]],2,FIND(",",Table1[[#This Row],[CI_95perc_Conjunctive.Power]])-2))</f>
        <v>0.96948999999999996</v>
      </c>
      <c r="BL46" s="10">
        <f>_xlfn.NUMBERVALUE(MID(Table1[[#This Row],[CI_95perc_Conjunctive.Power]],FIND(",",Table1[[#This Row],[CI_95perc_Conjunctive.Power]])+1,LEN(Table1[[#This Row],[CI_95perc_Conjunctive.Power]])-FIND(",",Table1[[#This Row],[CI_95perc_Conjunctive.Power]])-1))</f>
        <v>0.97407999999999995</v>
      </c>
      <c r="BM46" s="10">
        <f>_xlfn.NUMBERVALUE(MID(Table1[[#This Row],[CI_95perc_Disjunctive.Power]],2,FIND(",",Table1[[#This Row],[CI_95perc_Disjunctive.Power]])-2))</f>
        <v>0.99946000000000002</v>
      </c>
      <c r="BN46" s="10">
        <f>_xlfn.NUMBERVALUE(MID(Table1[[#This Row],[CI_95perc_Disjunctive.Power]],FIND(",",Table1[[#This Row],[CI_95perc_Disjunctive.Power]])+1,LEN(Table1[[#This Row],[CI_95perc_Disjunctive.Power]])-FIND(",",Table1[[#This Row],[CI_95perc_Disjunctive.Power]])-1))</f>
        <v>0.99994000000000005</v>
      </c>
      <c r="BO46" s="10">
        <f>_xlfn.NUMBERVALUE(MID(Table1[[#This Row],[CI_95perc_FWER]],2,FIND(",",Table1[[#This Row],[CI_95perc_FWER]])-2))</f>
        <v>1.6549999999999999E-2</v>
      </c>
      <c r="BP46" s="10">
        <f>_xlfn.NUMBERVALUE(MID(Table1[[#This Row],[CI_95perc_FWER]],FIND(",",Table1[[#This Row],[CI_95perc_FWER]])+1,LEN(Table1[[#This Row],[CI_95perc_FWER]])-FIND(",",Table1[[#This Row],[CI_95perc_FWER]])-1))</f>
        <v>2.027E-2</v>
      </c>
      <c r="BQ46" s="10" t="str">
        <f>_xlfn.CONCAT("(",TEXT(Table1[[#This Row],[LCL_Disj.Pow%]],"0.00%"), ", ",TEXT(Table1[[#This Row],[UCL_Disj.Pow%]],"0.00%"),")")</f>
        <v>(99.95%, 99.99%)</v>
      </c>
      <c r="BR46" s="10" t="str">
        <f>_xlfn.CONCAT("(",TEXT(Table1[[#This Row],[LCL_Conj.Pow%]],"0.00%"),", ",TEXT(Table1[[#This Row],[UCL_Conj.Pow%]],"0.00%"),")")</f>
        <v>(96.95%, 97.41%)</v>
      </c>
      <c r="BS46" s="10" t="str">
        <f>_xlfn.CONCAT("(",TEXT(Table1[[#This Row],[LCL_FWER%]],"0.00%"),", ",TEXT(Table1[[#This Row],[UCL_FWER%]],"0.00%"),")")</f>
        <v>(1.66%, 2.03%)</v>
      </c>
    </row>
    <row r="47" spans="1:71" x14ac:dyDescent="0.25">
      <c r="A47">
        <v>45</v>
      </c>
      <c r="B47" t="s">
        <v>166</v>
      </c>
      <c r="C47">
        <v>1996</v>
      </c>
      <c r="D47">
        <v>0.99968800000000002</v>
      </c>
      <c r="E47">
        <v>0.98433210000000004</v>
      </c>
      <c r="F47">
        <v>0.99968800000000002</v>
      </c>
      <c r="G47">
        <v>2.2850700000000002E-2</v>
      </c>
      <c r="H47" t="s">
        <v>272</v>
      </c>
      <c r="I47" t="s">
        <v>273</v>
      </c>
      <c r="J47" t="s">
        <v>272</v>
      </c>
      <c r="K47" t="s">
        <v>274</v>
      </c>
      <c r="L47" s="1">
        <v>132216774</v>
      </c>
      <c r="M47" t="s">
        <v>275</v>
      </c>
      <c r="N47">
        <v>0.80560642447736497</v>
      </c>
      <c r="O47" t="s">
        <v>85</v>
      </c>
      <c r="P47" t="s">
        <v>41</v>
      </c>
      <c r="Q47" s="2">
        <v>2000</v>
      </c>
      <c r="R47">
        <v>2.5000000000000001E-2</v>
      </c>
      <c r="S47" t="s">
        <v>42</v>
      </c>
      <c r="T47" t="s">
        <v>42</v>
      </c>
      <c r="U47" t="s">
        <v>43</v>
      </c>
      <c r="V47" s="2" t="s">
        <v>44</v>
      </c>
      <c r="W47">
        <v>5</v>
      </c>
      <c r="X47">
        <v>2</v>
      </c>
      <c r="Y47" s="2" t="s">
        <v>118</v>
      </c>
      <c r="Z47" s="2" t="s">
        <v>42</v>
      </c>
      <c r="AA47" s="2" t="s">
        <v>42</v>
      </c>
      <c r="AB47" s="2" t="s">
        <v>128</v>
      </c>
      <c r="AC47" t="s">
        <v>122</v>
      </c>
      <c r="AD47" t="s">
        <v>123</v>
      </c>
      <c r="AE47" t="s">
        <v>124</v>
      </c>
      <c r="AF47" t="s">
        <v>125</v>
      </c>
      <c r="AG47" t="s">
        <v>51</v>
      </c>
      <c r="AH47" t="s">
        <v>126</v>
      </c>
      <c r="AI47" t="s">
        <v>53</v>
      </c>
      <c r="AJ47" t="b">
        <v>1</v>
      </c>
      <c r="AK47" t="b">
        <v>1</v>
      </c>
      <c r="AL47">
        <v>1</v>
      </c>
      <c r="AM47">
        <v>1</v>
      </c>
      <c r="AN47" t="s">
        <v>56</v>
      </c>
      <c r="AO47" t="s">
        <v>57</v>
      </c>
      <c r="AP47">
        <v>0.25</v>
      </c>
      <c r="AQ47" t="b">
        <v>1</v>
      </c>
      <c r="AR47" t="s">
        <v>23</v>
      </c>
      <c r="AS47">
        <v>20000</v>
      </c>
      <c r="AT47">
        <v>500</v>
      </c>
      <c r="AU47" t="s">
        <v>121</v>
      </c>
      <c r="AV47" t="b">
        <v>0</v>
      </c>
      <c r="AW47" t="b">
        <v>0</v>
      </c>
      <c r="AX47" t="b">
        <v>1</v>
      </c>
      <c r="AY47" t="b">
        <v>0</v>
      </c>
      <c r="AZ47" t="b">
        <v>0</v>
      </c>
      <c r="BA47">
        <f>INDEX(Inp_CER_Bin_2eps3arms!$AN$2:$AN$176,MATCH(Table1[[#This Row],[ModelID]],Inp_CER_Bin_2eps3arms!$A$2:$A$176,0))</f>
        <v>0</v>
      </c>
      <c r="BB47" t="s">
        <v>42</v>
      </c>
      <c r="BC47" t="s">
        <v>621</v>
      </c>
      <c r="BD47" t="s">
        <v>630</v>
      </c>
      <c r="BE47" s="10">
        <f>Table1[[#This Row],[Global.Power]]</f>
        <v>0.99968800000000002</v>
      </c>
      <c r="BF47" s="10">
        <f>Table1[[#This Row],[Conjunctive.Power]]</f>
        <v>0.98433210000000004</v>
      </c>
      <c r="BG47" s="10">
        <f>Table1[[#This Row],[Disjunctive.Power]]</f>
        <v>0.99968800000000002</v>
      </c>
      <c r="BH47" s="10">
        <f>Table1[[#This Row],[FWER]]</f>
        <v>2.2850700000000002E-2</v>
      </c>
      <c r="BI47" s="10">
        <f>_xlfn.NUMBERVALUE(MID(Table1[[#This Row],[CI_95perc_Global.Power]],2,FIND(",",Table1[[#This Row],[CI_95perc_Global.Power]])-2))</f>
        <v>0.99946999999999997</v>
      </c>
      <c r="BJ47" s="10">
        <f>_xlfn.NUMBERVALUE(MID(Table1[[#This Row],[CI_95perc_Global.Power]],FIND(",",Table1[[#This Row],[CI_95perc_Global.Power]])+1,LEN(Table1[[#This Row],[CI_95perc_Global.Power]])-FIND(",",Table1[[#This Row],[CI_95perc_Global.Power]])-1))</f>
        <v>0.99990999999999997</v>
      </c>
      <c r="BK47" s="10">
        <f>_xlfn.NUMBERVALUE(MID(Table1[[#This Row],[CI_95perc_Conjunctive.Power]],2,FIND(",",Table1[[#This Row],[CI_95perc_Conjunctive.Power]])-2))</f>
        <v>0.98311999999999999</v>
      </c>
      <c r="BL47" s="10">
        <f>_xlfn.NUMBERVALUE(MID(Table1[[#This Row],[CI_95perc_Conjunctive.Power]],FIND(",",Table1[[#This Row],[CI_95perc_Conjunctive.Power]])+1,LEN(Table1[[#This Row],[CI_95perc_Conjunctive.Power]])-FIND(",",Table1[[#This Row],[CI_95perc_Conjunctive.Power]])-1))</f>
        <v>0.98555000000000004</v>
      </c>
      <c r="BM47" s="10">
        <f>_xlfn.NUMBERVALUE(MID(Table1[[#This Row],[CI_95perc_Disjunctive.Power]],2,FIND(",",Table1[[#This Row],[CI_95perc_Disjunctive.Power]])-2))</f>
        <v>0.99946999999999997</v>
      </c>
      <c r="BN47" s="10">
        <f>_xlfn.NUMBERVALUE(MID(Table1[[#This Row],[CI_95perc_Disjunctive.Power]],FIND(",",Table1[[#This Row],[CI_95perc_Disjunctive.Power]])+1,LEN(Table1[[#This Row],[CI_95perc_Disjunctive.Power]])-FIND(",",Table1[[#This Row],[CI_95perc_Disjunctive.Power]])-1))</f>
        <v>0.99990999999999997</v>
      </c>
      <c r="BO47" s="10">
        <f>_xlfn.NUMBERVALUE(MID(Table1[[#This Row],[CI_95perc_FWER]],2,FIND(",",Table1[[#This Row],[CI_95perc_FWER]])-2))</f>
        <v>2.197E-2</v>
      </c>
      <c r="BP47" s="10">
        <f>_xlfn.NUMBERVALUE(MID(Table1[[#This Row],[CI_95perc_FWER]],FIND(",",Table1[[#This Row],[CI_95perc_FWER]])+1,LEN(Table1[[#This Row],[CI_95perc_FWER]])-FIND(",",Table1[[#This Row],[CI_95perc_FWER]])-1))</f>
        <v>2.3730000000000001E-2</v>
      </c>
      <c r="BQ47" s="10" t="str">
        <f>_xlfn.CONCAT("(",TEXT(Table1[[#This Row],[LCL_Disj.Pow%]],"0.00%"), ", ",TEXT(Table1[[#This Row],[UCL_Disj.Pow%]],"0.00%"),")")</f>
        <v>(99.95%, 99.99%)</v>
      </c>
      <c r="BR47" s="10" t="str">
        <f>_xlfn.CONCAT("(",TEXT(Table1[[#This Row],[LCL_Conj.Pow%]],"0.00%"),", ",TEXT(Table1[[#This Row],[UCL_Conj.Pow%]],"0.00%"),")")</f>
        <v>(98.31%, 98.56%)</v>
      </c>
      <c r="BS47" s="10" t="str">
        <f>_xlfn.CONCAT("(",TEXT(Table1[[#This Row],[LCL_FWER%]],"0.00%"),", ",TEXT(Table1[[#This Row],[UCL_FWER%]],"0.00%"),")")</f>
        <v>(2.20%, 2.37%)</v>
      </c>
    </row>
    <row r="48" spans="1:71" x14ac:dyDescent="0.25">
      <c r="A48">
        <v>46</v>
      </c>
      <c r="B48" t="s">
        <v>167</v>
      </c>
      <c r="C48">
        <v>8740</v>
      </c>
      <c r="D48">
        <v>0.99979992997549105</v>
      </c>
      <c r="E48">
        <v>0.40994348021807597</v>
      </c>
      <c r="F48">
        <v>0.99974991246936395</v>
      </c>
      <c r="G48">
        <v>8.6030110538688493E-3</v>
      </c>
      <c r="H48" t="s">
        <v>276</v>
      </c>
      <c r="I48" t="s">
        <v>277</v>
      </c>
      <c r="J48" t="s">
        <v>278</v>
      </c>
      <c r="K48" t="s">
        <v>279</v>
      </c>
      <c r="L48" s="1">
        <v>129757014</v>
      </c>
      <c r="M48" t="s">
        <v>280</v>
      </c>
      <c r="N48">
        <v>6.9120148022969605E-2</v>
      </c>
      <c r="O48" t="s">
        <v>85</v>
      </c>
      <c r="P48" t="s">
        <v>117</v>
      </c>
      <c r="Q48" s="2">
        <v>2000</v>
      </c>
      <c r="R48">
        <v>2.5000000000000001E-2</v>
      </c>
      <c r="S48" t="s">
        <v>42</v>
      </c>
      <c r="T48" t="s">
        <v>42</v>
      </c>
      <c r="U48" t="s">
        <v>43</v>
      </c>
      <c r="V48" s="2" t="s">
        <v>44</v>
      </c>
      <c r="W48">
        <v>5</v>
      </c>
      <c r="X48">
        <v>2</v>
      </c>
      <c r="Y48" s="2" t="s">
        <v>118</v>
      </c>
      <c r="Z48" s="2" t="s">
        <v>42</v>
      </c>
      <c r="AA48" s="2" t="s">
        <v>42</v>
      </c>
      <c r="AB48" s="2" t="s">
        <v>128</v>
      </c>
      <c r="AC48" t="s">
        <v>122</v>
      </c>
      <c r="AD48" t="s">
        <v>123</v>
      </c>
      <c r="AE48" t="s">
        <v>124</v>
      </c>
      <c r="AF48" t="s">
        <v>125</v>
      </c>
      <c r="AG48" t="s">
        <v>51</v>
      </c>
      <c r="AH48" t="s">
        <v>126</v>
      </c>
      <c r="AI48" t="s">
        <v>53</v>
      </c>
      <c r="AJ48" t="b">
        <v>1</v>
      </c>
      <c r="AK48" t="b">
        <v>1</v>
      </c>
      <c r="AL48">
        <v>1</v>
      </c>
      <c r="AM48">
        <v>1</v>
      </c>
      <c r="AN48" t="s">
        <v>56</v>
      </c>
      <c r="AO48" t="s">
        <v>60</v>
      </c>
      <c r="AP48">
        <v>1</v>
      </c>
      <c r="AQ48" t="b">
        <v>1</v>
      </c>
      <c r="AR48" t="s">
        <v>23</v>
      </c>
      <c r="AS48">
        <v>20000</v>
      </c>
      <c r="AT48">
        <v>500</v>
      </c>
      <c r="AU48" t="s">
        <v>121</v>
      </c>
      <c r="AV48" t="b">
        <v>0</v>
      </c>
      <c r="AW48" t="b">
        <v>0</v>
      </c>
      <c r="AX48" t="b">
        <v>1</v>
      </c>
      <c r="AY48" t="b">
        <v>0</v>
      </c>
      <c r="AZ48" t="b">
        <v>0</v>
      </c>
      <c r="BA48">
        <f>INDEX(Inp_CER_Bin_2eps3arms!$AN$2:$AN$176,MATCH(Table1[[#This Row],[ModelID]],Inp_CER_Bin_2eps3arms!$A$2:$A$176,0))</f>
        <v>0</v>
      </c>
      <c r="BB48" t="s">
        <v>42</v>
      </c>
      <c r="BC48" t="s">
        <v>620</v>
      </c>
      <c r="BD48" t="s">
        <v>630</v>
      </c>
      <c r="BE48" s="10">
        <f>Table1[[#This Row],[Global.Power]]</f>
        <v>0.99979992997549105</v>
      </c>
      <c r="BF48" s="10">
        <f>Table1[[#This Row],[Conjunctive.Power]]</f>
        <v>0.40994348021807597</v>
      </c>
      <c r="BG48" s="10">
        <f>Table1[[#This Row],[Disjunctive.Power]]</f>
        <v>0.99974991246936395</v>
      </c>
      <c r="BH48" s="10">
        <f>Table1[[#This Row],[FWER]]</f>
        <v>8.6030110538688493E-3</v>
      </c>
      <c r="BI48" s="10">
        <f>_xlfn.NUMBERVALUE(MID(Table1[[#This Row],[CI_95perc_Global.Power]],2,FIND(",",Table1[[#This Row],[CI_95perc_Global.Power]])-2))</f>
        <v>0.99960000000000004</v>
      </c>
      <c r="BJ48" s="10">
        <f>_xlfn.NUMBERVALUE(MID(Table1[[#This Row],[CI_95perc_Global.Power]],FIND(",",Table1[[#This Row],[CI_95perc_Global.Power]])+1,LEN(Table1[[#This Row],[CI_95perc_Global.Power]])-FIND(",",Table1[[#This Row],[CI_95perc_Global.Power]])-1))</f>
        <v>1</v>
      </c>
      <c r="BK48" s="10">
        <f>_xlfn.NUMBERVALUE(MID(Table1[[#This Row],[CI_95perc_Conjunctive.Power]],2,FIND(",",Table1[[#This Row],[CI_95perc_Conjunctive.Power]])-2))</f>
        <v>0.40312999999999999</v>
      </c>
      <c r="BL48" s="10">
        <f>_xlfn.NUMBERVALUE(MID(Table1[[#This Row],[CI_95perc_Conjunctive.Power]],FIND(",",Table1[[#This Row],[CI_95perc_Conjunctive.Power]])+1,LEN(Table1[[#This Row],[CI_95perc_Conjunctive.Power]])-FIND(",",Table1[[#This Row],[CI_95perc_Conjunctive.Power]])-1))</f>
        <v>0.41676000000000002</v>
      </c>
      <c r="BM48" s="10">
        <f>_xlfn.NUMBERVALUE(MID(Table1[[#This Row],[CI_95perc_Disjunctive.Power]],2,FIND(",",Table1[[#This Row],[CI_95perc_Disjunctive.Power]])-2))</f>
        <v>0.99953000000000003</v>
      </c>
      <c r="BN48" s="10">
        <f>_xlfn.NUMBERVALUE(MID(Table1[[#This Row],[CI_95perc_Disjunctive.Power]],FIND(",",Table1[[#This Row],[CI_95perc_Disjunctive.Power]])+1,LEN(Table1[[#This Row],[CI_95perc_Disjunctive.Power]])-FIND(",",Table1[[#This Row],[CI_95perc_Disjunctive.Power]])-1))</f>
        <v>0.99997000000000003</v>
      </c>
      <c r="BO48" s="10">
        <f>_xlfn.NUMBERVALUE(MID(Table1[[#This Row],[CI_95perc_FWER]],2,FIND(",",Table1[[#This Row],[CI_95perc_FWER]])-2))</f>
        <v>7.3200000000000001E-3</v>
      </c>
      <c r="BP48" s="10">
        <f>_xlfn.NUMBERVALUE(MID(Table1[[#This Row],[CI_95perc_FWER]],FIND(",",Table1[[#This Row],[CI_95perc_FWER]])+1,LEN(Table1[[#This Row],[CI_95perc_FWER]])-FIND(",",Table1[[#This Row],[CI_95perc_FWER]])-1))</f>
        <v>9.8799999999999999E-3</v>
      </c>
      <c r="BQ48" s="10" t="str">
        <f>_xlfn.CONCAT("(",TEXT(Table1[[#This Row],[LCL_Disj.Pow%]],"0.00%"), ", ",TEXT(Table1[[#This Row],[UCL_Disj.Pow%]],"0.00%"),")")</f>
        <v>(99.95%, 100.00%)</v>
      </c>
      <c r="BR48" s="10" t="str">
        <f>_xlfn.CONCAT("(",TEXT(Table1[[#This Row],[LCL_Conj.Pow%]],"0.00%"),", ",TEXT(Table1[[#This Row],[UCL_Conj.Pow%]],"0.00%"),")")</f>
        <v>(40.31%, 41.68%)</v>
      </c>
      <c r="BS48" s="10" t="str">
        <f>_xlfn.CONCAT("(",TEXT(Table1[[#This Row],[LCL_FWER%]],"0.00%"),", ",TEXT(Table1[[#This Row],[UCL_FWER%]],"0.00%"),")")</f>
        <v>(0.73%, 0.99%)</v>
      </c>
    </row>
    <row r="49" spans="1:71" x14ac:dyDescent="0.25">
      <c r="A49">
        <v>47</v>
      </c>
      <c r="B49" t="s">
        <v>168</v>
      </c>
      <c r="C49">
        <v>5181</v>
      </c>
      <c r="D49">
        <v>0.99998370000000003</v>
      </c>
      <c r="E49">
        <v>0.41699789999999998</v>
      </c>
      <c r="F49">
        <v>0.99998370000000003</v>
      </c>
      <c r="G49">
        <v>8.8701000000000006E-3</v>
      </c>
      <c r="H49" t="s">
        <v>281</v>
      </c>
      <c r="I49" t="s">
        <v>282</v>
      </c>
      <c r="J49" t="s">
        <v>281</v>
      </c>
      <c r="K49" t="s">
        <v>283</v>
      </c>
      <c r="L49" s="1">
        <v>131966802</v>
      </c>
      <c r="M49" t="s">
        <v>284</v>
      </c>
      <c r="N49">
        <v>0.69413866274886704</v>
      </c>
      <c r="O49" t="s">
        <v>85</v>
      </c>
      <c r="P49" t="s">
        <v>41</v>
      </c>
      <c r="Q49" s="2">
        <v>2000</v>
      </c>
      <c r="R49">
        <v>2.5000000000000001E-2</v>
      </c>
      <c r="S49" t="s">
        <v>42</v>
      </c>
      <c r="T49" t="s">
        <v>42</v>
      </c>
      <c r="U49" t="s">
        <v>43</v>
      </c>
      <c r="V49" s="2" t="s">
        <v>44</v>
      </c>
      <c r="W49">
        <v>5</v>
      </c>
      <c r="X49">
        <v>2</v>
      </c>
      <c r="Y49" s="2" t="s">
        <v>118</v>
      </c>
      <c r="Z49" s="2" t="s">
        <v>42</v>
      </c>
      <c r="AA49" s="2" t="s">
        <v>42</v>
      </c>
      <c r="AB49" s="2" t="s">
        <v>128</v>
      </c>
      <c r="AC49" t="s">
        <v>122</v>
      </c>
      <c r="AD49" t="s">
        <v>123</v>
      </c>
      <c r="AE49" t="s">
        <v>124</v>
      </c>
      <c r="AF49" t="s">
        <v>125</v>
      </c>
      <c r="AG49" t="s">
        <v>51</v>
      </c>
      <c r="AH49" t="s">
        <v>126</v>
      </c>
      <c r="AI49" t="s">
        <v>53</v>
      </c>
      <c r="AJ49" t="b">
        <v>1</v>
      </c>
      <c r="AK49" t="b">
        <v>1</v>
      </c>
      <c r="AL49">
        <v>1</v>
      </c>
      <c r="AM49">
        <v>1</v>
      </c>
      <c r="AN49" t="s">
        <v>56</v>
      </c>
      <c r="AO49" t="s">
        <v>60</v>
      </c>
      <c r="AP49">
        <v>1</v>
      </c>
      <c r="AQ49" t="b">
        <v>1</v>
      </c>
      <c r="AR49" t="s">
        <v>23</v>
      </c>
      <c r="AS49">
        <v>20000</v>
      </c>
      <c r="AT49">
        <v>500</v>
      </c>
      <c r="AU49" t="s">
        <v>121</v>
      </c>
      <c r="AV49" t="b">
        <v>0</v>
      </c>
      <c r="AW49" t="b">
        <v>0</v>
      </c>
      <c r="AX49" t="b">
        <v>1</v>
      </c>
      <c r="AY49" t="b">
        <v>0</v>
      </c>
      <c r="AZ49" t="b">
        <v>0</v>
      </c>
      <c r="BA49">
        <f>INDEX(Inp_CER_Bin_2eps3arms!$AN$2:$AN$176,MATCH(Table1[[#This Row],[ModelID]],Inp_CER_Bin_2eps3arms!$A$2:$A$176,0))</f>
        <v>0</v>
      </c>
      <c r="BB49" t="s">
        <v>42</v>
      </c>
      <c r="BC49" t="s">
        <v>620</v>
      </c>
      <c r="BD49" t="s">
        <v>630</v>
      </c>
      <c r="BE49" s="10">
        <f>Table1[[#This Row],[Global.Power]]</f>
        <v>0.99998370000000003</v>
      </c>
      <c r="BF49" s="10">
        <f>Table1[[#This Row],[Conjunctive.Power]]</f>
        <v>0.41699789999999998</v>
      </c>
      <c r="BG49" s="10">
        <f>Table1[[#This Row],[Disjunctive.Power]]</f>
        <v>0.99998370000000003</v>
      </c>
      <c r="BH49" s="10">
        <f>Table1[[#This Row],[FWER]]</f>
        <v>8.8701000000000006E-3</v>
      </c>
      <c r="BI49" s="10">
        <f>_xlfn.NUMBERVALUE(MID(Table1[[#This Row],[CI_95perc_Global.Power]],2,FIND(",",Table1[[#This Row],[CI_95perc_Global.Power]])-2))</f>
        <v>0.99997999999999998</v>
      </c>
      <c r="BJ49" s="10">
        <f>_xlfn.NUMBERVALUE(MID(Table1[[#This Row],[CI_95perc_Global.Power]],FIND(",",Table1[[#This Row],[CI_95perc_Global.Power]])+1,LEN(Table1[[#This Row],[CI_95perc_Global.Power]])-FIND(",",Table1[[#This Row],[CI_95perc_Global.Power]])-1))</f>
        <v>0.99999000000000005</v>
      </c>
      <c r="BK49" s="10">
        <f>_xlfn.NUMBERVALUE(MID(Table1[[#This Row],[CI_95perc_Conjunctive.Power]],2,FIND(",",Table1[[#This Row],[CI_95perc_Conjunctive.Power]])-2))</f>
        <v>0.41016999999999998</v>
      </c>
      <c r="BL49" s="10">
        <f>_xlfn.NUMBERVALUE(MID(Table1[[#This Row],[CI_95perc_Conjunctive.Power]],FIND(",",Table1[[#This Row],[CI_95perc_Conjunctive.Power]])+1,LEN(Table1[[#This Row],[CI_95perc_Conjunctive.Power]])-FIND(",",Table1[[#This Row],[CI_95perc_Conjunctive.Power]])-1))</f>
        <v>0.42382999999999998</v>
      </c>
      <c r="BM49" s="10">
        <f>_xlfn.NUMBERVALUE(MID(Table1[[#This Row],[CI_95perc_Disjunctive.Power]],2,FIND(",",Table1[[#This Row],[CI_95perc_Disjunctive.Power]])-2))</f>
        <v>0.99997999999999998</v>
      </c>
      <c r="BN49" s="10">
        <f>_xlfn.NUMBERVALUE(MID(Table1[[#This Row],[CI_95perc_Disjunctive.Power]],FIND(",",Table1[[#This Row],[CI_95perc_Disjunctive.Power]])+1,LEN(Table1[[#This Row],[CI_95perc_Disjunctive.Power]])-FIND(",",Table1[[#This Row],[CI_95perc_Disjunctive.Power]])-1))</f>
        <v>0.99999000000000005</v>
      </c>
      <c r="BO49" s="10">
        <f>_xlfn.NUMBERVALUE(MID(Table1[[#This Row],[CI_95perc_FWER]],2,FIND(",",Table1[[#This Row],[CI_95perc_FWER]])-2))</f>
        <v>8.1899999999999994E-3</v>
      </c>
      <c r="BP49" s="10">
        <f>_xlfn.NUMBERVALUE(MID(Table1[[#This Row],[CI_95perc_FWER]],FIND(",",Table1[[#This Row],[CI_95perc_FWER]])+1,LEN(Table1[[#This Row],[CI_95perc_FWER]])-FIND(",",Table1[[#This Row],[CI_95perc_FWER]])-1))</f>
        <v>9.5499999999999995E-3</v>
      </c>
      <c r="BQ49" s="10" t="str">
        <f>_xlfn.CONCAT("(",TEXT(Table1[[#This Row],[LCL_Disj.Pow%]],"0.00%"), ", ",TEXT(Table1[[#This Row],[UCL_Disj.Pow%]],"0.00%"),")")</f>
        <v>(100.00%, 100.00%)</v>
      </c>
      <c r="BR49" s="10" t="str">
        <f>_xlfn.CONCAT("(",TEXT(Table1[[#This Row],[LCL_Conj.Pow%]],"0.00%"),", ",TEXT(Table1[[#This Row],[UCL_Conj.Pow%]],"0.00%"),")")</f>
        <v>(41.02%, 42.38%)</v>
      </c>
      <c r="BS49" s="10" t="str">
        <f>_xlfn.CONCAT("(",TEXT(Table1[[#This Row],[LCL_FWER%]],"0.00%"),", ",TEXT(Table1[[#This Row],[UCL_FWER%]],"0.00%"),")")</f>
        <v>(0.82%, 0.96%)</v>
      </c>
    </row>
    <row r="50" spans="1:71" x14ac:dyDescent="0.25">
      <c r="A50">
        <v>48</v>
      </c>
      <c r="B50" t="s">
        <v>605</v>
      </c>
      <c r="C50">
        <v>6177</v>
      </c>
      <c r="D50">
        <v>0.99894610057211697</v>
      </c>
      <c r="E50">
        <v>0.92457091237579003</v>
      </c>
      <c r="F50">
        <v>0.99894610057211697</v>
      </c>
      <c r="G50">
        <v>2.32359731004717E-2</v>
      </c>
      <c r="H50" t="s">
        <v>285</v>
      </c>
      <c r="I50" t="s">
        <v>286</v>
      </c>
      <c r="J50" t="s">
        <v>285</v>
      </c>
      <c r="K50" t="s">
        <v>287</v>
      </c>
      <c r="L50" s="1">
        <v>147145191</v>
      </c>
      <c r="M50" t="s">
        <v>288</v>
      </c>
      <c r="N50">
        <v>7.6760367751121494E-2</v>
      </c>
      <c r="O50" t="s">
        <v>85</v>
      </c>
      <c r="P50" t="s">
        <v>117</v>
      </c>
      <c r="Q50" s="2">
        <v>2000</v>
      </c>
      <c r="R50" s="2">
        <v>2.5000000000000001E-2</v>
      </c>
      <c r="S50" s="2" t="s">
        <v>42</v>
      </c>
      <c r="T50" s="2" t="s">
        <v>42</v>
      </c>
      <c r="U50" s="2" t="s">
        <v>43</v>
      </c>
      <c r="V50" s="2" t="s">
        <v>44</v>
      </c>
      <c r="W50" s="2">
        <v>5</v>
      </c>
      <c r="X50" s="2">
        <v>2</v>
      </c>
      <c r="Y50" s="2" t="s">
        <v>118</v>
      </c>
      <c r="Z50" s="2" t="s">
        <v>42</v>
      </c>
      <c r="AA50" s="2" t="s">
        <v>42</v>
      </c>
      <c r="AB50" s="2" t="s">
        <v>129</v>
      </c>
      <c r="AC50" t="s">
        <v>122</v>
      </c>
      <c r="AD50" s="2" t="s">
        <v>120</v>
      </c>
      <c r="AE50" t="s">
        <v>124</v>
      </c>
      <c r="AF50" t="s">
        <v>125</v>
      </c>
      <c r="AG50" s="2" t="s">
        <v>51</v>
      </c>
      <c r="AH50" t="s">
        <v>52</v>
      </c>
      <c r="AI50" t="s">
        <v>53</v>
      </c>
      <c r="AJ50" t="b">
        <v>1</v>
      </c>
      <c r="AK50" t="b">
        <v>0</v>
      </c>
      <c r="AL50" t="s">
        <v>42</v>
      </c>
      <c r="AM50" t="s">
        <v>42</v>
      </c>
      <c r="AN50" t="s">
        <v>42</v>
      </c>
      <c r="AO50" t="s">
        <v>42</v>
      </c>
      <c r="AP50" t="s">
        <v>42</v>
      </c>
      <c r="AQ50" t="s">
        <v>42</v>
      </c>
      <c r="AR50" t="s">
        <v>54</v>
      </c>
      <c r="AS50">
        <v>20000</v>
      </c>
      <c r="AT50">
        <v>500</v>
      </c>
      <c r="AU50" t="s">
        <v>121</v>
      </c>
      <c r="AV50" t="b">
        <v>0</v>
      </c>
      <c r="AW50" t="b">
        <v>0</v>
      </c>
      <c r="AX50" t="b">
        <v>1</v>
      </c>
      <c r="AY50" t="b">
        <v>0</v>
      </c>
      <c r="AZ50" t="b">
        <v>0</v>
      </c>
      <c r="BA50">
        <f>INDEX(Inp_CER_Bin_2eps3arms!$AN$2:$AN$176,MATCH(Table1[[#This Row],[ModelID]],Inp_CER_Bin_2eps3arms!$A$2:$A$176,0))</f>
        <v>0</v>
      </c>
      <c r="BB50" t="s">
        <v>42</v>
      </c>
      <c r="BC50" t="s">
        <v>618</v>
      </c>
      <c r="BD50" t="s">
        <v>631</v>
      </c>
      <c r="BE50" s="10">
        <f>Table1[[#This Row],[Global.Power]]</f>
        <v>0.99894610057211697</v>
      </c>
      <c r="BF50" s="10">
        <f>Table1[[#This Row],[Conjunctive.Power]]</f>
        <v>0.92457091237579003</v>
      </c>
      <c r="BG50" s="10">
        <f>Table1[[#This Row],[Disjunctive.Power]]</f>
        <v>0.99894610057211697</v>
      </c>
      <c r="BH50" s="10">
        <f>Table1[[#This Row],[FWER]]</f>
        <v>2.32359731004717E-2</v>
      </c>
      <c r="BI50" s="10">
        <f>_xlfn.NUMBERVALUE(MID(Table1[[#This Row],[CI_95perc_Global.Power]],2,FIND(",",Table1[[#This Row],[CI_95perc_Global.Power]])-2))</f>
        <v>0.99850000000000005</v>
      </c>
      <c r="BJ50" s="10">
        <f>_xlfn.NUMBERVALUE(MID(Table1[[#This Row],[CI_95perc_Global.Power]],FIND(",",Table1[[#This Row],[CI_95perc_Global.Power]])+1,LEN(Table1[[#This Row],[CI_95perc_Global.Power]])-FIND(",",Table1[[#This Row],[CI_95perc_Global.Power]])-1))</f>
        <v>0.99939999999999996</v>
      </c>
      <c r="BK50" s="10">
        <f>_xlfn.NUMBERVALUE(MID(Table1[[#This Row],[CI_95perc_Conjunctive.Power]],2,FIND(",",Table1[[#This Row],[CI_95perc_Conjunctive.Power]])-2))</f>
        <v>0.92090000000000005</v>
      </c>
      <c r="BL50" s="10">
        <f>_xlfn.NUMBERVALUE(MID(Table1[[#This Row],[CI_95perc_Conjunctive.Power]],FIND(",",Table1[[#This Row],[CI_95perc_Conjunctive.Power]])+1,LEN(Table1[[#This Row],[CI_95perc_Conjunctive.Power]])-FIND(",",Table1[[#This Row],[CI_95perc_Conjunctive.Power]])-1))</f>
        <v>0.92823999999999995</v>
      </c>
      <c r="BM50" s="10">
        <f>_xlfn.NUMBERVALUE(MID(Table1[[#This Row],[CI_95perc_Disjunctive.Power]],2,FIND(",",Table1[[#This Row],[CI_95perc_Disjunctive.Power]])-2))</f>
        <v>0.99850000000000005</v>
      </c>
      <c r="BN50" s="10">
        <f>_xlfn.NUMBERVALUE(MID(Table1[[#This Row],[CI_95perc_Disjunctive.Power]],FIND(",",Table1[[#This Row],[CI_95perc_Disjunctive.Power]])+1,LEN(Table1[[#This Row],[CI_95perc_Disjunctive.Power]])-FIND(",",Table1[[#This Row],[CI_95perc_Disjunctive.Power]])-1))</f>
        <v>0.99939999999999996</v>
      </c>
      <c r="BO50" s="10">
        <f>_xlfn.NUMBERVALUE(MID(Table1[[#This Row],[CI_95perc_FWER]],2,FIND(",",Table1[[#This Row],[CI_95perc_FWER]])-2))</f>
        <v>2.1139999999999999E-2</v>
      </c>
      <c r="BP50" s="10">
        <f>_xlfn.NUMBERVALUE(MID(Table1[[#This Row],[CI_95perc_FWER]],FIND(",",Table1[[#This Row],[CI_95perc_FWER]])+1,LEN(Table1[[#This Row],[CI_95perc_FWER]])-FIND(",",Table1[[#This Row],[CI_95perc_FWER]])-1))</f>
        <v>2.5329999999999998E-2</v>
      </c>
      <c r="BQ50" s="10" t="str">
        <f>_xlfn.CONCAT("(",TEXT(Table1[[#This Row],[LCL_Disj.Pow%]],"0.00%"), ", ",TEXT(Table1[[#This Row],[UCL_Disj.Pow%]],"0.00%"),")")</f>
        <v>(99.85%, 99.94%)</v>
      </c>
      <c r="BR50" s="10" t="str">
        <f>_xlfn.CONCAT("(",TEXT(Table1[[#This Row],[LCL_Conj.Pow%]],"0.00%"),", ",TEXT(Table1[[#This Row],[UCL_Conj.Pow%]],"0.00%"),")")</f>
        <v>(92.09%, 92.82%)</v>
      </c>
      <c r="BS50" s="10" t="str">
        <f>_xlfn.CONCAT("(",TEXT(Table1[[#This Row],[LCL_FWER%]],"0.00%"),", ",TEXT(Table1[[#This Row],[UCL_FWER%]],"0.00%"),")")</f>
        <v>(2.11%, 2.53%)</v>
      </c>
    </row>
    <row r="51" spans="1:71" x14ac:dyDescent="0.25">
      <c r="A51">
        <v>49</v>
      </c>
      <c r="B51" t="s">
        <v>606</v>
      </c>
      <c r="C51">
        <v>7849</v>
      </c>
      <c r="D51">
        <v>0.99954900000000002</v>
      </c>
      <c r="E51">
        <v>0.96036429999999995</v>
      </c>
      <c r="F51">
        <v>0.99954900000000002</v>
      </c>
      <c r="G51">
        <v>2.4811400000000001E-2</v>
      </c>
      <c r="H51" t="s">
        <v>289</v>
      </c>
      <c r="I51" t="s">
        <v>290</v>
      </c>
      <c r="J51" t="s">
        <v>289</v>
      </c>
      <c r="K51" t="s">
        <v>291</v>
      </c>
      <c r="L51" s="1">
        <v>147625228</v>
      </c>
      <c r="M51" t="s">
        <v>292</v>
      </c>
      <c r="N51">
        <v>1.0933921141756899</v>
      </c>
      <c r="O51" t="s">
        <v>85</v>
      </c>
      <c r="P51" t="s">
        <v>41</v>
      </c>
      <c r="Q51" s="2">
        <v>2000</v>
      </c>
      <c r="R51" s="2">
        <v>2.5000000000000001E-2</v>
      </c>
      <c r="S51" s="2" t="s">
        <v>42</v>
      </c>
      <c r="T51" s="2" t="s">
        <v>42</v>
      </c>
      <c r="U51" s="2" t="s">
        <v>43</v>
      </c>
      <c r="V51" s="2" t="s">
        <v>44</v>
      </c>
      <c r="W51" s="2">
        <v>5</v>
      </c>
      <c r="X51" s="2">
        <v>2</v>
      </c>
      <c r="Y51" s="2" t="s">
        <v>118</v>
      </c>
      <c r="Z51" s="2" t="s">
        <v>42</v>
      </c>
      <c r="AA51" s="2" t="s">
        <v>42</v>
      </c>
      <c r="AB51" s="2" t="s">
        <v>129</v>
      </c>
      <c r="AC51" t="s">
        <v>122</v>
      </c>
      <c r="AD51" s="2" t="s">
        <v>120</v>
      </c>
      <c r="AE51" t="s">
        <v>124</v>
      </c>
      <c r="AF51" t="s">
        <v>125</v>
      </c>
      <c r="AG51" s="2" t="s">
        <v>51</v>
      </c>
      <c r="AH51" t="s">
        <v>52</v>
      </c>
      <c r="AI51" t="s">
        <v>53</v>
      </c>
      <c r="AJ51" t="b">
        <v>1</v>
      </c>
      <c r="AK51" t="b">
        <v>0</v>
      </c>
      <c r="AL51" t="s">
        <v>42</v>
      </c>
      <c r="AM51" t="s">
        <v>42</v>
      </c>
      <c r="AN51" t="s">
        <v>42</v>
      </c>
      <c r="AO51" t="s">
        <v>42</v>
      </c>
      <c r="AP51" t="s">
        <v>42</v>
      </c>
      <c r="AQ51" t="s">
        <v>42</v>
      </c>
      <c r="AR51" t="s">
        <v>54</v>
      </c>
      <c r="AS51">
        <v>20000</v>
      </c>
      <c r="AT51">
        <v>500</v>
      </c>
      <c r="AU51" t="s">
        <v>121</v>
      </c>
      <c r="AV51" t="b">
        <v>0</v>
      </c>
      <c r="AW51" t="b">
        <v>0</v>
      </c>
      <c r="AX51" t="b">
        <v>1</v>
      </c>
      <c r="AY51" t="b">
        <v>0</v>
      </c>
      <c r="AZ51" t="b">
        <v>0</v>
      </c>
      <c r="BA51">
        <f>INDEX(Inp_CER_Bin_2eps3arms!$AN$2:$AN$176,MATCH(Table1[[#This Row],[ModelID]],Inp_CER_Bin_2eps3arms!$A$2:$A$176,0))</f>
        <v>0</v>
      </c>
      <c r="BB51" t="s">
        <v>42</v>
      </c>
      <c r="BC51" t="s">
        <v>618</v>
      </c>
      <c r="BD51" t="s">
        <v>631</v>
      </c>
      <c r="BE51" s="10">
        <f>Table1[[#This Row],[Global.Power]]</f>
        <v>0.99954900000000002</v>
      </c>
      <c r="BF51" s="10">
        <f>Table1[[#This Row],[Conjunctive.Power]]</f>
        <v>0.96036429999999995</v>
      </c>
      <c r="BG51" s="10">
        <f>Table1[[#This Row],[Disjunctive.Power]]</f>
        <v>0.99954900000000002</v>
      </c>
      <c r="BH51" s="10">
        <f>Table1[[#This Row],[FWER]]</f>
        <v>2.4811400000000001E-2</v>
      </c>
      <c r="BI51" s="10">
        <f>_xlfn.NUMBERVALUE(MID(Table1[[#This Row],[CI_95perc_Global.Power]],2,FIND(",",Table1[[#This Row],[CI_95perc_Global.Power]])-2))</f>
        <v>0.99948999999999999</v>
      </c>
      <c r="BJ51" s="10">
        <f>_xlfn.NUMBERVALUE(MID(Table1[[#This Row],[CI_95perc_Global.Power]],FIND(",",Table1[[#This Row],[CI_95perc_Global.Power]])+1,LEN(Table1[[#This Row],[CI_95perc_Global.Power]])-FIND(",",Table1[[#This Row],[CI_95perc_Global.Power]])-1))</f>
        <v>0.99961</v>
      </c>
      <c r="BK51" s="10">
        <f>_xlfn.NUMBERVALUE(MID(Table1[[#This Row],[CI_95perc_Conjunctive.Power]],2,FIND(",",Table1[[#This Row],[CI_95perc_Conjunctive.Power]])-2))</f>
        <v>0.95933999999999997</v>
      </c>
      <c r="BL51" s="10">
        <f>_xlfn.NUMBERVALUE(MID(Table1[[#This Row],[CI_95perc_Conjunctive.Power]],FIND(",",Table1[[#This Row],[CI_95perc_Conjunctive.Power]])+1,LEN(Table1[[#This Row],[CI_95perc_Conjunctive.Power]])-FIND(",",Table1[[#This Row],[CI_95perc_Conjunctive.Power]])-1))</f>
        <v>0.96138000000000001</v>
      </c>
      <c r="BM51" s="10">
        <f>_xlfn.NUMBERVALUE(MID(Table1[[#This Row],[CI_95perc_Disjunctive.Power]],2,FIND(",",Table1[[#This Row],[CI_95perc_Disjunctive.Power]])-2))</f>
        <v>0.99948999999999999</v>
      </c>
      <c r="BN51" s="10">
        <f>_xlfn.NUMBERVALUE(MID(Table1[[#This Row],[CI_95perc_Disjunctive.Power]],FIND(",",Table1[[#This Row],[CI_95perc_Disjunctive.Power]])+1,LEN(Table1[[#This Row],[CI_95perc_Disjunctive.Power]])-FIND(",",Table1[[#This Row],[CI_95perc_Disjunctive.Power]])-1))</f>
        <v>0.99961</v>
      </c>
      <c r="BO51" s="10">
        <f>_xlfn.NUMBERVALUE(MID(Table1[[#This Row],[CI_95perc_FWER]],2,FIND(",",Table1[[#This Row],[CI_95perc_FWER]])-2))</f>
        <v>2.392E-2</v>
      </c>
      <c r="BP51" s="10">
        <f>_xlfn.NUMBERVALUE(MID(Table1[[#This Row],[CI_95perc_FWER]],FIND(",",Table1[[#This Row],[CI_95perc_FWER]])+1,LEN(Table1[[#This Row],[CI_95perc_FWER]])-FIND(",",Table1[[#This Row],[CI_95perc_FWER]])-1))</f>
        <v>2.5700000000000001E-2</v>
      </c>
      <c r="BQ51" s="10" t="str">
        <f>_xlfn.CONCAT("(",TEXT(Table1[[#This Row],[LCL_Disj.Pow%]],"0.00%"), ", ",TEXT(Table1[[#This Row],[UCL_Disj.Pow%]],"0.00%"),")")</f>
        <v>(99.95%, 99.96%)</v>
      </c>
      <c r="BR51" s="10" t="str">
        <f>_xlfn.CONCAT("(",TEXT(Table1[[#This Row],[LCL_Conj.Pow%]],"0.00%"),", ",TEXT(Table1[[#This Row],[UCL_Conj.Pow%]],"0.00%"),")")</f>
        <v>(95.93%, 96.14%)</v>
      </c>
      <c r="BS51" s="10" t="str">
        <f>_xlfn.CONCAT("(",TEXT(Table1[[#This Row],[LCL_FWER%]],"0.00%"),", ",TEXT(Table1[[#This Row],[UCL_FWER%]],"0.00%"),")")</f>
        <v>(2.39%, 2.57%)</v>
      </c>
    </row>
    <row r="52" spans="1:71" x14ac:dyDescent="0.25">
      <c r="A52">
        <v>50</v>
      </c>
      <c r="B52" t="s">
        <v>153</v>
      </c>
      <c r="C52">
        <v>8310</v>
      </c>
      <c r="D52">
        <v>0.99964921072412904</v>
      </c>
      <c r="E52">
        <v>0.94572788774743199</v>
      </c>
      <c r="F52">
        <v>0.99964921072412904</v>
      </c>
      <c r="G52">
        <v>2.4004009020295699E-2</v>
      </c>
      <c r="H52" t="s">
        <v>293</v>
      </c>
      <c r="I52" t="s">
        <v>294</v>
      </c>
      <c r="J52" t="s">
        <v>293</v>
      </c>
      <c r="K52" t="s">
        <v>295</v>
      </c>
      <c r="L52" s="1">
        <v>146685280</v>
      </c>
      <c r="M52" t="s">
        <v>296</v>
      </c>
      <c r="N52">
        <v>7.7149390512042601E-2</v>
      </c>
      <c r="O52" t="s">
        <v>85</v>
      </c>
      <c r="P52" t="s">
        <v>117</v>
      </c>
      <c r="Q52" s="2">
        <v>2000</v>
      </c>
      <c r="R52">
        <v>2.5000000000000001E-2</v>
      </c>
      <c r="S52" t="s">
        <v>42</v>
      </c>
      <c r="T52" t="s">
        <v>42</v>
      </c>
      <c r="U52" t="s">
        <v>43</v>
      </c>
      <c r="V52" s="2" t="s">
        <v>44</v>
      </c>
      <c r="W52">
        <v>5</v>
      </c>
      <c r="X52">
        <v>2</v>
      </c>
      <c r="Y52" s="2" t="s">
        <v>118</v>
      </c>
      <c r="Z52" s="2" t="s">
        <v>42</v>
      </c>
      <c r="AA52" s="2" t="s">
        <v>42</v>
      </c>
      <c r="AB52" s="2" t="s">
        <v>129</v>
      </c>
      <c r="AC52" t="s">
        <v>122</v>
      </c>
      <c r="AD52" t="s">
        <v>123</v>
      </c>
      <c r="AE52" t="s">
        <v>124</v>
      </c>
      <c r="AF52" t="s">
        <v>125</v>
      </c>
      <c r="AG52" t="s">
        <v>51</v>
      </c>
      <c r="AH52" t="s">
        <v>126</v>
      </c>
      <c r="AI52" t="s">
        <v>53</v>
      </c>
      <c r="AJ52" t="b">
        <v>1</v>
      </c>
      <c r="AK52" t="b">
        <v>1</v>
      </c>
      <c r="AL52">
        <v>1</v>
      </c>
      <c r="AM52">
        <v>1</v>
      </c>
      <c r="AN52" t="s">
        <v>56</v>
      </c>
      <c r="AO52" t="s">
        <v>57</v>
      </c>
      <c r="AP52">
        <v>0.75</v>
      </c>
      <c r="AQ52" t="b">
        <v>1</v>
      </c>
      <c r="AR52" t="s">
        <v>23</v>
      </c>
      <c r="AS52">
        <v>20000</v>
      </c>
      <c r="AT52">
        <v>500</v>
      </c>
      <c r="AU52" t="s">
        <v>121</v>
      </c>
      <c r="AV52" t="b">
        <v>0</v>
      </c>
      <c r="AW52" t="b">
        <v>0</v>
      </c>
      <c r="AX52" t="b">
        <v>1</v>
      </c>
      <c r="AY52" t="b">
        <v>0</v>
      </c>
      <c r="AZ52" t="b">
        <v>0</v>
      </c>
      <c r="BA52">
        <f>INDEX(Inp_CER_Bin_2eps3arms!$AN$2:$AN$176,MATCH(Table1[[#This Row],[ModelID]],Inp_CER_Bin_2eps3arms!$A$2:$A$176,0))</f>
        <v>0</v>
      </c>
      <c r="BB52" t="s">
        <v>42</v>
      </c>
      <c r="BC52" t="s">
        <v>619</v>
      </c>
      <c r="BD52" t="s">
        <v>631</v>
      </c>
      <c r="BE52" s="10">
        <f>Table1[[#This Row],[Global.Power]]</f>
        <v>0.99964921072412904</v>
      </c>
      <c r="BF52" s="10">
        <f>Table1[[#This Row],[Conjunctive.Power]]</f>
        <v>0.94572788774743199</v>
      </c>
      <c r="BG52" s="10">
        <f>Table1[[#This Row],[Disjunctive.Power]]</f>
        <v>0.99964921072412904</v>
      </c>
      <c r="BH52" s="10">
        <f>Table1[[#This Row],[FWER]]</f>
        <v>2.4004009020295699E-2</v>
      </c>
      <c r="BI52" s="10">
        <f>_xlfn.NUMBERVALUE(MID(Table1[[#This Row],[CI_95perc_Global.Power]],2,FIND(",",Table1[[#This Row],[CI_95perc_Global.Power]])-2))</f>
        <v>0.99939</v>
      </c>
      <c r="BJ52" s="10">
        <f>_xlfn.NUMBERVALUE(MID(Table1[[#This Row],[CI_95perc_Global.Power]],FIND(",",Table1[[#This Row],[CI_95perc_Global.Power]])+1,LEN(Table1[[#This Row],[CI_95perc_Global.Power]])-FIND(",",Table1[[#This Row],[CI_95perc_Global.Power]])-1))</f>
        <v>0.99990999999999997</v>
      </c>
      <c r="BK52" s="10">
        <f>_xlfn.NUMBERVALUE(MID(Table1[[#This Row],[CI_95perc_Conjunctive.Power]],2,FIND(",",Table1[[#This Row],[CI_95perc_Conjunctive.Power]])-2))</f>
        <v>0.94257999999999997</v>
      </c>
      <c r="BL52" s="10">
        <f>_xlfn.NUMBERVALUE(MID(Table1[[#This Row],[CI_95perc_Conjunctive.Power]],FIND(",",Table1[[#This Row],[CI_95perc_Conjunctive.Power]])+1,LEN(Table1[[#This Row],[CI_95perc_Conjunctive.Power]])-FIND(",",Table1[[#This Row],[CI_95perc_Conjunctive.Power]])-1))</f>
        <v>0.94886999999999999</v>
      </c>
      <c r="BM52" s="10">
        <f>_xlfn.NUMBERVALUE(MID(Table1[[#This Row],[CI_95perc_Disjunctive.Power]],2,FIND(",",Table1[[#This Row],[CI_95perc_Disjunctive.Power]])-2))</f>
        <v>0.99939</v>
      </c>
      <c r="BN52" s="10">
        <f>_xlfn.NUMBERVALUE(MID(Table1[[#This Row],[CI_95perc_Disjunctive.Power]],FIND(",",Table1[[#This Row],[CI_95perc_Disjunctive.Power]])+1,LEN(Table1[[#This Row],[CI_95perc_Disjunctive.Power]])-FIND(",",Table1[[#This Row],[CI_95perc_Disjunctive.Power]])-1))</f>
        <v>0.99990999999999997</v>
      </c>
      <c r="BO52" s="10">
        <f>_xlfn.NUMBERVALUE(MID(Table1[[#This Row],[CI_95perc_FWER]],2,FIND(",",Table1[[#This Row],[CI_95perc_FWER]])-2))</f>
        <v>2.188E-2</v>
      </c>
      <c r="BP52" s="10">
        <f>_xlfn.NUMBERVALUE(MID(Table1[[#This Row],[CI_95perc_FWER]],FIND(",",Table1[[#This Row],[CI_95perc_FWER]])+1,LEN(Table1[[#This Row],[CI_95perc_FWER]])-FIND(",",Table1[[#This Row],[CI_95perc_FWER]])-1))</f>
        <v>2.613E-2</v>
      </c>
      <c r="BQ52" s="10" t="str">
        <f>_xlfn.CONCAT("(",TEXT(Table1[[#This Row],[LCL_Disj.Pow%]],"0.00%"), ", ",TEXT(Table1[[#This Row],[UCL_Disj.Pow%]],"0.00%"),")")</f>
        <v>(99.94%, 99.99%)</v>
      </c>
      <c r="BR52" s="10" t="str">
        <f>_xlfn.CONCAT("(",TEXT(Table1[[#This Row],[LCL_Conj.Pow%]],"0.00%"),", ",TEXT(Table1[[#This Row],[UCL_Conj.Pow%]],"0.00%"),")")</f>
        <v>(94.26%, 94.89%)</v>
      </c>
      <c r="BS52" s="10" t="str">
        <f>_xlfn.CONCAT("(",TEXT(Table1[[#This Row],[LCL_FWER%]],"0.00%"),", ",TEXT(Table1[[#This Row],[UCL_FWER%]],"0.00%"),")")</f>
        <v>(2.19%, 2.61%)</v>
      </c>
    </row>
    <row r="53" spans="1:71" x14ac:dyDescent="0.25">
      <c r="A53">
        <v>51</v>
      </c>
      <c r="B53" t="s">
        <v>154</v>
      </c>
      <c r="C53">
        <v>2180</v>
      </c>
      <c r="D53">
        <v>0.99980440000000004</v>
      </c>
      <c r="E53">
        <v>0.96845729999999997</v>
      </c>
      <c r="F53">
        <v>0.99980440000000004</v>
      </c>
      <c r="G53">
        <v>2.4976600000000002E-2</v>
      </c>
      <c r="H53" t="s">
        <v>297</v>
      </c>
      <c r="I53" t="s">
        <v>298</v>
      </c>
      <c r="J53" t="s">
        <v>297</v>
      </c>
      <c r="K53" t="s">
        <v>299</v>
      </c>
      <c r="L53" s="1">
        <v>148905106</v>
      </c>
      <c r="M53" t="s">
        <v>300</v>
      </c>
      <c r="N53">
        <v>0.951737356384595</v>
      </c>
      <c r="O53" t="s">
        <v>85</v>
      </c>
      <c r="P53" t="s">
        <v>41</v>
      </c>
      <c r="Q53" s="2">
        <v>2000</v>
      </c>
      <c r="R53">
        <v>2.5000000000000001E-2</v>
      </c>
      <c r="S53" t="s">
        <v>42</v>
      </c>
      <c r="T53" t="s">
        <v>42</v>
      </c>
      <c r="U53" t="s">
        <v>43</v>
      </c>
      <c r="V53" s="2" t="s">
        <v>44</v>
      </c>
      <c r="W53">
        <v>5</v>
      </c>
      <c r="X53">
        <v>2</v>
      </c>
      <c r="Y53" s="2" t="s">
        <v>118</v>
      </c>
      <c r="Z53" s="2" t="s">
        <v>42</v>
      </c>
      <c r="AA53" s="2" t="s">
        <v>42</v>
      </c>
      <c r="AB53" s="2" t="s">
        <v>129</v>
      </c>
      <c r="AC53" t="s">
        <v>122</v>
      </c>
      <c r="AD53" t="s">
        <v>123</v>
      </c>
      <c r="AE53" t="s">
        <v>124</v>
      </c>
      <c r="AF53" t="s">
        <v>125</v>
      </c>
      <c r="AG53" t="s">
        <v>51</v>
      </c>
      <c r="AH53" t="s">
        <v>126</v>
      </c>
      <c r="AI53" t="s">
        <v>53</v>
      </c>
      <c r="AJ53" t="b">
        <v>1</v>
      </c>
      <c r="AK53" t="b">
        <v>1</v>
      </c>
      <c r="AL53">
        <v>1</v>
      </c>
      <c r="AM53">
        <v>1</v>
      </c>
      <c r="AN53" t="s">
        <v>56</v>
      </c>
      <c r="AO53" t="s">
        <v>57</v>
      </c>
      <c r="AP53">
        <v>0.75</v>
      </c>
      <c r="AQ53" t="b">
        <v>1</v>
      </c>
      <c r="AR53" t="s">
        <v>23</v>
      </c>
      <c r="AS53">
        <v>20000</v>
      </c>
      <c r="AT53">
        <v>500</v>
      </c>
      <c r="AU53" t="s">
        <v>121</v>
      </c>
      <c r="AV53" t="b">
        <v>0</v>
      </c>
      <c r="AW53" t="b">
        <v>0</v>
      </c>
      <c r="AX53" t="b">
        <v>1</v>
      </c>
      <c r="AY53" t="b">
        <v>0</v>
      </c>
      <c r="AZ53" t="b">
        <v>0</v>
      </c>
      <c r="BA53">
        <f>INDEX(Inp_CER_Bin_2eps3arms!$AN$2:$AN$176,MATCH(Table1[[#This Row],[ModelID]],Inp_CER_Bin_2eps3arms!$A$2:$A$176,0))</f>
        <v>0</v>
      </c>
      <c r="BB53" t="s">
        <v>42</v>
      </c>
      <c r="BC53" t="s">
        <v>619</v>
      </c>
      <c r="BD53" t="s">
        <v>631</v>
      </c>
      <c r="BE53" s="10">
        <f>Table1[[#This Row],[Global.Power]]</f>
        <v>0.99980440000000004</v>
      </c>
      <c r="BF53" s="10">
        <f>Table1[[#This Row],[Conjunctive.Power]]</f>
        <v>0.96845729999999997</v>
      </c>
      <c r="BG53" s="10">
        <f>Table1[[#This Row],[Disjunctive.Power]]</f>
        <v>0.99980440000000004</v>
      </c>
      <c r="BH53" s="10">
        <f>Table1[[#This Row],[FWER]]</f>
        <v>2.4976600000000002E-2</v>
      </c>
      <c r="BI53" s="10">
        <f>_xlfn.NUMBERVALUE(MID(Table1[[#This Row],[CI_95perc_Global.Power]],2,FIND(",",Table1[[#This Row],[CI_95perc_Global.Power]])-2))</f>
        <v>0.99978</v>
      </c>
      <c r="BJ53" s="10">
        <f>_xlfn.NUMBERVALUE(MID(Table1[[#This Row],[CI_95perc_Global.Power]],FIND(",",Table1[[#This Row],[CI_95perc_Global.Power]])+1,LEN(Table1[[#This Row],[CI_95perc_Global.Power]])-FIND(",",Table1[[#This Row],[CI_95perc_Global.Power]])-1))</f>
        <v>0.99983</v>
      </c>
      <c r="BK53" s="10">
        <f>_xlfn.NUMBERVALUE(MID(Table1[[#This Row],[CI_95perc_Conjunctive.Power]],2,FIND(",",Table1[[#This Row],[CI_95perc_Conjunctive.Power]])-2))</f>
        <v>0.96760000000000002</v>
      </c>
      <c r="BL53" s="10">
        <f>_xlfn.NUMBERVALUE(MID(Table1[[#This Row],[CI_95perc_Conjunctive.Power]],FIND(",",Table1[[#This Row],[CI_95perc_Conjunctive.Power]])+1,LEN(Table1[[#This Row],[CI_95perc_Conjunctive.Power]])-FIND(",",Table1[[#This Row],[CI_95perc_Conjunctive.Power]])-1))</f>
        <v>0.96931999999999996</v>
      </c>
      <c r="BM53" s="10">
        <f>_xlfn.NUMBERVALUE(MID(Table1[[#This Row],[CI_95perc_Disjunctive.Power]],2,FIND(",",Table1[[#This Row],[CI_95perc_Disjunctive.Power]])-2))</f>
        <v>0.99978</v>
      </c>
      <c r="BN53" s="10">
        <f>_xlfn.NUMBERVALUE(MID(Table1[[#This Row],[CI_95perc_Disjunctive.Power]],FIND(",",Table1[[#This Row],[CI_95perc_Disjunctive.Power]])+1,LEN(Table1[[#This Row],[CI_95perc_Disjunctive.Power]])-FIND(",",Table1[[#This Row],[CI_95perc_Disjunctive.Power]])-1))</f>
        <v>0.99983</v>
      </c>
      <c r="BO53" s="10">
        <f>_xlfn.NUMBERVALUE(MID(Table1[[#This Row],[CI_95perc_FWER]],2,FIND(",",Table1[[#This Row],[CI_95perc_FWER]])-2))</f>
        <v>2.4070000000000001E-2</v>
      </c>
      <c r="BP53" s="10">
        <f>_xlfn.NUMBERVALUE(MID(Table1[[#This Row],[CI_95perc_FWER]],FIND(",",Table1[[#This Row],[CI_95perc_FWER]])+1,LEN(Table1[[#This Row],[CI_95perc_FWER]])-FIND(",",Table1[[#This Row],[CI_95perc_FWER]])-1))</f>
        <v>2.588E-2</v>
      </c>
      <c r="BQ53" s="10" t="str">
        <f>_xlfn.CONCAT("(",TEXT(Table1[[#This Row],[LCL_Disj.Pow%]],"0.00%"), ", ",TEXT(Table1[[#This Row],[UCL_Disj.Pow%]],"0.00%"),")")</f>
        <v>(99.98%, 99.98%)</v>
      </c>
      <c r="BR53" s="10" t="str">
        <f>_xlfn.CONCAT("(",TEXT(Table1[[#This Row],[LCL_Conj.Pow%]],"0.00%"),", ",TEXT(Table1[[#This Row],[UCL_Conj.Pow%]],"0.00%"),")")</f>
        <v>(96.76%, 96.93%)</v>
      </c>
      <c r="BS53" s="10" t="str">
        <f>_xlfn.CONCAT("(",TEXT(Table1[[#This Row],[LCL_FWER%]],"0.00%"),", ",TEXT(Table1[[#This Row],[UCL_FWER%]],"0.00%"),")")</f>
        <v>(2.41%, 2.59%)</v>
      </c>
    </row>
    <row r="54" spans="1:71" x14ac:dyDescent="0.25">
      <c r="A54">
        <v>52</v>
      </c>
      <c r="B54" t="s">
        <v>155</v>
      </c>
      <c r="C54">
        <v>5355</v>
      </c>
      <c r="D54">
        <v>0.99969953427813096</v>
      </c>
      <c r="E54">
        <v>0.95608192698683003</v>
      </c>
      <c r="F54">
        <v>0.99969953427813096</v>
      </c>
      <c r="G54">
        <v>2.27352396214132E-2</v>
      </c>
      <c r="H54" t="s">
        <v>268</v>
      </c>
      <c r="I54" t="s">
        <v>301</v>
      </c>
      <c r="J54" t="s">
        <v>268</v>
      </c>
      <c r="K54" t="s">
        <v>302</v>
      </c>
      <c r="L54" s="1">
        <v>147715192</v>
      </c>
      <c r="M54" t="s">
        <v>303</v>
      </c>
      <c r="N54">
        <v>7.5564260217878598E-2</v>
      </c>
      <c r="O54" t="s">
        <v>85</v>
      </c>
      <c r="P54" t="s">
        <v>117</v>
      </c>
      <c r="Q54" s="2">
        <v>2000</v>
      </c>
      <c r="R54">
        <v>2.5000000000000001E-2</v>
      </c>
      <c r="S54" t="s">
        <v>42</v>
      </c>
      <c r="T54" t="s">
        <v>42</v>
      </c>
      <c r="U54" t="s">
        <v>43</v>
      </c>
      <c r="V54" s="2" t="s">
        <v>44</v>
      </c>
      <c r="W54">
        <v>5</v>
      </c>
      <c r="X54">
        <v>2</v>
      </c>
      <c r="Y54" s="2" t="s">
        <v>118</v>
      </c>
      <c r="Z54" s="2" t="s">
        <v>42</v>
      </c>
      <c r="AA54" s="2" t="s">
        <v>42</v>
      </c>
      <c r="AB54" s="2" t="s">
        <v>129</v>
      </c>
      <c r="AC54" t="s">
        <v>122</v>
      </c>
      <c r="AD54" t="s">
        <v>123</v>
      </c>
      <c r="AE54" t="s">
        <v>124</v>
      </c>
      <c r="AF54" t="s">
        <v>125</v>
      </c>
      <c r="AG54" t="s">
        <v>51</v>
      </c>
      <c r="AH54" t="s">
        <v>126</v>
      </c>
      <c r="AI54" t="s">
        <v>53</v>
      </c>
      <c r="AJ54" t="b">
        <v>1</v>
      </c>
      <c r="AK54" t="b">
        <v>1</v>
      </c>
      <c r="AL54">
        <v>1</v>
      </c>
      <c r="AM54">
        <v>1</v>
      </c>
      <c r="AN54" t="s">
        <v>56</v>
      </c>
      <c r="AO54" t="s">
        <v>57</v>
      </c>
      <c r="AP54">
        <v>0.5</v>
      </c>
      <c r="AQ54" t="b">
        <v>1</v>
      </c>
      <c r="AR54" t="s">
        <v>23</v>
      </c>
      <c r="AS54">
        <v>20000</v>
      </c>
      <c r="AT54">
        <v>500</v>
      </c>
      <c r="AU54" t="s">
        <v>121</v>
      </c>
      <c r="AV54" t="b">
        <v>0</v>
      </c>
      <c r="AW54" t="b">
        <v>0</v>
      </c>
      <c r="AX54" t="b">
        <v>1</v>
      </c>
      <c r="AY54" t="b">
        <v>0</v>
      </c>
      <c r="AZ54" t="b">
        <v>0</v>
      </c>
      <c r="BA54">
        <f>INDEX(Inp_CER_Bin_2eps3arms!$AN$2:$AN$176,MATCH(Table1[[#This Row],[ModelID]],Inp_CER_Bin_2eps3arms!$A$2:$A$176,0))</f>
        <v>0</v>
      </c>
      <c r="BB54" t="s">
        <v>42</v>
      </c>
      <c r="BC54" t="s">
        <v>622</v>
      </c>
      <c r="BD54" t="s">
        <v>631</v>
      </c>
      <c r="BE54" s="10">
        <f>Table1[[#This Row],[Global.Power]]</f>
        <v>0.99969953427813096</v>
      </c>
      <c r="BF54" s="10">
        <f>Table1[[#This Row],[Conjunctive.Power]]</f>
        <v>0.95608192698683003</v>
      </c>
      <c r="BG54" s="10">
        <f>Table1[[#This Row],[Disjunctive.Power]]</f>
        <v>0.99969953427813096</v>
      </c>
      <c r="BH54" s="10">
        <f>Table1[[#This Row],[FWER]]</f>
        <v>2.27352396214132E-2</v>
      </c>
      <c r="BI54" s="10">
        <f>_xlfn.NUMBERVALUE(MID(Table1[[#This Row],[CI_95perc_Global.Power]],2,FIND(",",Table1[[#This Row],[CI_95perc_Global.Power]])-2))</f>
        <v>0.99946000000000002</v>
      </c>
      <c r="BJ54" s="10">
        <f>_xlfn.NUMBERVALUE(MID(Table1[[#This Row],[CI_95perc_Global.Power]],FIND(",",Table1[[#This Row],[CI_95perc_Global.Power]])+1,LEN(Table1[[#This Row],[CI_95perc_Global.Power]])-FIND(",",Table1[[#This Row],[CI_95perc_Global.Power]])-1))</f>
        <v>0.99994000000000005</v>
      </c>
      <c r="BK54" s="10">
        <f>_xlfn.NUMBERVALUE(MID(Table1[[#This Row],[CI_95perc_Conjunctive.Power]],2,FIND(",",Table1[[#This Row],[CI_95perc_Conjunctive.Power]])-2))</f>
        <v>0.95323999999999998</v>
      </c>
      <c r="BL54" s="10">
        <f>_xlfn.NUMBERVALUE(MID(Table1[[#This Row],[CI_95perc_Conjunctive.Power]],FIND(",",Table1[[#This Row],[CI_95perc_Conjunctive.Power]])+1,LEN(Table1[[#This Row],[CI_95perc_Conjunctive.Power]])-FIND(",",Table1[[#This Row],[CI_95perc_Conjunctive.Power]])-1))</f>
        <v>0.95891999999999999</v>
      </c>
      <c r="BM54" s="10">
        <f>_xlfn.NUMBERVALUE(MID(Table1[[#This Row],[CI_95perc_Disjunctive.Power]],2,FIND(",",Table1[[#This Row],[CI_95perc_Disjunctive.Power]])-2))</f>
        <v>0.99946000000000002</v>
      </c>
      <c r="BN54" s="10">
        <f>_xlfn.NUMBERVALUE(MID(Table1[[#This Row],[CI_95perc_Disjunctive.Power]],FIND(",",Table1[[#This Row],[CI_95perc_Disjunctive.Power]])+1,LEN(Table1[[#This Row],[CI_95perc_Disjunctive.Power]])-FIND(",",Table1[[#This Row],[CI_95perc_Disjunctive.Power]])-1))</f>
        <v>0.99994000000000005</v>
      </c>
      <c r="BO54" s="10">
        <f>_xlfn.NUMBERVALUE(MID(Table1[[#This Row],[CI_95perc_FWER]],2,FIND(",",Table1[[#This Row],[CI_95perc_FWER]])-2))</f>
        <v>2.0670000000000001E-2</v>
      </c>
      <c r="BP54" s="10">
        <f>_xlfn.NUMBERVALUE(MID(Table1[[#This Row],[CI_95perc_FWER]],FIND(",",Table1[[#This Row],[CI_95perc_FWER]])+1,LEN(Table1[[#This Row],[CI_95perc_FWER]])-FIND(",",Table1[[#This Row],[CI_95perc_FWER]])-1))</f>
        <v>2.4799999999999999E-2</v>
      </c>
      <c r="BQ54" s="10" t="str">
        <f>_xlfn.CONCAT("(",TEXT(Table1[[#This Row],[LCL_Disj.Pow%]],"0.00%"), ", ",TEXT(Table1[[#This Row],[UCL_Disj.Pow%]],"0.00%"),")")</f>
        <v>(99.95%, 99.99%)</v>
      </c>
      <c r="BR54" s="10" t="str">
        <f>_xlfn.CONCAT("(",TEXT(Table1[[#This Row],[LCL_Conj.Pow%]],"0.00%"),", ",TEXT(Table1[[#This Row],[UCL_Conj.Pow%]],"0.00%"),")")</f>
        <v>(95.32%, 95.89%)</v>
      </c>
      <c r="BS54" s="10" t="str">
        <f>_xlfn.CONCAT("(",TEXT(Table1[[#This Row],[LCL_FWER%]],"0.00%"),", ",TEXT(Table1[[#This Row],[UCL_FWER%]],"0.00%"),")")</f>
        <v>(2.07%, 2.48%)</v>
      </c>
    </row>
    <row r="55" spans="1:71" x14ac:dyDescent="0.25">
      <c r="A55">
        <v>53</v>
      </c>
      <c r="B55" t="s">
        <v>156</v>
      </c>
      <c r="C55">
        <v>5870</v>
      </c>
      <c r="D55">
        <v>0.99985380000000001</v>
      </c>
      <c r="E55">
        <v>0.9731301</v>
      </c>
      <c r="F55">
        <v>0.99985380000000001</v>
      </c>
      <c r="G55">
        <v>2.4628400000000002E-2</v>
      </c>
      <c r="H55" t="s">
        <v>304</v>
      </c>
      <c r="I55" t="s">
        <v>305</v>
      </c>
      <c r="J55" t="s">
        <v>304</v>
      </c>
      <c r="K55" t="s">
        <v>306</v>
      </c>
      <c r="L55" s="1">
        <v>148275168</v>
      </c>
      <c r="M55" t="s">
        <v>307</v>
      </c>
      <c r="N55">
        <v>0.89403144333097695</v>
      </c>
      <c r="O55" t="s">
        <v>85</v>
      </c>
      <c r="P55" t="s">
        <v>41</v>
      </c>
      <c r="Q55" s="2">
        <v>2000</v>
      </c>
      <c r="R55">
        <v>2.5000000000000001E-2</v>
      </c>
      <c r="S55" t="s">
        <v>42</v>
      </c>
      <c r="T55" t="s">
        <v>42</v>
      </c>
      <c r="U55" t="s">
        <v>43</v>
      </c>
      <c r="V55" s="2" t="s">
        <v>44</v>
      </c>
      <c r="W55">
        <v>5</v>
      </c>
      <c r="X55">
        <v>2</v>
      </c>
      <c r="Y55" s="2" t="s">
        <v>118</v>
      </c>
      <c r="Z55" s="2" t="s">
        <v>42</v>
      </c>
      <c r="AA55" s="2" t="s">
        <v>42</v>
      </c>
      <c r="AB55" s="2" t="s">
        <v>129</v>
      </c>
      <c r="AC55" t="s">
        <v>122</v>
      </c>
      <c r="AD55" t="s">
        <v>123</v>
      </c>
      <c r="AE55" t="s">
        <v>124</v>
      </c>
      <c r="AF55" t="s">
        <v>125</v>
      </c>
      <c r="AG55" t="s">
        <v>51</v>
      </c>
      <c r="AH55" t="s">
        <v>126</v>
      </c>
      <c r="AI55" t="s">
        <v>53</v>
      </c>
      <c r="AJ55" t="b">
        <v>1</v>
      </c>
      <c r="AK55" t="b">
        <v>1</v>
      </c>
      <c r="AL55">
        <v>1</v>
      </c>
      <c r="AM55">
        <v>1</v>
      </c>
      <c r="AN55" t="s">
        <v>56</v>
      </c>
      <c r="AO55" t="s">
        <v>57</v>
      </c>
      <c r="AP55">
        <v>0.5</v>
      </c>
      <c r="AQ55" t="b">
        <v>1</v>
      </c>
      <c r="AR55" t="s">
        <v>23</v>
      </c>
      <c r="AS55">
        <v>20000</v>
      </c>
      <c r="AT55">
        <v>500</v>
      </c>
      <c r="AU55" t="s">
        <v>121</v>
      </c>
      <c r="AV55" t="b">
        <v>0</v>
      </c>
      <c r="AW55" t="b">
        <v>0</v>
      </c>
      <c r="AX55" t="b">
        <v>1</v>
      </c>
      <c r="AY55" t="b">
        <v>0</v>
      </c>
      <c r="AZ55" t="b">
        <v>0</v>
      </c>
      <c r="BA55">
        <f>INDEX(Inp_CER_Bin_2eps3arms!$AN$2:$AN$176,MATCH(Table1[[#This Row],[ModelID]],Inp_CER_Bin_2eps3arms!$A$2:$A$176,0))</f>
        <v>0</v>
      </c>
      <c r="BB55" t="s">
        <v>42</v>
      </c>
      <c r="BC55" t="s">
        <v>622</v>
      </c>
      <c r="BD55" t="s">
        <v>631</v>
      </c>
      <c r="BE55" s="10">
        <f>Table1[[#This Row],[Global.Power]]</f>
        <v>0.99985380000000001</v>
      </c>
      <c r="BF55" s="10">
        <f>Table1[[#This Row],[Conjunctive.Power]]</f>
        <v>0.9731301</v>
      </c>
      <c r="BG55" s="10">
        <f>Table1[[#This Row],[Disjunctive.Power]]</f>
        <v>0.99985380000000001</v>
      </c>
      <c r="BH55" s="10">
        <f>Table1[[#This Row],[FWER]]</f>
        <v>2.4628400000000002E-2</v>
      </c>
      <c r="BI55" s="10">
        <f>_xlfn.NUMBERVALUE(MID(Table1[[#This Row],[CI_95perc_Global.Power]],2,FIND(",",Table1[[#This Row],[CI_95perc_Global.Power]])-2))</f>
        <v>0.99983</v>
      </c>
      <c r="BJ55" s="10">
        <f>_xlfn.NUMBERVALUE(MID(Table1[[#This Row],[CI_95perc_Global.Power]],FIND(",",Table1[[#This Row],[CI_95perc_Global.Power]])+1,LEN(Table1[[#This Row],[CI_95perc_Global.Power]])-FIND(",",Table1[[#This Row],[CI_95perc_Global.Power]])-1))</f>
        <v>0.99987999999999999</v>
      </c>
      <c r="BK55" s="10">
        <f>_xlfn.NUMBERVALUE(MID(Table1[[#This Row],[CI_95perc_Conjunctive.Power]],2,FIND(",",Table1[[#This Row],[CI_95perc_Conjunctive.Power]])-2))</f>
        <v>0.97226000000000001</v>
      </c>
      <c r="BL55" s="10">
        <f>_xlfn.NUMBERVALUE(MID(Table1[[#This Row],[CI_95perc_Conjunctive.Power]],FIND(",",Table1[[#This Row],[CI_95perc_Conjunctive.Power]])+1,LEN(Table1[[#This Row],[CI_95perc_Conjunctive.Power]])-FIND(",",Table1[[#This Row],[CI_95perc_Conjunctive.Power]])-1))</f>
        <v>0.97399999999999998</v>
      </c>
      <c r="BM55" s="10">
        <f>_xlfn.NUMBERVALUE(MID(Table1[[#This Row],[CI_95perc_Disjunctive.Power]],2,FIND(",",Table1[[#This Row],[CI_95perc_Disjunctive.Power]])-2))</f>
        <v>0.99983</v>
      </c>
      <c r="BN55" s="10">
        <f>_xlfn.NUMBERVALUE(MID(Table1[[#This Row],[CI_95perc_Disjunctive.Power]],FIND(",",Table1[[#This Row],[CI_95perc_Disjunctive.Power]])+1,LEN(Table1[[#This Row],[CI_95perc_Disjunctive.Power]])-FIND(",",Table1[[#This Row],[CI_95perc_Disjunctive.Power]])-1))</f>
        <v>0.99987999999999999</v>
      </c>
      <c r="BO55" s="10">
        <f>_xlfn.NUMBERVALUE(MID(Table1[[#This Row],[CI_95perc_FWER]],2,FIND(",",Table1[[#This Row],[CI_95perc_FWER]])-2))</f>
        <v>2.375E-2</v>
      </c>
      <c r="BP55" s="10">
        <f>_xlfn.NUMBERVALUE(MID(Table1[[#This Row],[CI_95perc_FWER]],FIND(",",Table1[[#This Row],[CI_95perc_FWER]])+1,LEN(Table1[[#This Row],[CI_95perc_FWER]])-FIND(",",Table1[[#This Row],[CI_95perc_FWER]])-1))</f>
        <v>2.5510000000000001E-2</v>
      </c>
      <c r="BQ55" s="10" t="str">
        <f>_xlfn.CONCAT("(",TEXT(Table1[[#This Row],[LCL_Disj.Pow%]],"0.00%"), ", ",TEXT(Table1[[#This Row],[UCL_Disj.Pow%]],"0.00%"),")")</f>
        <v>(99.98%, 99.99%)</v>
      </c>
      <c r="BR55" s="10" t="str">
        <f>_xlfn.CONCAT("(",TEXT(Table1[[#This Row],[LCL_Conj.Pow%]],"0.00%"),", ",TEXT(Table1[[#This Row],[UCL_Conj.Pow%]],"0.00%"),")")</f>
        <v>(97.23%, 97.40%)</v>
      </c>
      <c r="BS55" s="10" t="str">
        <f>_xlfn.CONCAT("(",TEXT(Table1[[#This Row],[LCL_FWER%]],"0.00%"),", ",TEXT(Table1[[#This Row],[UCL_FWER%]],"0.00%"),")")</f>
        <v>(2.38%, 2.55%)</v>
      </c>
    </row>
    <row r="56" spans="1:71" x14ac:dyDescent="0.25">
      <c r="A56">
        <v>54</v>
      </c>
      <c r="B56" t="s">
        <v>157</v>
      </c>
      <c r="C56">
        <v>296</v>
      </c>
      <c r="D56">
        <v>0.99984985736449605</v>
      </c>
      <c r="E56">
        <v>0.96441619538561596</v>
      </c>
      <c r="F56">
        <v>0.99984985736449605</v>
      </c>
      <c r="G56">
        <v>2.1120064060857799E-2</v>
      </c>
      <c r="H56" t="s">
        <v>308</v>
      </c>
      <c r="I56" t="s">
        <v>309</v>
      </c>
      <c r="J56" t="s">
        <v>308</v>
      </c>
      <c r="K56" t="s">
        <v>310</v>
      </c>
      <c r="L56" s="1">
        <v>147735205</v>
      </c>
      <c r="M56" t="s">
        <v>311</v>
      </c>
      <c r="N56">
        <v>7.5946622225973301E-2</v>
      </c>
      <c r="O56" t="s">
        <v>85</v>
      </c>
      <c r="P56" t="s">
        <v>117</v>
      </c>
      <c r="Q56" s="2">
        <v>2000</v>
      </c>
      <c r="R56">
        <v>2.5000000000000001E-2</v>
      </c>
      <c r="S56" t="s">
        <v>42</v>
      </c>
      <c r="T56" t="s">
        <v>42</v>
      </c>
      <c r="U56" t="s">
        <v>43</v>
      </c>
      <c r="V56" s="2" t="s">
        <v>44</v>
      </c>
      <c r="W56">
        <v>5</v>
      </c>
      <c r="X56">
        <v>2</v>
      </c>
      <c r="Y56" s="2" t="s">
        <v>118</v>
      </c>
      <c r="Z56" s="2" t="s">
        <v>42</v>
      </c>
      <c r="AA56" s="2" t="s">
        <v>42</v>
      </c>
      <c r="AB56" s="2" t="s">
        <v>129</v>
      </c>
      <c r="AC56" t="s">
        <v>122</v>
      </c>
      <c r="AD56" t="s">
        <v>123</v>
      </c>
      <c r="AE56" t="s">
        <v>124</v>
      </c>
      <c r="AF56" t="s">
        <v>125</v>
      </c>
      <c r="AG56" t="s">
        <v>51</v>
      </c>
      <c r="AH56" t="s">
        <v>126</v>
      </c>
      <c r="AI56" t="s">
        <v>53</v>
      </c>
      <c r="AJ56" t="b">
        <v>1</v>
      </c>
      <c r="AK56" t="b">
        <v>1</v>
      </c>
      <c r="AL56">
        <v>1</v>
      </c>
      <c r="AM56">
        <v>1</v>
      </c>
      <c r="AN56" t="s">
        <v>56</v>
      </c>
      <c r="AO56" t="s">
        <v>57</v>
      </c>
      <c r="AP56">
        <v>0.25</v>
      </c>
      <c r="AQ56" t="b">
        <v>1</v>
      </c>
      <c r="AR56" t="s">
        <v>23</v>
      </c>
      <c r="AS56">
        <v>20000</v>
      </c>
      <c r="AT56">
        <v>500</v>
      </c>
      <c r="AU56" t="s">
        <v>121</v>
      </c>
      <c r="AV56" t="b">
        <v>0</v>
      </c>
      <c r="AW56" t="b">
        <v>0</v>
      </c>
      <c r="AX56" t="b">
        <v>1</v>
      </c>
      <c r="AY56" t="b">
        <v>0</v>
      </c>
      <c r="AZ56" t="b">
        <v>0</v>
      </c>
      <c r="BA56">
        <f>INDEX(Inp_CER_Bin_2eps3arms!$AN$2:$AN$176,MATCH(Table1[[#This Row],[ModelID]],Inp_CER_Bin_2eps3arms!$A$2:$A$176,0))</f>
        <v>0</v>
      </c>
      <c r="BB56" t="s">
        <v>42</v>
      </c>
      <c r="BC56" t="s">
        <v>621</v>
      </c>
      <c r="BD56" t="s">
        <v>631</v>
      </c>
      <c r="BE56" s="10">
        <f>Table1[[#This Row],[Global.Power]]</f>
        <v>0.99984985736449605</v>
      </c>
      <c r="BF56" s="10">
        <f>Table1[[#This Row],[Conjunctive.Power]]</f>
        <v>0.96441619538561596</v>
      </c>
      <c r="BG56" s="10">
        <f>Table1[[#This Row],[Disjunctive.Power]]</f>
        <v>0.99984985736449605</v>
      </c>
      <c r="BH56" s="10">
        <f>Table1[[#This Row],[FWER]]</f>
        <v>2.1120064060857799E-2</v>
      </c>
      <c r="BI56" s="10">
        <f>_xlfn.NUMBERVALUE(MID(Table1[[#This Row],[CI_95perc_Global.Power]],2,FIND(",",Table1[[#This Row],[CI_95perc_Global.Power]])-2))</f>
        <v>0.99968000000000001</v>
      </c>
      <c r="BJ56" s="10">
        <f>_xlfn.NUMBERVALUE(MID(Table1[[#This Row],[CI_95perc_Global.Power]],FIND(",",Table1[[#This Row],[CI_95perc_Global.Power]])+1,LEN(Table1[[#This Row],[CI_95perc_Global.Power]])-FIND(",",Table1[[#This Row],[CI_95perc_Global.Power]])-1))</f>
        <v>1</v>
      </c>
      <c r="BK56" s="10">
        <f>_xlfn.NUMBERVALUE(MID(Table1[[#This Row],[CI_95perc_Conjunctive.Power]],2,FIND(",",Table1[[#This Row],[CI_95perc_Conjunctive.Power]])-2))</f>
        <v>0.96184999999999998</v>
      </c>
      <c r="BL56" s="10">
        <f>_xlfn.NUMBERVALUE(MID(Table1[[#This Row],[CI_95perc_Conjunctive.Power]],FIND(",",Table1[[#This Row],[CI_95perc_Conjunctive.Power]])+1,LEN(Table1[[#This Row],[CI_95perc_Conjunctive.Power]])-FIND(",",Table1[[#This Row],[CI_95perc_Conjunctive.Power]])-1))</f>
        <v>0.96697999999999995</v>
      </c>
      <c r="BM56" s="10">
        <f>_xlfn.NUMBERVALUE(MID(Table1[[#This Row],[CI_95perc_Disjunctive.Power]],2,FIND(",",Table1[[#This Row],[CI_95perc_Disjunctive.Power]])-2))</f>
        <v>0.99968000000000001</v>
      </c>
      <c r="BN56" s="10">
        <f>_xlfn.NUMBERVALUE(MID(Table1[[#This Row],[CI_95perc_Disjunctive.Power]],FIND(",",Table1[[#This Row],[CI_95perc_Disjunctive.Power]])+1,LEN(Table1[[#This Row],[CI_95perc_Disjunctive.Power]])-FIND(",",Table1[[#This Row],[CI_95perc_Disjunctive.Power]])-1))</f>
        <v>1</v>
      </c>
      <c r="BO56" s="10">
        <f>_xlfn.NUMBERVALUE(MID(Table1[[#This Row],[CI_95perc_FWER]],2,FIND(",",Table1[[#This Row],[CI_95perc_FWER]])-2))</f>
        <v>1.9130000000000001E-2</v>
      </c>
      <c r="BP56" s="10">
        <f>_xlfn.NUMBERVALUE(MID(Table1[[#This Row],[CI_95perc_FWER]],FIND(",",Table1[[#This Row],[CI_95perc_FWER]])+1,LEN(Table1[[#This Row],[CI_95perc_FWER]])-FIND(",",Table1[[#This Row],[CI_95perc_FWER]])-1))</f>
        <v>2.3109999999999999E-2</v>
      </c>
      <c r="BQ56" s="10" t="str">
        <f>_xlfn.CONCAT("(",TEXT(Table1[[#This Row],[LCL_Disj.Pow%]],"0.00%"), ", ",TEXT(Table1[[#This Row],[UCL_Disj.Pow%]],"0.00%"),")")</f>
        <v>(99.97%, 100.00%)</v>
      </c>
      <c r="BR56" s="10" t="str">
        <f>_xlfn.CONCAT("(",TEXT(Table1[[#This Row],[LCL_Conj.Pow%]],"0.00%"),", ",TEXT(Table1[[#This Row],[UCL_Conj.Pow%]],"0.00%"),")")</f>
        <v>(96.19%, 96.70%)</v>
      </c>
      <c r="BS56" s="10" t="str">
        <f>_xlfn.CONCAT("(",TEXT(Table1[[#This Row],[LCL_FWER%]],"0.00%"),", ",TEXT(Table1[[#This Row],[UCL_FWER%]],"0.00%"),")")</f>
        <v>(1.91%, 2.31%)</v>
      </c>
    </row>
    <row r="57" spans="1:71" x14ac:dyDescent="0.25">
      <c r="A57">
        <v>55</v>
      </c>
      <c r="B57" t="s">
        <v>158</v>
      </c>
      <c r="C57">
        <v>9299</v>
      </c>
      <c r="D57">
        <v>0.99986779999999997</v>
      </c>
      <c r="E57">
        <v>0.9716148</v>
      </c>
      <c r="F57">
        <v>0.99986779999999997</v>
      </c>
      <c r="G57">
        <v>2.2990199999999999E-2</v>
      </c>
      <c r="H57" t="s">
        <v>312</v>
      </c>
      <c r="I57" t="s">
        <v>313</v>
      </c>
      <c r="J57" t="s">
        <v>312</v>
      </c>
      <c r="K57" t="s">
        <v>314</v>
      </c>
      <c r="L57" s="1">
        <v>147255272</v>
      </c>
      <c r="M57" t="s">
        <v>315</v>
      </c>
      <c r="N57">
        <v>0.85344227141804196</v>
      </c>
      <c r="O57" t="s">
        <v>85</v>
      </c>
      <c r="P57" t="s">
        <v>41</v>
      </c>
      <c r="Q57" s="2">
        <v>2000</v>
      </c>
      <c r="R57">
        <v>2.5000000000000001E-2</v>
      </c>
      <c r="S57" t="s">
        <v>42</v>
      </c>
      <c r="T57" t="s">
        <v>42</v>
      </c>
      <c r="U57" t="s">
        <v>43</v>
      </c>
      <c r="V57" s="2" t="s">
        <v>44</v>
      </c>
      <c r="W57">
        <v>5</v>
      </c>
      <c r="X57">
        <v>2</v>
      </c>
      <c r="Y57" s="2" t="s">
        <v>118</v>
      </c>
      <c r="Z57" s="2" t="s">
        <v>42</v>
      </c>
      <c r="AA57" s="2" t="s">
        <v>42</v>
      </c>
      <c r="AB57" s="2" t="s">
        <v>129</v>
      </c>
      <c r="AC57" t="s">
        <v>122</v>
      </c>
      <c r="AD57" t="s">
        <v>123</v>
      </c>
      <c r="AE57" t="s">
        <v>124</v>
      </c>
      <c r="AF57" t="s">
        <v>125</v>
      </c>
      <c r="AG57" t="s">
        <v>51</v>
      </c>
      <c r="AH57" t="s">
        <v>126</v>
      </c>
      <c r="AI57" t="s">
        <v>53</v>
      </c>
      <c r="AJ57" t="b">
        <v>1</v>
      </c>
      <c r="AK57" t="b">
        <v>1</v>
      </c>
      <c r="AL57">
        <v>1</v>
      </c>
      <c r="AM57">
        <v>1</v>
      </c>
      <c r="AN57" t="s">
        <v>56</v>
      </c>
      <c r="AO57" t="s">
        <v>57</v>
      </c>
      <c r="AP57">
        <v>0.25</v>
      </c>
      <c r="AQ57" t="b">
        <v>1</v>
      </c>
      <c r="AR57" t="s">
        <v>23</v>
      </c>
      <c r="AS57">
        <v>20000</v>
      </c>
      <c r="AT57">
        <v>500</v>
      </c>
      <c r="AU57" t="s">
        <v>121</v>
      </c>
      <c r="AV57" t="b">
        <v>0</v>
      </c>
      <c r="AW57" t="b">
        <v>0</v>
      </c>
      <c r="AX57" t="b">
        <v>1</v>
      </c>
      <c r="AY57" t="b">
        <v>0</v>
      </c>
      <c r="AZ57" t="b">
        <v>0</v>
      </c>
      <c r="BA57">
        <f>INDEX(Inp_CER_Bin_2eps3arms!$AN$2:$AN$176,MATCH(Table1[[#This Row],[ModelID]],Inp_CER_Bin_2eps3arms!$A$2:$A$176,0))</f>
        <v>0</v>
      </c>
      <c r="BB57" t="s">
        <v>42</v>
      </c>
      <c r="BC57" t="s">
        <v>621</v>
      </c>
      <c r="BD57" t="s">
        <v>631</v>
      </c>
      <c r="BE57" s="10">
        <f>Table1[[#This Row],[Global.Power]]</f>
        <v>0.99986779999999997</v>
      </c>
      <c r="BF57" s="10">
        <f>Table1[[#This Row],[Conjunctive.Power]]</f>
        <v>0.9716148</v>
      </c>
      <c r="BG57" s="10">
        <f>Table1[[#This Row],[Disjunctive.Power]]</f>
        <v>0.99986779999999997</v>
      </c>
      <c r="BH57" s="10">
        <f>Table1[[#This Row],[FWER]]</f>
        <v>2.2990199999999999E-2</v>
      </c>
      <c r="BI57" s="10">
        <f>_xlfn.NUMBERVALUE(MID(Table1[[#This Row],[CI_95perc_Global.Power]],2,FIND(",",Table1[[#This Row],[CI_95perc_Global.Power]])-2))</f>
        <v>0.99977000000000005</v>
      </c>
      <c r="BJ57" s="10">
        <f>_xlfn.NUMBERVALUE(MID(Table1[[#This Row],[CI_95perc_Global.Power]],FIND(",",Table1[[#This Row],[CI_95perc_Global.Power]])+1,LEN(Table1[[#This Row],[CI_95perc_Global.Power]])-FIND(",",Table1[[#This Row],[CI_95perc_Global.Power]])-1))</f>
        <v>0.99997000000000003</v>
      </c>
      <c r="BK57" s="10">
        <f>_xlfn.NUMBERVALUE(MID(Table1[[#This Row],[CI_95perc_Conjunctive.Power]],2,FIND(",",Table1[[#This Row],[CI_95perc_Conjunctive.Power]])-2))</f>
        <v>0.97014</v>
      </c>
      <c r="BL57" s="10">
        <f>_xlfn.NUMBERVALUE(MID(Table1[[#This Row],[CI_95perc_Conjunctive.Power]],FIND(",",Table1[[#This Row],[CI_95perc_Conjunctive.Power]])+1,LEN(Table1[[#This Row],[CI_95perc_Conjunctive.Power]])-FIND(",",Table1[[#This Row],[CI_95perc_Conjunctive.Power]])-1))</f>
        <v>0.97309000000000001</v>
      </c>
      <c r="BM57" s="10">
        <f>_xlfn.NUMBERVALUE(MID(Table1[[#This Row],[CI_95perc_Disjunctive.Power]],2,FIND(",",Table1[[#This Row],[CI_95perc_Disjunctive.Power]])-2))</f>
        <v>0.99977000000000005</v>
      </c>
      <c r="BN57" s="10">
        <f>_xlfn.NUMBERVALUE(MID(Table1[[#This Row],[CI_95perc_Disjunctive.Power]],FIND(",",Table1[[#This Row],[CI_95perc_Disjunctive.Power]])+1,LEN(Table1[[#This Row],[CI_95perc_Disjunctive.Power]])-FIND(",",Table1[[#This Row],[CI_95perc_Disjunctive.Power]])-1))</f>
        <v>0.99997000000000003</v>
      </c>
      <c r="BO57" s="10">
        <f>_xlfn.NUMBERVALUE(MID(Table1[[#This Row],[CI_95perc_FWER]],2,FIND(",",Table1[[#This Row],[CI_95perc_FWER]])-2))</f>
        <v>2.2069999999999999E-2</v>
      </c>
      <c r="BP57" s="10">
        <f>_xlfn.NUMBERVALUE(MID(Table1[[#This Row],[CI_95perc_FWER]],FIND(",",Table1[[#This Row],[CI_95perc_FWER]])+1,LEN(Table1[[#This Row],[CI_95perc_FWER]])-FIND(",",Table1[[#This Row],[CI_95perc_FWER]])-1))</f>
        <v>2.3910000000000001E-2</v>
      </c>
      <c r="BQ57" s="10" t="str">
        <f>_xlfn.CONCAT("(",TEXT(Table1[[#This Row],[LCL_Disj.Pow%]],"0.00%"), ", ",TEXT(Table1[[#This Row],[UCL_Disj.Pow%]],"0.00%"),")")</f>
        <v>(99.98%, 100.00%)</v>
      </c>
      <c r="BR57" s="10" t="str">
        <f>_xlfn.CONCAT("(",TEXT(Table1[[#This Row],[LCL_Conj.Pow%]],"0.00%"),", ",TEXT(Table1[[#This Row],[UCL_Conj.Pow%]],"0.00%"),")")</f>
        <v>(97.01%, 97.31%)</v>
      </c>
      <c r="BS57" s="10" t="str">
        <f>_xlfn.CONCAT("(",TEXT(Table1[[#This Row],[LCL_FWER%]],"0.00%"),", ",TEXT(Table1[[#This Row],[UCL_FWER%]],"0.00%"),")")</f>
        <v>(2.21%, 2.39%)</v>
      </c>
    </row>
    <row r="58" spans="1:71" x14ac:dyDescent="0.25">
      <c r="A58">
        <v>56</v>
      </c>
      <c r="B58" t="s">
        <v>159</v>
      </c>
      <c r="C58">
        <v>3722</v>
      </c>
      <c r="D58">
        <v>1</v>
      </c>
      <c r="E58">
        <v>0.27305922368947599</v>
      </c>
      <c r="F58">
        <v>1</v>
      </c>
      <c r="G58">
        <v>7.0528211284513797E-3</v>
      </c>
      <c r="H58" t="s">
        <v>316</v>
      </c>
      <c r="I58" t="s">
        <v>317</v>
      </c>
      <c r="J58" t="s">
        <v>316</v>
      </c>
      <c r="K58" t="s">
        <v>318</v>
      </c>
      <c r="L58" s="1">
        <v>148035189</v>
      </c>
      <c r="M58" t="s">
        <v>319</v>
      </c>
      <c r="N58">
        <v>6.7445993887053607E-2</v>
      </c>
      <c r="O58" t="s">
        <v>85</v>
      </c>
      <c r="P58" t="s">
        <v>117</v>
      </c>
      <c r="Q58" s="2">
        <v>2000</v>
      </c>
      <c r="R58">
        <v>2.5000000000000001E-2</v>
      </c>
      <c r="S58" t="s">
        <v>42</v>
      </c>
      <c r="T58" t="s">
        <v>42</v>
      </c>
      <c r="U58" t="s">
        <v>43</v>
      </c>
      <c r="V58" s="2" t="s">
        <v>44</v>
      </c>
      <c r="W58">
        <v>5</v>
      </c>
      <c r="X58">
        <v>2</v>
      </c>
      <c r="Y58" s="2" t="s">
        <v>118</v>
      </c>
      <c r="Z58" s="2" t="s">
        <v>42</v>
      </c>
      <c r="AA58" s="2" t="s">
        <v>42</v>
      </c>
      <c r="AB58" s="2" t="s">
        <v>129</v>
      </c>
      <c r="AC58" t="s">
        <v>122</v>
      </c>
      <c r="AD58" t="s">
        <v>123</v>
      </c>
      <c r="AE58" t="s">
        <v>124</v>
      </c>
      <c r="AF58" t="s">
        <v>125</v>
      </c>
      <c r="AG58" t="s">
        <v>51</v>
      </c>
      <c r="AH58" t="s">
        <v>126</v>
      </c>
      <c r="AI58" t="s">
        <v>53</v>
      </c>
      <c r="AJ58" t="b">
        <v>1</v>
      </c>
      <c r="AK58" t="b">
        <v>1</v>
      </c>
      <c r="AL58">
        <v>1</v>
      </c>
      <c r="AM58">
        <v>1</v>
      </c>
      <c r="AN58" t="s">
        <v>56</v>
      </c>
      <c r="AO58" t="s">
        <v>60</v>
      </c>
      <c r="AP58">
        <v>1</v>
      </c>
      <c r="AQ58" t="b">
        <v>1</v>
      </c>
      <c r="AR58" t="s">
        <v>23</v>
      </c>
      <c r="AS58">
        <v>20000</v>
      </c>
      <c r="AT58">
        <v>500</v>
      </c>
      <c r="AU58" t="s">
        <v>121</v>
      </c>
      <c r="AV58" t="b">
        <v>0</v>
      </c>
      <c r="AW58" t="b">
        <v>0</v>
      </c>
      <c r="AX58" t="b">
        <v>1</v>
      </c>
      <c r="AY58" t="b">
        <v>0</v>
      </c>
      <c r="AZ58" t="b">
        <v>0</v>
      </c>
      <c r="BA58">
        <f>INDEX(Inp_CER_Bin_2eps3arms!$AN$2:$AN$176,MATCH(Table1[[#This Row],[ModelID]],Inp_CER_Bin_2eps3arms!$A$2:$A$176,0))</f>
        <v>0</v>
      </c>
      <c r="BB58" t="s">
        <v>42</v>
      </c>
      <c r="BC58" t="s">
        <v>620</v>
      </c>
      <c r="BD58" t="s">
        <v>631</v>
      </c>
      <c r="BE58" s="10">
        <f>Table1[[#This Row],[Global.Power]]</f>
        <v>1</v>
      </c>
      <c r="BF58" s="10">
        <f>Table1[[#This Row],[Conjunctive.Power]]</f>
        <v>0.27305922368947599</v>
      </c>
      <c r="BG58" s="10">
        <f>Table1[[#This Row],[Disjunctive.Power]]</f>
        <v>1</v>
      </c>
      <c r="BH58" s="10">
        <f>Table1[[#This Row],[FWER]]</f>
        <v>7.0528211284513797E-3</v>
      </c>
      <c r="BI58" s="10">
        <f>_xlfn.NUMBERVALUE(MID(Table1[[#This Row],[CI_95perc_Global.Power]],2,FIND(",",Table1[[#This Row],[CI_95perc_Global.Power]])-2))</f>
        <v>1</v>
      </c>
      <c r="BJ58" s="10">
        <f>_xlfn.NUMBERVALUE(MID(Table1[[#This Row],[CI_95perc_Global.Power]],FIND(",",Table1[[#This Row],[CI_95perc_Global.Power]])+1,LEN(Table1[[#This Row],[CI_95perc_Global.Power]])-FIND(",",Table1[[#This Row],[CI_95perc_Global.Power]])-1))</f>
        <v>1</v>
      </c>
      <c r="BK58" s="10">
        <f>_xlfn.NUMBERVALUE(MID(Table1[[#This Row],[CI_95perc_Conjunctive.Power]],2,FIND(",",Table1[[#This Row],[CI_95perc_Conjunctive.Power]])-2))</f>
        <v>0.26688000000000001</v>
      </c>
      <c r="BL58" s="10">
        <f>_xlfn.NUMBERVALUE(MID(Table1[[#This Row],[CI_95perc_Conjunctive.Power]],FIND(",",Table1[[#This Row],[CI_95perc_Conjunctive.Power]])+1,LEN(Table1[[#This Row],[CI_95perc_Conjunctive.Power]])-FIND(",",Table1[[#This Row],[CI_95perc_Conjunctive.Power]])-1))</f>
        <v>0.27923999999999999</v>
      </c>
      <c r="BM58" s="10">
        <f>_xlfn.NUMBERVALUE(MID(Table1[[#This Row],[CI_95perc_Disjunctive.Power]],2,FIND(",",Table1[[#This Row],[CI_95perc_Disjunctive.Power]])-2))</f>
        <v>1</v>
      </c>
      <c r="BN58" s="10">
        <f>_xlfn.NUMBERVALUE(MID(Table1[[#This Row],[CI_95perc_Disjunctive.Power]],FIND(",",Table1[[#This Row],[CI_95perc_Disjunctive.Power]])+1,LEN(Table1[[#This Row],[CI_95perc_Disjunctive.Power]])-FIND(",",Table1[[#This Row],[CI_95perc_Disjunctive.Power]])-1))</f>
        <v>1</v>
      </c>
      <c r="BO58" s="10">
        <f>_xlfn.NUMBERVALUE(MID(Table1[[#This Row],[CI_95perc_FWER]],2,FIND(",",Table1[[#This Row],[CI_95perc_FWER]])-2))</f>
        <v>5.8900000000000003E-3</v>
      </c>
      <c r="BP58" s="10">
        <f>_xlfn.NUMBERVALUE(MID(Table1[[#This Row],[CI_95perc_FWER]],FIND(",",Table1[[#This Row],[CI_95perc_FWER]])+1,LEN(Table1[[#This Row],[CI_95perc_FWER]])-FIND(",",Table1[[#This Row],[CI_95perc_FWER]])-1))</f>
        <v>8.2100000000000003E-3</v>
      </c>
      <c r="BQ58" s="10" t="str">
        <f>_xlfn.CONCAT("(",TEXT(Table1[[#This Row],[LCL_Disj.Pow%]],"0.00%"), ", ",TEXT(Table1[[#This Row],[UCL_Disj.Pow%]],"0.00%"),")")</f>
        <v>(100.00%, 100.00%)</v>
      </c>
      <c r="BR58" s="10" t="str">
        <f>_xlfn.CONCAT("(",TEXT(Table1[[#This Row],[LCL_Conj.Pow%]],"0.00%"),", ",TEXT(Table1[[#This Row],[UCL_Conj.Pow%]],"0.00%"),")")</f>
        <v>(26.69%, 27.92%)</v>
      </c>
      <c r="BS58" s="10" t="str">
        <f>_xlfn.CONCAT("(",TEXT(Table1[[#This Row],[LCL_FWER%]],"0.00%"),", ",TEXT(Table1[[#This Row],[UCL_FWER%]],"0.00%"),")")</f>
        <v>(0.59%, 0.82%)</v>
      </c>
    </row>
    <row r="59" spans="1:71" x14ac:dyDescent="0.25">
      <c r="A59">
        <v>57</v>
      </c>
      <c r="B59" t="s">
        <v>160</v>
      </c>
      <c r="C59">
        <v>2651</v>
      </c>
      <c r="D59">
        <v>0.99999579999999999</v>
      </c>
      <c r="E59">
        <v>0.27312259999999999</v>
      </c>
      <c r="F59">
        <v>0.99999579999999999</v>
      </c>
      <c r="G59">
        <v>7.8817999999999996E-3</v>
      </c>
      <c r="H59" t="s">
        <v>320</v>
      </c>
      <c r="I59" t="s">
        <v>321</v>
      </c>
      <c r="J59" t="s">
        <v>320</v>
      </c>
      <c r="K59" t="s">
        <v>322</v>
      </c>
      <c r="L59" s="1">
        <v>148875113</v>
      </c>
      <c r="M59" t="s">
        <v>323</v>
      </c>
      <c r="N59">
        <v>0.68146824439366704</v>
      </c>
      <c r="O59" t="s">
        <v>85</v>
      </c>
      <c r="P59" t="s">
        <v>41</v>
      </c>
      <c r="Q59" s="2">
        <v>2000</v>
      </c>
      <c r="R59">
        <v>2.5000000000000001E-2</v>
      </c>
      <c r="S59" t="s">
        <v>42</v>
      </c>
      <c r="T59" t="s">
        <v>42</v>
      </c>
      <c r="U59" t="s">
        <v>43</v>
      </c>
      <c r="V59" s="2" t="s">
        <v>44</v>
      </c>
      <c r="W59">
        <v>5</v>
      </c>
      <c r="X59">
        <v>2</v>
      </c>
      <c r="Y59" s="2" t="s">
        <v>118</v>
      </c>
      <c r="Z59" s="2" t="s">
        <v>42</v>
      </c>
      <c r="AA59" s="2" t="s">
        <v>42</v>
      </c>
      <c r="AB59" s="2" t="s">
        <v>129</v>
      </c>
      <c r="AC59" t="s">
        <v>122</v>
      </c>
      <c r="AD59" t="s">
        <v>123</v>
      </c>
      <c r="AE59" t="s">
        <v>124</v>
      </c>
      <c r="AF59" t="s">
        <v>125</v>
      </c>
      <c r="AG59" t="s">
        <v>51</v>
      </c>
      <c r="AH59" t="s">
        <v>126</v>
      </c>
      <c r="AI59" t="s">
        <v>53</v>
      </c>
      <c r="AJ59" t="b">
        <v>1</v>
      </c>
      <c r="AK59" t="b">
        <v>1</v>
      </c>
      <c r="AL59">
        <v>1</v>
      </c>
      <c r="AM59">
        <v>1</v>
      </c>
      <c r="AN59" t="s">
        <v>56</v>
      </c>
      <c r="AO59" t="s">
        <v>60</v>
      </c>
      <c r="AP59">
        <v>1</v>
      </c>
      <c r="AQ59" t="b">
        <v>1</v>
      </c>
      <c r="AR59" t="s">
        <v>23</v>
      </c>
      <c r="AS59">
        <v>20000</v>
      </c>
      <c r="AT59">
        <v>500</v>
      </c>
      <c r="AU59" t="s">
        <v>121</v>
      </c>
      <c r="AV59" t="b">
        <v>0</v>
      </c>
      <c r="AW59" t="b">
        <v>0</v>
      </c>
      <c r="AX59" t="b">
        <v>1</v>
      </c>
      <c r="AY59" t="b">
        <v>0</v>
      </c>
      <c r="AZ59" t="b">
        <v>0</v>
      </c>
      <c r="BA59">
        <f>INDEX(Inp_CER_Bin_2eps3arms!$AN$2:$AN$176,MATCH(Table1[[#This Row],[ModelID]],Inp_CER_Bin_2eps3arms!$A$2:$A$176,0))</f>
        <v>0</v>
      </c>
      <c r="BB59" t="s">
        <v>42</v>
      </c>
      <c r="BC59" t="s">
        <v>620</v>
      </c>
      <c r="BD59" t="s">
        <v>631</v>
      </c>
      <c r="BE59" s="10">
        <f>Table1[[#This Row],[Global.Power]]</f>
        <v>0.99999579999999999</v>
      </c>
      <c r="BF59" s="10">
        <f>Table1[[#This Row],[Conjunctive.Power]]</f>
        <v>0.27312259999999999</v>
      </c>
      <c r="BG59" s="10">
        <f>Table1[[#This Row],[Disjunctive.Power]]</f>
        <v>0.99999579999999999</v>
      </c>
      <c r="BH59" s="10">
        <f>Table1[[#This Row],[FWER]]</f>
        <v>7.8817999999999996E-3</v>
      </c>
      <c r="BI59" s="10">
        <f>_xlfn.NUMBERVALUE(MID(Table1[[#This Row],[CI_95perc_Global.Power]],2,FIND(",",Table1[[#This Row],[CI_95perc_Global.Power]])-2))</f>
        <v>0.99999000000000005</v>
      </c>
      <c r="BJ59" s="10">
        <f>_xlfn.NUMBERVALUE(MID(Table1[[#This Row],[CI_95perc_Global.Power]],FIND(",",Table1[[#This Row],[CI_95perc_Global.Power]])+1,LEN(Table1[[#This Row],[CI_95perc_Global.Power]])-FIND(",",Table1[[#This Row],[CI_95perc_Global.Power]])-1))</f>
        <v>1</v>
      </c>
      <c r="BK59" s="10">
        <f>_xlfn.NUMBERVALUE(MID(Table1[[#This Row],[CI_95perc_Conjunctive.Power]],2,FIND(",",Table1[[#This Row],[CI_95perc_Conjunctive.Power]])-2))</f>
        <v>0.26695000000000002</v>
      </c>
      <c r="BL59" s="10">
        <f>_xlfn.NUMBERVALUE(MID(Table1[[#This Row],[CI_95perc_Conjunctive.Power]],FIND(",",Table1[[#This Row],[CI_95perc_Conjunctive.Power]])+1,LEN(Table1[[#This Row],[CI_95perc_Conjunctive.Power]])-FIND(",",Table1[[#This Row],[CI_95perc_Conjunctive.Power]])-1))</f>
        <v>0.27929999999999999</v>
      </c>
      <c r="BM59" s="10">
        <f>_xlfn.NUMBERVALUE(MID(Table1[[#This Row],[CI_95perc_Disjunctive.Power]],2,FIND(",",Table1[[#This Row],[CI_95perc_Disjunctive.Power]])-2))</f>
        <v>0.99999000000000005</v>
      </c>
      <c r="BN59" s="10">
        <f>_xlfn.NUMBERVALUE(MID(Table1[[#This Row],[CI_95perc_Disjunctive.Power]],FIND(",",Table1[[#This Row],[CI_95perc_Disjunctive.Power]])+1,LEN(Table1[[#This Row],[CI_95perc_Disjunctive.Power]])-FIND(",",Table1[[#This Row],[CI_95perc_Disjunctive.Power]])-1))</f>
        <v>1</v>
      </c>
      <c r="BO59" s="10">
        <f>_xlfn.NUMBERVALUE(MID(Table1[[#This Row],[CI_95perc_FWER]],2,FIND(",",Table1[[#This Row],[CI_95perc_FWER]])-2))</f>
        <v>7.2300000000000003E-3</v>
      </c>
      <c r="BP59" s="10">
        <f>_xlfn.NUMBERVALUE(MID(Table1[[#This Row],[CI_95perc_FWER]],FIND(",",Table1[[#This Row],[CI_95perc_FWER]])+1,LEN(Table1[[#This Row],[CI_95perc_FWER]])-FIND(",",Table1[[#This Row],[CI_95perc_FWER]])-1))</f>
        <v>8.5400000000000007E-3</v>
      </c>
      <c r="BQ59" s="10" t="str">
        <f>_xlfn.CONCAT("(",TEXT(Table1[[#This Row],[LCL_Disj.Pow%]],"0.00%"), ", ",TEXT(Table1[[#This Row],[UCL_Disj.Pow%]],"0.00%"),")")</f>
        <v>(100.00%, 100.00%)</v>
      </c>
      <c r="BR59" s="10" t="str">
        <f>_xlfn.CONCAT("(",TEXT(Table1[[#This Row],[LCL_Conj.Pow%]],"0.00%"),", ",TEXT(Table1[[#This Row],[UCL_Conj.Pow%]],"0.00%"),")")</f>
        <v>(26.70%, 27.93%)</v>
      </c>
      <c r="BS59" s="10" t="str">
        <f>_xlfn.CONCAT("(",TEXT(Table1[[#This Row],[LCL_FWER%]],"0.00%"),", ",TEXT(Table1[[#This Row],[UCL_FWER%]],"0.00%"),")")</f>
        <v>(0.72%, 0.85%)</v>
      </c>
    </row>
    <row r="60" spans="1:71" x14ac:dyDescent="0.25">
      <c r="A60">
        <v>58</v>
      </c>
      <c r="B60" t="s">
        <v>607</v>
      </c>
      <c r="C60">
        <v>658</v>
      </c>
      <c r="D60">
        <v>0.99969849246231202</v>
      </c>
      <c r="E60">
        <v>0.97703517587939703</v>
      </c>
      <c r="F60">
        <v>0.99969849246231202</v>
      </c>
      <c r="G60">
        <v>0</v>
      </c>
      <c r="H60" t="s">
        <v>268</v>
      </c>
      <c r="I60" t="s">
        <v>324</v>
      </c>
      <c r="J60" t="s">
        <v>268</v>
      </c>
      <c r="K60" t="s">
        <v>83</v>
      </c>
      <c r="L60" s="1">
        <v>157614133</v>
      </c>
      <c r="M60" t="s">
        <v>325</v>
      </c>
      <c r="N60">
        <v>7.7078182829750902E-2</v>
      </c>
      <c r="O60" t="s">
        <v>85</v>
      </c>
      <c r="P60" t="s">
        <v>117</v>
      </c>
      <c r="Q60" s="2">
        <v>2000</v>
      </c>
      <c r="R60" s="2">
        <v>2.5000000000000001E-2</v>
      </c>
      <c r="S60" s="2" t="s">
        <v>42</v>
      </c>
      <c r="T60" s="2" t="s">
        <v>42</v>
      </c>
      <c r="U60" s="2" t="s">
        <v>43</v>
      </c>
      <c r="V60" s="2" t="s">
        <v>44</v>
      </c>
      <c r="W60" s="2">
        <v>5</v>
      </c>
      <c r="X60" s="2">
        <v>2</v>
      </c>
      <c r="Y60" s="2" t="s">
        <v>118</v>
      </c>
      <c r="Z60" s="2" t="s">
        <v>42</v>
      </c>
      <c r="AA60" s="2" t="s">
        <v>42</v>
      </c>
      <c r="AB60" s="2" t="s">
        <v>130</v>
      </c>
      <c r="AC60" t="s">
        <v>122</v>
      </c>
      <c r="AD60" s="2" t="s">
        <v>120</v>
      </c>
      <c r="AE60" t="s">
        <v>124</v>
      </c>
      <c r="AF60" t="s">
        <v>125</v>
      </c>
      <c r="AG60" s="2" t="s">
        <v>51</v>
      </c>
      <c r="AH60" t="s">
        <v>52</v>
      </c>
      <c r="AI60" t="s">
        <v>53</v>
      </c>
      <c r="AJ60" t="b">
        <v>1</v>
      </c>
      <c r="AK60" t="b">
        <v>0</v>
      </c>
      <c r="AL60" t="s">
        <v>42</v>
      </c>
      <c r="AM60" t="s">
        <v>42</v>
      </c>
      <c r="AN60" t="s">
        <v>42</v>
      </c>
      <c r="AO60" t="s">
        <v>42</v>
      </c>
      <c r="AP60" t="s">
        <v>42</v>
      </c>
      <c r="AQ60" t="s">
        <v>42</v>
      </c>
      <c r="AR60" t="s">
        <v>54</v>
      </c>
      <c r="AS60">
        <v>20000</v>
      </c>
      <c r="AT60">
        <v>500</v>
      </c>
      <c r="AU60" t="s">
        <v>121</v>
      </c>
      <c r="AV60" t="b">
        <v>0</v>
      </c>
      <c r="AW60" t="b">
        <v>0</v>
      </c>
      <c r="AX60" t="b">
        <v>1</v>
      </c>
      <c r="AY60" t="b">
        <v>0</v>
      </c>
      <c r="AZ60" t="b">
        <v>0</v>
      </c>
      <c r="BA60">
        <f>INDEX(Inp_CER_Bin_2eps3arms!$AN$2:$AN$176,MATCH(Table1[[#This Row],[ModelID]],Inp_CER_Bin_2eps3arms!$A$2:$A$176,0))</f>
        <v>0</v>
      </c>
      <c r="BB60" t="s">
        <v>42</v>
      </c>
      <c r="BC60" t="s">
        <v>618</v>
      </c>
      <c r="BD60" t="s">
        <v>632</v>
      </c>
      <c r="BE60" s="10">
        <f>Table1[[#This Row],[Global.Power]]</f>
        <v>0.99969849246231202</v>
      </c>
      <c r="BF60" s="10">
        <f>Table1[[#This Row],[Conjunctive.Power]]</f>
        <v>0.97703517587939703</v>
      </c>
      <c r="BG60" s="10">
        <f>Table1[[#This Row],[Disjunctive.Power]]</f>
        <v>0.99969849246231202</v>
      </c>
      <c r="BH60" s="10">
        <f>Table1[[#This Row],[FWER]]</f>
        <v>0</v>
      </c>
      <c r="BI60" s="10">
        <f>_xlfn.NUMBERVALUE(MID(Table1[[#This Row],[CI_95perc_Global.Power]],2,FIND(",",Table1[[#This Row],[CI_95perc_Global.Power]])-2))</f>
        <v>0.99946000000000002</v>
      </c>
      <c r="BJ60" s="10">
        <f>_xlfn.NUMBERVALUE(MID(Table1[[#This Row],[CI_95perc_Global.Power]],FIND(",",Table1[[#This Row],[CI_95perc_Global.Power]])+1,LEN(Table1[[#This Row],[CI_95perc_Global.Power]])-FIND(",",Table1[[#This Row],[CI_95perc_Global.Power]])-1))</f>
        <v>0.99994000000000005</v>
      </c>
      <c r="BK60" s="10">
        <f>_xlfn.NUMBERVALUE(MID(Table1[[#This Row],[CI_95perc_Conjunctive.Power]],2,FIND(",",Table1[[#This Row],[CI_95perc_Conjunctive.Power]])-2))</f>
        <v>0.97494999999999998</v>
      </c>
      <c r="BL60" s="10">
        <f>_xlfn.NUMBERVALUE(MID(Table1[[#This Row],[CI_95perc_Conjunctive.Power]],FIND(",",Table1[[#This Row],[CI_95perc_Conjunctive.Power]])+1,LEN(Table1[[#This Row],[CI_95perc_Conjunctive.Power]])-FIND(",",Table1[[#This Row],[CI_95perc_Conjunctive.Power]])-1))</f>
        <v>0.97911999999999999</v>
      </c>
      <c r="BM60" s="10">
        <f>_xlfn.NUMBERVALUE(MID(Table1[[#This Row],[CI_95perc_Disjunctive.Power]],2,FIND(",",Table1[[#This Row],[CI_95perc_Disjunctive.Power]])-2))</f>
        <v>0.99946000000000002</v>
      </c>
      <c r="BN60" s="10">
        <f>_xlfn.NUMBERVALUE(MID(Table1[[#This Row],[CI_95perc_Disjunctive.Power]],FIND(",",Table1[[#This Row],[CI_95perc_Disjunctive.Power]])+1,LEN(Table1[[#This Row],[CI_95perc_Disjunctive.Power]])-FIND(",",Table1[[#This Row],[CI_95perc_Disjunctive.Power]])-1))</f>
        <v>0.99994000000000005</v>
      </c>
      <c r="BO60" s="10">
        <f>_xlfn.NUMBERVALUE(MID(Table1[[#This Row],[CI_95perc_FWER]],2,FIND(",",Table1[[#This Row],[CI_95perc_FWER]])-2))</f>
        <v>0</v>
      </c>
      <c r="BP60" s="10">
        <f>_xlfn.NUMBERVALUE(MID(Table1[[#This Row],[CI_95perc_FWER]],FIND(",",Table1[[#This Row],[CI_95perc_FWER]])+1,LEN(Table1[[#This Row],[CI_95perc_FWER]])-FIND(",",Table1[[#This Row],[CI_95perc_FWER]])-1))</f>
        <v>0</v>
      </c>
      <c r="BQ60" s="10" t="str">
        <f>_xlfn.CONCAT("(",TEXT(Table1[[#This Row],[LCL_Disj.Pow%]],"0.00%"), ", ",TEXT(Table1[[#This Row],[UCL_Disj.Pow%]],"0.00%"),")")</f>
        <v>(99.95%, 99.99%)</v>
      </c>
      <c r="BR60" s="10" t="str">
        <f>_xlfn.CONCAT("(",TEXT(Table1[[#This Row],[LCL_Conj.Pow%]],"0.00%"),", ",TEXT(Table1[[#This Row],[UCL_Conj.Pow%]],"0.00%"),")")</f>
        <v>(97.50%, 97.91%)</v>
      </c>
      <c r="BS60" s="10" t="str">
        <f>_xlfn.CONCAT("(",TEXT(Table1[[#This Row],[LCL_FWER%]],"0.00%"),", ",TEXT(Table1[[#This Row],[UCL_FWER%]],"0.00%"),")")</f>
        <v>(0.00%, 0.00%)</v>
      </c>
    </row>
    <row r="61" spans="1:71" x14ac:dyDescent="0.25">
      <c r="A61">
        <v>59</v>
      </c>
      <c r="B61" t="s">
        <v>608</v>
      </c>
      <c r="C61">
        <v>5364</v>
      </c>
      <c r="D61">
        <v>0.99981880000000001</v>
      </c>
      <c r="E61">
        <v>0.97731349999999995</v>
      </c>
      <c r="F61">
        <v>0.99981880000000001</v>
      </c>
      <c r="G61">
        <v>0</v>
      </c>
      <c r="H61" t="s">
        <v>326</v>
      </c>
      <c r="I61" t="s">
        <v>327</v>
      </c>
      <c r="J61" t="s">
        <v>326</v>
      </c>
      <c r="K61" t="s">
        <v>83</v>
      </c>
      <c r="L61" s="1">
        <v>158374157</v>
      </c>
      <c r="M61" t="s">
        <v>328</v>
      </c>
      <c r="N61">
        <v>0.92514598502053202</v>
      </c>
      <c r="O61" t="s">
        <v>85</v>
      </c>
      <c r="P61" t="s">
        <v>41</v>
      </c>
      <c r="Q61" s="2">
        <v>2000</v>
      </c>
      <c r="R61" s="2">
        <v>2.5000000000000001E-2</v>
      </c>
      <c r="S61" s="2" t="s">
        <v>42</v>
      </c>
      <c r="T61" s="2" t="s">
        <v>42</v>
      </c>
      <c r="U61" s="2" t="s">
        <v>43</v>
      </c>
      <c r="V61" s="2" t="s">
        <v>44</v>
      </c>
      <c r="W61" s="2">
        <v>5</v>
      </c>
      <c r="X61" s="2">
        <v>2</v>
      </c>
      <c r="Y61" s="2" t="s">
        <v>118</v>
      </c>
      <c r="Z61" s="2" t="s">
        <v>42</v>
      </c>
      <c r="AA61" s="2" t="s">
        <v>42</v>
      </c>
      <c r="AB61" s="2" t="s">
        <v>130</v>
      </c>
      <c r="AC61" t="s">
        <v>122</v>
      </c>
      <c r="AD61" s="2" t="s">
        <v>120</v>
      </c>
      <c r="AE61" t="s">
        <v>124</v>
      </c>
      <c r="AF61" t="s">
        <v>125</v>
      </c>
      <c r="AG61" s="2" t="s">
        <v>51</v>
      </c>
      <c r="AH61" t="s">
        <v>52</v>
      </c>
      <c r="AI61" t="s">
        <v>53</v>
      </c>
      <c r="AJ61" t="b">
        <v>1</v>
      </c>
      <c r="AK61" t="b">
        <v>0</v>
      </c>
      <c r="AL61" t="s">
        <v>42</v>
      </c>
      <c r="AM61" t="s">
        <v>42</v>
      </c>
      <c r="AN61" t="s">
        <v>42</v>
      </c>
      <c r="AO61" t="s">
        <v>42</v>
      </c>
      <c r="AP61" t="s">
        <v>42</v>
      </c>
      <c r="AQ61" t="s">
        <v>42</v>
      </c>
      <c r="AR61" t="s">
        <v>54</v>
      </c>
      <c r="AS61">
        <v>20000</v>
      </c>
      <c r="AT61">
        <v>500</v>
      </c>
      <c r="AU61" t="s">
        <v>121</v>
      </c>
      <c r="AV61" t="b">
        <v>0</v>
      </c>
      <c r="AW61" t="b">
        <v>0</v>
      </c>
      <c r="AX61" t="b">
        <v>1</v>
      </c>
      <c r="AY61" t="b">
        <v>0</v>
      </c>
      <c r="AZ61" t="b">
        <v>0</v>
      </c>
      <c r="BA61">
        <f>INDEX(Inp_CER_Bin_2eps3arms!$AN$2:$AN$176,MATCH(Table1[[#This Row],[ModelID]],Inp_CER_Bin_2eps3arms!$A$2:$A$176,0))</f>
        <v>0</v>
      </c>
      <c r="BB61" t="s">
        <v>42</v>
      </c>
      <c r="BC61" t="s">
        <v>618</v>
      </c>
      <c r="BD61" t="s">
        <v>632</v>
      </c>
      <c r="BE61" s="10">
        <f>Table1[[#This Row],[Global.Power]]</f>
        <v>0.99981880000000001</v>
      </c>
      <c r="BF61" s="10">
        <f>Table1[[#This Row],[Conjunctive.Power]]</f>
        <v>0.97731349999999995</v>
      </c>
      <c r="BG61" s="10">
        <f>Table1[[#This Row],[Disjunctive.Power]]</f>
        <v>0.99981880000000001</v>
      </c>
      <c r="BH61" s="10">
        <f>Table1[[#This Row],[FWER]]</f>
        <v>0</v>
      </c>
      <c r="BI61" s="10">
        <f>_xlfn.NUMBERVALUE(MID(Table1[[#This Row],[CI_95perc_Global.Power]],2,FIND(",",Table1[[#This Row],[CI_95perc_Global.Power]])-2))</f>
        <v>0.99978999999999996</v>
      </c>
      <c r="BJ61" s="10">
        <f>_xlfn.NUMBERVALUE(MID(Table1[[#This Row],[CI_95perc_Global.Power]],FIND(",",Table1[[#This Row],[CI_95perc_Global.Power]])+1,LEN(Table1[[#This Row],[CI_95perc_Global.Power]])-FIND(",",Table1[[#This Row],[CI_95perc_Global.Power]])-1))</f>
        <v>0.99985000000000002</v>
      </c>
      <c r="BK61" s="10">
        <f>_xlfn.NUMBERVALUE(MID(Table1[[#This Row],[CI_95perc_Conjunctive.Power]],2,FIND(",",Table1[[#This Row],[CI_95perc_Conjunctive.Power]])-2))</f>
        <v>0.97660000000000002</v>
      </c>
      <c r="BL61" s="10">
        <f>_xlfn.NUMBERVALUE(MID(Table1[[#This Row],[CI_95perc_Conjunctive.Power]],FIND(",",Table1[[#This Row],[CI_95perc_Conjunctive.Power]])+1,LEN(Table1[[#This Row],[CI_95perc_Conjunctive.Power]])-FIND(",",Table1[[#This Row],[CI_95perc_Conjunctive.Power]])-1))</f>
        <v>0.97802999999999995</v>
      </c>
      <c r="BM61" s="10">
        <f>_xlfn.NUMBERVALUE(MID(Table1[[#This Row],[CI_95perc_Disjunctive.Power]],2,FIND(",",Table1[[#This Row],[CI_95perc_Disjunctive.Power]])-2))</f>
        <v>0.99978999999999996</v>
      </c>
      <c r="BN61" s="10">
        <f>_xlfn.NUMBERVALUE(MID(Table1[[#This Row],[CI_95perc_Disjunctive.Power]],FIND(",",Table1[[#This Row],[CI_95perc_Disjunctive.Power]])+1,LEN(Table1[[#This Row],[CI_95perc_Disjunctive.Power]])-FIND(",",Table1[[#This Row],[CI_95perc_Disjunctive.Power]])-1))</f>
        <v>0.99985000000000002</v>
      </c>
      <c r="BO61" s="10">
        <f>_xlfn.NUMBERVALUE(MID(Table1[[#This Row],[CI_95perc_FWER]],2,FIND(",",Table1[[#This Row],[CI_95perc_FWER]])-2))</f>
        <v>0</v>
      </c>
      <c r="BP61" s="10">
        <f>_xlfn.NUMBERVALUE(MID(Table1[[#This Row],[CI_95perc_FWER]],FIND(",",Table1[[#This Row],[CI_95perc_FWER]])+1,LEN(Table1[[#This Row],[CI_95perc_FWER]])-FIND(",",Table1[[#This Row],[CI_95perc_FWER]])-1))</f>
        <v>0</v>
      </c>
      <c r="BQ61" s="10" t="str">
        <f>_xlfn.CONCAT("(",TEXT(Table1[[#This Row],[LCL_Disj.Pow%]],"0.00%"), ", ",TEXT(Table1[[#This Row],[UCL_Disj.Pow%]],"0.00%"),")")</f>
        <v>(99.98%, 99.99%)</v>
      </c>
      <c r="BR61" s="10" t="str">
        <f>_xlfn.CONCAT("(",TEXT(Table1[[#This Row],[LCL_Conj.Pow%]],"0.00%"),", ",TEXT(Table1[[#This Row],[UCL_Conj.Pow%]],"0.00%"),")")</f>
        <v>(97.66%, 97.80%)</v>
      </c>
      <c r="BS61" s="10" t="str">
        <f>_xlfn.CONCAT("(",TEXT(Table1[[#This Row],[LCL_FWER%]],"0.00%"),", ",TEXT(Table1[[#This Row],[UCL_FWER%]],"0.00%"),")")</f>
        <v>(0.00%, 0.00%)</v>
      </c>
    </row>
    <row r="62" spans="1:71" x14ac:dyDescent="0.25">
      <c r="A62">
        <v>60</v>
      </c>
      <c r="B62" t="s">
        <v>137</v>
      </c>
      <c r="C62">
        <v>6787</v>
      </c>
      <c r="D62">
        <v>0.99964832956543603</v>
      </c>
      <c r="E62">
        <v>0.97734237628736498</v>
      </c>
      <c r="F62">
        <v>0.99964832956543603</v>
      </c>
      <c r="G62">
        <v>0</v>
      </c>
      <c r="H62" t="s">
        <v>293</v>
      </c>
      <c r="I62" t="s">
        <v>329</v>
      </c>
      <c r="J62" t="s">
        <v>293</v>
      </c>
      <c r="K62" t="s">
        <v>83</v>
      </c>
      <c r="L62" s="1">
        <v>157354163</v>
      </c>
      <c r="M62" t="s">
        <v>330</v>
      </c>
      <c r="N62">
        <v>7.6900141371621003E-2</v>
      </c>
      <c r="O62" t="s">
        <v>85</v>
      </c>
      <c r="P62" t="s">
        <v>117</v>
      </c>
      <c r="Q62" s="2">
        <v>2000</v>
      </c>
      <c r="R62">
        <v>2.5000000000000001E-2</v>
      </c>
      <c r="S62" t="s">
        <v>42</v>
      </c>
      <c r="T62" t="s">
        <v>42</v>
      </c>
      <c r="U62" t="s">
        <v>43</v>
      </c>
      <c r="V62" s="2" t="s">
        <v>44</v>
      </c>
      <c r="W62">
        <v>5</v>
      </c>
      <c r="X62">
        <v>2</v>
      </c>
      <c r="Y62" s="2" t="s">
        <v>118</v>
      </c>
      <c r="Z62" s="2" t="s">
        <v>42</v>
      </c>
      <c r="AA62" s="2" t="s">
        <v>42</v>
      </c>
      <c r="AB62" s="2" t="s">
        <v>130</v>
      </c>
      <c r="AC62" t="s">
        <v>122</v>
      </c>
      <c r="AD62" t="s">
        <v>123</v>
      </c>
      <c r="AE62" t="s">
        <v>124</v>
      </c>
      <c r="AF62" t="s">
        <v>125</v>
      </c>
      <c r="AG62" t="s">
        <v>51</v>
      </c>
      <c r="AH62" t="s">
        <v>126</v>
      </c>
      <c r="AI62" t="s">
        <v>53</v>
      </c>
      <c r="AJ62" t="b">
        <v>1</v>
      </c>
      <c r="AK62" t="b">
        <v>1</v>
      </c>
      <c r="AL62">
        <v>1</v>
      </c>
      <c r="AM62">
        <v>1</v>
      </c>
      <c r="AN62" t="s">
        <v>56</v>
      </c>
      <c r="AO62" t="s">
        <v>57</v>
      </c>
      <c r="AP62">
        <v>0.75</v>
      </c>
      <c r="AQ62" t="b">
        <v>1</v>
      </c>
      <c r="AR62" t="s">
        <v>23</v>
      </c>
      <c r="AS62">
        <v>20000</v>
      </c>
      <c r="AT62">
        <v>500</v>
      </c>
      <c r="AU62" t="s">
        <v>121</v>
      </c>
      <c r="AV62" t="b">
        <v>0</v>
      </c>
      <c r="AW62" t="b">
        <v>0</v>
      </c>
      <c r="AX62" t="b">
        <v>1</v>
      </c>
      <c r="AY62" t="b">
        <v>0</v>
      </c>
      <c r="AZ62" t="b">
        <v>0</v>
      </c>
      <c r="BA62">
        <f>INDEX(Inp_CER_Bin_2eps3arms!$AN$2:$AN$176,MATCH(Table1[[#This Row],[ModelID]],Inp_CER_Bin_2eps3arms!$A$2:$A$176,0))</f>
        <v>0</v>
      </c>
      <c r="BB62" t="s">
        <v>42</v>
      </c>
      <c r="BC62" t="s">
        <v>619</v>
      </c>
      <c r="BD62" t="s">
        <v>632</v>
      </c>
      <c r="BE62" s="10">
        <f>Table1[[#This Row],[Global.Power]]</f>
        <v>0.99964832956543603</v>
      </c>
      <c r="BF62" s="10">
        <f>Table1[[#This Row],[Conjunctive.Power]]</f>
        <v>0.97734237628736498</v>
      </c>
      <c r="BG62" s="10">
        <f>Table1[[#This Row],[Disjunctive.Power]]</f>
        <v>0.99964832956543603</v>
      </c>
      <c r="BH62" s="10">
        <f>Table1[[#This Row],[FWER]]</f>
        <v>0</v>
      </c>
      <c r="BI62" s="10">
        <f>_xlfn.NUMBERVALUE(MID(Table1[[#This Row],[CI_95perc_Global.Power]],2,FIND(",",Table1[[#This Row],[CI_95perc_Global.Power]])-2))</f>
        <v>0.99939</v>
      </c>
      <c r="BJ62" s="10">
        <f>_xlfn.NUMBERVALUE(MID(Table1[[#This Row],[CI_95perc_Global.Power]],FIND(",",Table1[[#This Row],[CI_95perc_Global.Power]])+1,LEN(Table1[[#This Row],[CI_95perc_Global.Power]])-FIND(",",Table1[[#This Row],[CI_95perc_Global.Power]])-1))</f>
        <v>0.99990999999999997</v>
      </c>
      <c r="BK62" s="10">
        <f>_xlfn.NUMBERVALUE(MID(Table1[[#This Row],[CI_95perc_Conjunctive.Power]],2,FIND(",",Table1[[#This Row],[CI_95perc_Conjunctive.Power]])-2))</f>
        <v>0.97528000000000004</v>
      </c>
      <c r="BL62" s="10">
        <f>_xlfn.NUMBERVALUE(MID(Table1[[#This Row],[CI_95perc_Conjunctive.Power]],FIND(",",Table1[[#This Row],[CI_95perc_Conjunctive.Power]])+1,LEN(Table1[[#This Row],[CI_95perc_Conjunctive.Power]])-FIND(",",Table1[[#This Row],[CI_95perc_Conjunctive.Power]])-1))</f>
        <v>0.97941</v>
      </c>
      <c r="BM62" s="10">
        <f>_xlfn.NUMBERVALUE(MID(Table1[[#This Row],[CI_95perc_Disjunctive.Power]],2,FIND(",",Table1[[#This Row],[CI_95perc_Disjunctive.Power]])-2))</f>
        <v>0.99939</v>
      </c>
      <c r="BN62" s="10">
        <f>_xlfn.NUMBERVALUE(MID(Table1[[#This Row],[CI_95perc_Disjunctive.Power]],FIND(",",Table1[[#This Row],[CI_95perc_Disjunctive.Power]])+1,LEN(Table1[[#This Row],[CI_95perc_Disjunctive.Power]])-FIND(",",Table1[[#This Row],[CI_95perc_Disjunctive.Power]])-1))</f>
        <v>0.99990999999999997</v>
      </c>
      <c r="BO62" s="10">
        <f>_xlfn.NUMBERVALUE(MID(Table1[[#This Row],[CI_95perc_FWER]],2,FIND(",",Table1[[#This Row],[CI_95perc_FWER]])-2))</f>
        <v>0</v>
      </c>
      <c r="BP62" s="10">
        <f>_xlfn.NUMBERVALUE(MID(Table1[[#This Row],[CI_95perc_FWER]],FIND(",",Table1[[#This Row],[CI_95perc_FWER]])+1,LEN(Table1[[#This Row],[CI_95perc_FWER]])-FIND(",",Table1[[#This Row],[CI_95perc_FWER]])-1))</f>
        <v>0</v>
      </c>
      <c r="BQ62" s="10" t="str">
        <f>_xlfn.CONCAT("(",TEXT(Table1[[#This Row],[LCL_Disj.Pow%]],"0.00%"), ", ",TEXT(Table1[[#This Row],[UCL_Disj.Pow%]],"0.00%"),")")</f>
        <v>(99.94%, 99.99%)</v>
      </c>
      <c r="BR62" s="10" t="str">
        <f>_xlfn.CONCAT("(",TEXT(Table1[[#This Row],[LCL_Conj.Pow%]],"0.00%"),", ",TEXT(Table1[[#This Row],[UCL_Conj.Pow%]],"0.00%"),")")</f>
        <v>(97.53%, 97.94%)</v>
      </c>
      <c r="BS62" s="10" t="str">
        <f>_xlfn.CONCAT("(",TEXT(Table1[[#This Row],[LCL_FWER%]],"0.00%"),", ",TEXT(Table1[[#This Row],[UCL_FWER%]],"0.00%"),")")</f>
        <v>(0.00%, 0.00%)</v>
      </c>
    </row>
    <row r="63" spans="1:71" x14ac:dyDescent="0.25">
      <c r="A63">
        <v>61</v>
      </c>
      <c r="B63" t="s">
        <v>145</v>
      </c>
      <c r="C63">
        <v>8945</v>
      </c>
      <c r="D63">
        <v>0.99982519999999997</v>
      </c>
      <c r="E63">
        <v>0.97730059999999996</v>
      </c>
      <c r="F63">
        <v>0.99982519999999997</v>
      </c>
      <c r="G63">
        <v>0</v>
      </c>
      <c r="H63" t="s">
        <v>331</v>
      </c>
      <c r="I63" t="s">
        <v>332</v>
      </c>
      <c r="J63" t="s">
        <v>331</v>
      </c>
      <c r="K63" t="s">
        <v>83</v>
      </c>
      <c r="L63" s="1">
        <v>157314264</v>
      </c>
      <c r="M63" t="s">
        <v>333</v>
      </c>
      <c r="N63">
        <v>0.834732086393568</v>
      </c>
      <c r="O63" t="s">
        <v>85</v>
      </c>
      <c r="P63" t="s">
        <v>41</v>
      </c>
      <c r="Q63" s="2">
        <v>2000</v>
      </c>
      <c r="R63">
        <v>2.5000000000000001E-2</v>
      </c>
      <c r="S63" t="s">
        <v>42</v>
      </c>
      <c r="T63" t="s">
        <v>42</v>
      </c>
      <c r="U63" t="s">
        <v>43</v>
      </c>
      <c r="V63" s="2" t="s">
        <v>44</v>
      </c>
      <c r="W63">
        <v>5</v>
      </c>
      <c r="X63">
        <v>2</v>
      </c>
      <c r="Y63" s="2" t="s">
        <v>118</v>
      </c>
      <c r="Z63" s="2" t="s">
        <v>42</v>
      </c>
      <c r="AA63" s="2" t="s">
        <v>42</v>
      </c>
      <c r="AB63" s="2" t="s">
        <v>130</v>
      </c>
      <c r="AC63" t="s">
        <v>122</v>
      </c>
      <c r="AD63" t="s">
        <v>123</v>
      </c>
      <c r="AE63" t="s">
        <v>124</v>
      </c>
      <c r="AF63" t="s">
        <v>125</v>
      </c>
      <c r="AG63" t="s">
        <v>51</v>
      </c>
      <c r="AH63" t="s">
        <v>126</v>
      </c>
      <c r="AI63" t="s">
        <v>53</v>
      </c>
      <c r="AJ63" t="b">
        <v>1</v>
      </c>
      <c r="AK63" t="b">
        <v>1</v>
      </c>
      <c r="AL63">
        <v>1</v>
      </c>
      <c r="AM63">
        <v>1</v>
      </c>
      <c r="AN63" t="s">
        <v>56</v>
      </c>
      <c r="AO63" t="s">
        <v>57</v>
      </c>
      <c r="AP63">
        <v>0.75</v>
      </c>
      <c r="AQ63" t="b">
        <v>1</v>
      </c>
      <c r="AR63" t="s">
        <v>23</v>
      </c>
      <c r="AS63">
        <v>20000</v>
      </c>
      <c r="AT63">
        <v>500</v>
      </c>
      <c r="AU63" t="s">
        <v>121</v>
      </c>
      <c r="AV63" t="b">
        <v>0</v>
      </c>
      <c r="AW63" t="b">
        <v>0</v>
      </c>
      <c r="AX63" t="b">
        <v>1</v>
      </c>
      <c r="AY63" t="b">
        <v>0</v>
      </c>
      <c r="AZ63" t="b">
        <v>0</v>
      </c>
      <c r="BA63">
        <f>INDEX(Inp_CER_Bin_2eps3arms!$AN$2:$AN$176,MATCH(Table1[[#This Row],[ModelID]],Inp_CER_Bin_2eps3arms!$A$2:$A$176,0))</f>
        <v>0</v>
      </c>
      <c r="BB63" t="s">
        <v>42</v>
      </c>
      <c r="BC63" t="s">
        <v>619</v>
      </c>
      <c r="BD63" t="s">
        <v>632</v>
      </c>
      <c r="BE63" s="10">
        <f>Table1[[#This Row],[Global.Power]]</f>
        <v>0.99982519999999997</v>
      </c>
      <c r="BF63" s="10">
        <f>Table1[[#This Row],[Conjunctive.Power]]</f>
        <v>0.97730059999999996</v>
      </c>
      <c r="BG63" s="10">
        <f>Table1[[#This Row],[Disjunctive.Power]]</f>
        <v>0.99982519999999997</v>
      </c>
      <c r="BH63" s="10">
        <f>Table1[[#This Row],[FWER]]</f>
        <v>0</v>
      </c>
      <c r="BI63" s="10">
        <f>_xlfn.NUMBERVALUE(MID(Table1[[#This Row],[CI_95perc_Global.Power]],2,FIND(",",Table1[[#This Row],[CI_95perc_Global.Power]])-2))</f>
        <v>0.99980000000000002</v>
      </c>
      <c r="BJ63" s="10">
        <f>_xlfn.NUMBERVALUE(MID(Table1[[#This Row],[CI_95perc_Global.Power]],FIND(",",Table1[[#This Row],[CI_95perc_Global.Power]])+1,LEN(Table1[[#This Row],[CI_95perc_Global.Power]])-FIND(",",Table1[[#This Row],[CI_95perc_Global.Power]])-1))</f>
        <v>0.99985000000000002</v>
      </c>
      <c r="BK63" s="10">
        <f>_xlfn.NUMBERVALUE(MID(Table1[[#This Row],[CI_95perc_Conjunctive.Power]],2,FIND(",",Table1[[#This Row],[CI_95perc_Conjunctive.Power]])-2))</f>
        <v>0.97658</v>
      </c>
      <c r="BL63" s="10">
        <f>_xlfn.NUMBERVALUE(MID(Table1[[#This Row],[CI_95perc_Conjunctive.Power]],FIND(",",Table1[[#This Row],[CI_95perc_Conjunctive.Power]])+1,LEN(Table1[[#This Row],[CI_95perc_Conjunctive.Power]])-FIND(",",Table1[[#This Row],[CI_95perc_Conjunctive.Power]])-1))</f>
        <v>0.97802</v>
      </c>
      <c r="BM63" s="10">
        <f>_xlfn.NUMBERVALUE(MID(Table1[[#This Row],[CI_95perc_Disjunctive.Power]],2,FIND(",",Table1[[#This Row],[CI_95perc_Disjunctive.Power]])-2))</f>
        <v>0.99980000000000002</v>
      </c>
      <c r="BN63" s="10">
        <f>_xlfn.NUMBERVALUE(MID(Table1[[#This Row],[CI_95perc_Disjunctive.Power]],FIND(",",Table1[[#This Row],[CI_95perc_Disjunctive.Power]])+1,LEN(Table1[[#This Row],[CI_95perc_Disjunctive.Power]])-FIND(",",Table1[[#This Row],[CI_95perc_Disjunctive.Power]])-1))</f>
        <v>0.99985000000000002</v>
      </c>
      <c r="BO63" s="10">
        <f>_xlfn.NUMBERVALUE(MID(Table1[[#This Row],[CI_95perc_FWER]],2,FIND(",",Table1[[#This Row],[CI_95perc_FWER]])-2))</f>
        <v>0</v>
      </c>
      <c r="BP63" s="10">
        <f>_xlfn.NUMBERVALUE(MID(Table1[[#This Row],[CI_95perc_FWER]],FIND(",",Table1[[#This Row],[CI_95perc_FWER]])+1,LEN(Table1[[#This Row],[CI_95perc_FWER]])-FIND(",",Table1[[#This Row],[CI_95perc_FWER]])-1))</f>
        <v>0</v>
      </c>
      <c r="BQ63" s="10" t="str">
        <f>_xlfn.CONCAT("(",TEXT(Table1[[#This Row],[LCL_Disj.Pow%]],"0.00%"), ", ",TEXT(Table1[[#This Row],[UCL_Disj.Pow%]],"0.00%"),")")</f>
        <v>(99.98%, 99.99%)</v>
      </c>
      <c r="BR63" s="10" t="str">
        <f>_xlfn.CONCAT("(",TEXT(Table1[[#This Row],[LCL_Conj.Pow%]],"0.00%"),", ",TEXT(Table1[[#This Row],[UCL_Conj.Pow%]],"0.00%"),")")</f>
        <v>(97.66%, 97.80%)</v>
      </c>
      <c r="BS63" s="10" t="str">
        <f>_xlfn.CONCAT("(",TEXT(Table1[[#This Row],[LCL_FWER%]],"0.00%"),", ",TEXT(Table1[[#This Row],[UCL_FWER%]],"0.00%"),")")</f>
        <v>(0.00%, 0.00%)</v>
      </c>
    </row>
    <row r="64" spans="1:71" x14ac:dyDescent="0.25">
      <c r="A64">
        <v>62</v>
      </c>
      <c r="B64" t="s">
        <v>138</v>
      </c>
      <c r="C64">
        <v>9519</v>
      </c>
      <c r="D64">
        <v>0.99964827655512001</v>
      </c>
      <c r="E64">
        <v>0.977590191940508</v>
      </c>
      <c r="F64">
        <v>0.99964827655512001</v>
      </c>
      <c r="G64">
        <v>0</v>
      </c>
      <c r="H64" t="s">
        <v>293</v>
      </c>
      <c r="I64" t="s">
        <v>334</v>
      </c>
      <c r="J64" t="s">
        <v>293</v>
      </c>
      <c r="K64" t="s">
        <v>83</v>
      </c>
      <c r="L64" s="1">
        <v>156704225</v>
      </c>
      <c r="M64" t="s">
        <v>335</v>
      </c>
      <c r="N64">
        <v>7.3850835296842804E-2</v>
      </c>
      <c r="O64" t="s">
        <v>85</v>
      </c>
      <c r="P64" t="s">
        <v>117</v>
      </c>
      <c r="Q64" s="2">
        <v>2000</v>
      </c>
      <c r="R64">
        <v>2.5000000000000001E-2</v>
      </c>
      <c r="S64" t="s">
        <v>42</v>
      </c>
      <c r="T64" t="s">
        <v>42</v>
      </c>
      <c r="U64" t="s">
        <v>43</v>
      </c>
      <c r="V64" s="2" t="s">
        <v>44</v>
      </c>
      <c r="W64">
        <v>5</v>
      </c>
      <c r="X64">
        <v>2</v>
      </c>
      <c r="Y64" s="2" t="s">
        <v>118</v>
      </c>
      <c r="Z64" s="2" t="s">
        <v>42</v>
      </c>
      <c r="AA64" s="2" t="s">
        <v>42</v>
      </c>
      <c r="AB64" s="2" t="s">
        <v>130</v>
      </c>
      <c r="AC64" t="s">
        <v>122</v>
      </c>
      <c r="AD64" t="s">
        <v>123</v>
      </c>
      <c r="AE64" t="s">
        <v>124</v>
      </c>
      <c r="AF64" t="s">
        <v>125</v>
      </c>
      <c r="AG64" t="s">
        <v>51</v>
      </c>
      <c r="AH64" t="s">
        <v>126</v>
      </c>
      <c r="AI64" t="s">
        <v>53</v>
      </c>
      <c r="AJ64" t="b">
        <v>1</v>
      </c>
      <c r="AK64" t="b">
        <v>1</v>
      </c>
      <c r="AL64">
        <v>1</v>
      </c>
      <c r="AM64">
        <v>1</v>
      </c>
      <c r="AN64" t="s">
        <v>56</v>
      </c>
      <c r="AO64" t="s">
        <v>57</v>
      </c>
      <c r="AP64">
        <v>0.5</v>
      </c>
      <c r="AQ64" t="b">
        <v>1</v>
      </c>
      <c r="AR64" t="s">
        <v>23</v>
      </c>
      <c r="AS64">
        <v>20000</v>
      </c>
      <c r="AT64">
        <v>500</v>
      </c>
      <c r="AU64" t="s">
        <v>121</v>
      </c>
      <c r="AV64" t="b">
        <v>0</v>
      </c>
      <c r="AW64" t="b">
        <v>0</v>
      </c>
      <c r="AX64" t="b">
        <v>1</v>
      </c>
      <c r="AY64" t="b">
        <v>0</v>
      </c>
      <c r="AZ64" t="b">
        <v>0</v>
      </c>
      <c r="BA64">
        <f>INDEX(Inp_CER_Bin_2eps3arms!$AN$2:$AN$176,MATCH(Table1[[#This Row],[ModelID]],Inp_CER_Bin_2eps3arms!$A$2:$A$176,0))</f>
        <v>0</v>
      </c>
      <c r="BB64" t="s">
        <v>42</v>
      </c>
      <c r="BC64" t="s">
        <v>622</v>
      </c>
      <c r="BD64" t="s">
        <v>632</v>
      </c>
      <c r="BE64" s="10">
        <f>Table1[[#This Row],[Global.Power]]</f>
        <v>0.99964827655512001</v>
      </c>
      <c r="BF64" s="10">
        <f>Table1[[#This Row],[Conjunctive.Power]]</f>
        <v>0.977590191940508</v>
      </c>
      <c r="BG64" s="10">
        <f>Table1[[#This Row],[Disjunctive.Power]]</f>
        <v>0.99964827655512001</v>
      </c>
      <c r="BH64" s="10">
        <f>Table1[[#This Row],[FWER]]</f>
        <v>0</v>
      </c>
      <c r="BI64" s="10">
        <f>_xlfn.NUMBERVALUE(MID(Table1[[#This Row],[CI_95perc_Global.Power]],2,FIND(",",Table1[[#This Row],[CI_95perc_Global.Power]])-2))</f>
        <v>0.99939</v>
      </c>
      <c r="BJ64" s="10">
        <f>_xlfn.NUMBERVALUE(MID(Table1[[#This Row],[CI_95perc_Global.Power]],FIND(",",Table1[[#This Row],[CI_95perc_Global.Power]])+1,LEN(Table1[[#This Row],[CI_95perc_Global.Power]])-FIND(",",Table1[[#This Row],[CI_95perc_Global.Power]])-1))</f>
        <v>0.99990999999999997</v>
      </c>
      <c r="BK64" s="10">
        <f>_xlfn.NUMBERVALUE(MID(Table1[[#This Row],[CI_95perc_Conjunctive.Power]],2,FIND(",",Table1[[#This Row],[CI_95perc_Conjunctive.Power]])-2))</f>
        <v>0.97553000000000001</v>
      </c>
      <c r="BL64" s="10">
        <f>_xlfn.NUMBERVALUE(MID(Table1[[#This Row],[CI_95perc_Conjunctive.Power]],FIND(",",Table1[[#This Row],[CI_95perc_Conjunctive.Power]])+1,LEN(Table1[[#This Row],[CI_95perc_Conjunctive.Power]])-FIND(",",Table1[[#This Row],[CI_95perc_Conjunctive.Power]])-1))</f>
        <v>0.97965000000000002</v>
      </c>
      <c r="BM64" s="10">
        <f>_xlfn.NUMBERVALUE(MID(Table1[[#This Row],[CI_95perc_Disjunctive.Power]],2,FIND(",",Table1[[#This Row],[CI_95perc_Disjunctive.Power]])-2))</f>
        <v>0.99939</v>
      </c>
      <c r="BN64" s="10">
        <f>_xlfn.NUMBERVALUE(MID(Table1[[#This Row],[CI_95perc_Disjunctive.Power]],FIND(",",Table1[[#This Row],[CI_95perc_Disjunctive.Power]])+1,LEN(Table1[[#This Row],[CI_95perc_Disjunctive.Power]])-FIND(",",Table1[[#This Row],[CI_95perc_Disjunctive.Power]])-1))</f>
        <v>0.99990999999999997</v>
      </c>
      <c r="BO64" s="10">
        <f>_xlfn.NUMBERVALUE(MID(Table1[[#This Row],[CI_95perc_FWER]],2,FIND(",",Table1[[#This Row],[CI_95perc_FWER]])-2))</f>
        <v>0</v>
      </c>
      <c r="BP64" s="10">
        <f>_xlfn.NUMBERVALUE(MID(Table1[[#This Row],[CI_95perc_FWER]],FIND(",",Table1[[#This Row],[CI_95perc_FWER]])+1,LEN(Table1[[#This Row],[CI_95perc_FWER]])-FIND(",",Table1[[#This Row],[CI_95perc_FWER]])-1))</f>
        <v>0</v>
      </c>
      <c r="BQ64" s="10" t="str">
        <f>_xlfn.CONCAT("(",TEXT(Table1[[#This Row],[LCL_Disj.Pow%]],"0.00%"), ", ",TEXT(Table1[[#This Row],[UCL_Disj.Pow%]],"0.00%"),")")</f>
        <v>(99.94%, 99.99%)</v>
      </c>
      <c r="BR64" s="10" t="str">
        <f>_xlfn.CONCAT("(",TEXT(Table1[[#This Row],[LCL_Conj.Pow%]],"0.00%"),", ",TEXT(Table1[[#This Row],[UCL_Conj.Pow%]],"0.00%"),")")</f>
        <v>(97.55%, 97.97%)</v>
      </c>
      <c r="BS64" s="10" t="str">
        <f>_xlfn.CONCAT("(",TEXT(Table1[[#This Row],[LCL_FWER%]],"0.00%"),", ",TEXT(Table1[[#This Row],[UCL_FWER%]],"0.00%"),")")</f>
        <v>(0.00%, 0.00%)</v>
      </c>
    </row>
    <row r="65" spans="1:71" x14ac:dyDescent="0.25">
      <c r="A65">
        <v>63</v>
      </c>
      <c r="B65" t="s">
        <v>146</v>
      </c>
      <c r="C65">
        <v>2252</v>
      </c>
      <c r="D65">
        <v>0.99983429999999995</v>
      </c>
      <c r="E65">
        <v>0.97634900000000002</v>
      </c>
      <c r="F65">
        <v>0.99983429999999995</v>
      </c>
      <c r="G65">
        <v>0</v>
      </c>
      <c r="H65" t="s">
        <v>336</v>
      </c>
      <c r="I65" t="s">
        <v>337</v>
      </c>
      <c r="J65" t="s">
        <v>336</v>
      </c>
      <c r="K65" t="s">
        <v>83</v>
      </c>
      <c r="L65" s="1">
        <v>158584136</v>
      </c>
      <c r="M65" t="s">
        <v>338</v>
      </c>
      <c r="N65">
        <v>0.81635628779729197</v>
      </c>
      <c r="O65" t="s">
        <v>85</v>
      </c>
      <c r="P65" t="s">
        <v>41</v>
      </c>
      <c r="Q65" s="2">
        <v>2000</v>
      </c>
      <c r="R65">
        <v>2.5000000000000001E-2</v>
      </c>
      <c r="S65" t="s">
        <v>42</v>
      </c>
      <c r="T65" t="s">
        <v>42</v>
      </c>
      <c r="U65" t="s">
        <v>43</v>
      </c>
      <c r="V65" s="2" t="s">
        <v>44</v>
      </c>
      <c r="W65">
        <v>5</v>
      </c>
      <c r="X65">
        <v>2</v>
      </c>
      <c r="Y65" s="2" t="s">
        <v>118</v>
      </c>
      <c r="Z65" s="2" t="s">
        <v>42</v>
      </c>
      <c r="AA65" s="2" t="s">
        <v>42</v>
      </c>
      <c r="AB65" s="2" t="s">
        <v>130</v>
      </c>
      <c r="AC65" t="s">
        <v>122</v>
      </c>
      <c r="AD65" t="s">
        <v>123</v>
      </c>
      <c r="AE65" t="s">
        <v>124</v>
      </c>
      <c r="AF65" t="s">
        <v>125</v>
      </c>
      <c r="AG65" t="s">
        <v>51</v>
      </c>
      <c r="AH65" t="s">
        <v>126</v>
      </c>
      <c r="AI65" t="s">
        <v>53</v>
      </c>
      <c r="AJ65" t="b">
        <v>1</v>
      </c>
      <c r="AK65" t="b">
        <v>1</v>
      </c>
      <c r="AL65">
        <v>1</v>
      </c>
      <c r="AM65">
        <v>1</v>
      </c>
      <c r="AN65" t="s">
        <v>56</v>
      </c>
      <c r="AO65" t="s">
        <v>57</v>
      </c>
      <c r="AP65">
        <v>0.5</v>
      </c>
      <c r="AQ65" t="b">
        <v>1</v>
      </c>
      <c r="AR65" t="s">
        <v>23</v>
      </c>
      <c r="AS65">
        <v>20000</v>
      </c>
      <c r="AT65">
        <v>500</v>
      </c>
      <c r="AU65" t="s">
        <v>121</v>
      </c>
      <c r="AV65" t="b">
        <v>0</v>
      </c>
      <c r="AW65" t="b">
        <v>0</v>
      </c>
      <c r="AX65" t="b">
        <v>1</v>
      </c>
      <c r="AY65" t="b">
        <v>0</v>
      </c>
      <c r="AZ65" t="b">
        <v>0</v>
      </c>
      <c r="BA65">
        <f>INDEX(Inp_CER_Bin_2eps3arms!$AN$2:$AN$176,MATCH(Table1[[#This Row],[ModelID]],Inp_CER_Bin_2eps3arms!$A$2:$A$176,0))</f>
        <v>0</v>
      </c>
      <c r="BB65" t="s">
        <v>42</v>
      </c>
      <c r="BC65" t="s">
        <v>622</v>
      </c>
      <c r="BD65" t="s">
        <v>632</v>
      </c>
      <c r="BE65" s="10">
        <f>Table1[[#This Row],[Global.Power]]</f>
        <v>0.99983429999999995</v>
      </c>
      <c r="BF65" s="10">
        <f>Table1[[#This Row],[Conjunctive.Power]]</f>
        <v>0.97634900000000002</v>
      </c>
      <c r="BG65" s="10">
        <f>Table1[[#This Row],[Disjunctive.Power]]</f>
        <v>0.99983429999999995</v>
      </c>
      <c r="BH65" s="10">
        <f>Table1[[#This Row],[FWER]]</f>
        <v>0</v>
      </c>
      <c r="BI65" s="10">
        <f>_xlfn.NUMBERVALUE(MID(Table1[[#This Row],[CI_95perc_Global.Power]],2,FIND(",",Table1[[#This Row],[CI_95perc_Global.Power]])-2))</f>
        <v>0.99980000000000002</v>
      </c>
      <c r="BJ65" s="10">
        <f>_xlfn.NUMBERVALUE(MID(Table1[[#This Row],[CI_95perc_Global.Power]],FIND(",",Table1[[#This Row],[CI_95perc_Global.Power]])+1,LEN(Table1[[#This Row],[CI_95perc_Global.Power]])-FIND(",",Table1[[#This Row],[CI_95perc_Global.Power]])-1))</f>
        <v>0.99985999999999997</v>
      </c>
      <c r="BK65" s="10">
        <f>_xlfn.NUMBERVALUE(MID(Table1[[#This Row],[CI_95perc_Conjunctive.Power]],2,FIND(",",Table1[[#This Row],[CI_95perc_Conjunctive.Power]])-2))</f>
        <v>0.97548000000000001</v>
      </c>
      <c r="BL65" s="10">
        <f>_xlfn.NUMBERVALUE(MID(Table1[[#This Row],[CI_95perc_Conjunctive.Power]],FIND(",",Table1[[#This Row],[CI_95perc_Conjunctive.Power]])+1,LEN(Table1[[#This Row],[CI_95perc_Conjunctive.Power]])-FIND(",",Table1[[#This Row],[CI_95perc_Conjunctive.Power]])-1))</f>
        <v>0.97721999999999998</v>
      </c>
      <c r="BM65" s="10">
        <f>_xlfn.NUMBERVALUE(MID(Table1[[#This Row],[CI_95perc_Disjunctive.Power]],2,FIND(",",Table1[[#This Row],[CI_95perc_Disjunctive.Power]])-2))</f>
        <v>0.99980000000000002</v>
      </c>
      <c r="BN65" s="10">
        <f>_xlfn.NUMBERVALUE(MID(Table1[[#This Row],[CI_95perc_Disjunctive.Power]],FIND(",",Table1[[#This Row],[CI_95perc_Disjunctive.Power]])+1,LEN(Table1[[#This Row],[CI_95perc_Disjunctive.Power]])-FIND(",",Table1[[#This Row],[CI_95perc_Disjunctive.Power]])-1))</f>
        <v>0.99985999999999997</v>
      </c>
      <c r="BO65" s="10">
        <f>_xlfn.NUMBERVALUE(MID(Table1[[#This Row],[CI_95perc_FWER]],2,FIND(",",Table1[[#This Row],[CI_95perc_FWER]])-2))</f>
        <v>0</v>
      </c>
      <c r="BP65" s="10">
        <f>_xlfn.NUMBERVALUE(MID(Table1[[#This Row],[CI_95perc_FWER]],FIND(",",Table1[[#This Row],[CI_95perc_FWER]])+1,LEN(Table1[[#This Row],[CI_95perc_FWER]])-FIND(",",Table1[[#This Row],[CI_95perc_FWER]])-1))</f>
        <v>0</v>
      </c>
      <c r="BQ65" s="10" t="str">
        <f>_xlfn.CONCAT("(",TEXT(Table1[[#This Row],[LCL_Disj.Pow%]],"0.00%"), ", ",TEXT(Table1[[#This Row],[UCL_Disj.Pow%]],"0.00%"),")")</f>
        <v>(99.98%, 99.99%)</v>
      </c>
      <c r="BR65" s="10" t="str">
        <f>_xlfn.CONCAT("(",TEXT(Table1[[#This Row],[LCL_Conj.Pow%]],"0.00%"),", ",TEXT(Table1[[#This Row],[UCL_Conj.Pow%]],"0.00%"),")")</f>
        <v>(97.55%, 97.72%)</v>
      </c>
      <c r="BS65" s="10" t="str">
        <f>_xlfn.CONCAT("(",TEXT(Table1[[#This Row],[LCL_FWER%]],"0.00%"),", ",TEXT(Table1[[#This Row],[UCL_FWER%]],"0.00%"),")")</f>
        <v>(0.00%, 0.00%)</v>
      </c>
    </row>
    <row r="66" spans="1:71" x14ac:dyDescent="0.25">
      <c r="A66">
        <v>64</v>
      </c>
      <c r="B66" t="s">
        <v>139</v>
      </c>
      <c r="C66">
        <v>1654</v>
      </c>
      <c r="D66">
        <v>0.99974886991461598</v>
      </c>
      <c r="E66">
        <v>0.967805123053742</v>
      </c>
      <c r="F66">
        <v>0.99974886991461598</v>
      </c>
      <c r="G66">
        <v>0</v>
      </c>
      <c r="H66" t="s">
        <v>278</v>
      </c>
      <c r="I66" t="s">
        <v>339</v>
      </c>
      <c r="J66" t="s">
        <v>278</v>
      </c>
      <c r="K66" t="s">
        <v>83</v>
      </c>
      <c r="L66" s="1">
        <v>157904115</v>
      </c>
      <c r="M66" t="s">
        <v>340</v>
      </c>
      <c r="N66">
        <v>7.3886440263854103E-2</v>
      </c>
      <c r="O66" t="s">
        <v>85</v>
      </c>
      <c r="P66" t="s">
        <v>117</v>
      </c>
      <c r="Q66" s="2">
        <v>2000</v>
      </c>
      <c r="R66">
        <v>2.5000000000000001E-2</v>
      </c>
      <c r="S66" t="s">
        <v>42</v>
      </c>
      <c r="T66" t="s">
        <v>42</v>
      </c>
      <c r="U66" t="s">
        <v>43</v>
      </c>
      <c r="V66" s="2" t="s">
        <v>44</v>
      </c>
      <c r="W66">
        <v>5</v>
      </c>
      <c r="X66">
        <v>2</v>
      </c>
      <c r="Y66" s="2" t="s">
        <v>118</v>
      </c>
      <c r="Z66" s="2" t="s">
        <v>42</v>
      </c>
      <c r="AA66" s="2" t="s">
        <v>42</v>
      </c>
      <c r="AB66" s="2" t="s">
        <v>130</v>
      </c>
      <c r="AC66" t="s">
        <v>122</v>
      </c>
      <c r="AD66" t="s">
        <v>123</v>
      </c>
      <c r="AE66" t="s">
        <v>124</v>
      </c>
      <c r="AF66" t="s">
        <v>125</v>
      </c>
      <c r="AG66" t="s">
        <v>51</v>
      </c>
      <c r="AH66" t="s">
        <v>126</v>
      </c>
      <c r="AI66" t="s">
        <v>53</v>
      </c>
      <c r="AJ66" t="b">
        <v>1</v>
      </c>
      <c r="AK66" t="b">
        <v>1</v>
      </c>
      <c r="AL66">
        <v>1</v>
      </c>
      <c r="AM66">
        <v>1</v>
      </c>
      <c r="AN66" t="s">
        <v>56</v>
      </c>
      <c r="AO66" t="s">
        <v>57</v>
      </c>
      <c r="AP66">
        <v>0.25</v>
      </c>
      <c r="AQ66" t="b">
        <v>1</v>
      </c>
      <c r="AR66" t="s">
        <v>23</v>
      </c>
      <c r="AS66">
        <v>20000</v>
      </c>
      <c r="AT66">
        <v>500</v>
      </c>
      <c r="AU66" t="s">
        <v>121</v>
      </c>
      <c r="AV66" t="b">
        <v>0</v>
      </c>
      <c r="AW66" t="b">
        <v>0</v>
      </c>
      <c r="AX66" t="b">
        <v>1</v>
      </c>
      <c r="AY66" t="b">
        <v>0</v>
      </c>
      <c r="AZ66" t="b">
        <v>0</v>
      </c>
      <c r="BA66">
        <f>INDEX(Inp_CER_Bin_2eps3arms!$AN$2:$AN$176,MATCH(Table1[[#This Row],[ModelID]],Inp_CER_Bin_2eps3arms!$A$2:$A$176,0))</f>
        <v>0</v>
      </c>
      <c r="BB66" t="s">
        <v>42</v>
      </c>
      <c r="BC66" t="s">
        <v>621</v>
      </c>
      <c r="BD66" t="s">
        <v>632</v>
      </c>
      <c r="BE66" s="10">
        <f>Table1[[#This Row],[Global.Power]]</f>
        <v>0.99974886991461598</v>
      </c>
      <c r="BF66" s="10">
        <f>Table1[[#This Row],[Conjunctive.Power]]</f>
        <v>0.967805123053742</v>
      </c>
      <c r="BG66" s="10">
        <f>Table1[[#This Row],[Disjunctive.Power]]</f>
        <v>0.99974886991461598</v>
      </c>
      <c r="BH66" s="10">
        <f>Table1[[#This Row],[FWER]]</f>
        <v>0</v>
      </c>
      <c r="BI66" s="10">
        <f>_xlfn.NUMBERVALUE(MID(Table1[[#This Row],[CI_95perc_Global.Power]],2,FIND(",",Table1[[#This Row],[CI_95perc_Global.Power]])-2))</f>
        <v>0.99953000000000003</v>
      </c>
      <c r="BJ66" s="10">
        <f>_xlfn.NUMBERVALUE(MID(Table1[[#This Row],[CI_95perc_Global.Power]],FIND(",",Table1[[#This Row],[CI_95perc_Global.Power]])+1,LEN(Table1[[#This Row],[CI_95perc_Global.Power]])-FIND(",",Table1[[#This Row],[CI_95perc_Global.Power]])-1))</f>
        <v>0.99997000000000003</v>
      </c>
      <c r="BK66" s="10">
        <f>_xlfn.NUMBERVALUE(MID(Table1[[#This Row],[CI_95perc_Conjunctive.Power]],2,FIND(",",Table1[[#This Row],[CI_95perc_Conjunctive.Power]])-2))</f>
        <v>0.96535000000000004</v>
      </c>
      <c r="BL66" s="10">
        <f>_xlfn.NUMBERVALUE(MID(Table1[[#This Row],[CI_95perc_Conjunctive.Power]],FIND(",",Table1[[#This Row],[CI_95perc_Conjunctive.Power]])+1,LEN(Table1[[#This Row],[CI_95perc_Conjunctive.Power]])-FIND(",",Table1[[#This Row],[CI_95perc_Conjunctive.Power]])-1))</f>
        <v>0.97026000000000001</v>
      </c>
      <c r="BM66" s="10">
        <f>_xlfn.NUMBERVALUE(MID(Table1[[#This Row],[CI_95perc_Disjunctive.Power]],2,FIND(",",Table1[[#This Row],[CI_95perc_Disjunctive.Power]])-2))</f>
        <v>0.99953000000000003</v>
      </c>
      <c r="BN66" s="10">
        <f>_xlfn.NUMBERVALUE(MID(Table1[[#This Row],[CI_95perc_Disjunctive.Power]],FIND(",",Table1[[#This Row],[CI_95perc_Disjunctive.Power]])+1,LEN(Table1[[#This Row],[CI_95perc_Disjunctive.Power]])-FIND(",",Table1[[#This Row],[CI_95perc_Disjunctive.Power]])-1))</f>
        <v>0.99997000000000003</v>
      </c>
      <c r="BO66" s="10">
        <f>_xlfn.NUMBERVALUE(MID(Table1[[#This Row],[CI_95perc_FWER]],2,FIND(",",Table1[[#This Row],[CI_95perc_FWER]])-2))</f>
        <v>0</v>
      </c>
      <c r="BP66" s="10">
        <f>_xlfn.NUMBERVALUE(MID(Table1[[#This Row],[CI_95perc_FWER]],FIND(",",Table1[[#This Row],[CI_95perc_FWER]])+1,LEN(Table1[[#This Row],[CI_95perc_FWER]])-FIND(",",Table1[[#This Row],[CI_95perc_FWER]])-1))</f>
        <v>0</v>
      </c>
      <c r="BQ66" s="10" t="str">
        <f>_xlfn.CONCAT("(",TEXT(Table1[[#This Row],[LCL_Disj.Pow%]],"0.00%"), ", ",TEXT(Table1[[#This Row],[UCL_Disj.Pow%]],"0.00%"),")")</f>
        <v>(99.95%, 100.00%)</v>
      </c>
      <c r="BR66" s="10" t="str">
        <f>_xlfn.CONCAT("(",TEXT(Table1[[#This Row],[LCL_Conj.Pow%]],"0.00%"),", ",TEXT(Table1[[#This Row],[UCL_Conj.Pow%]],"0.00%"),")")</f>
        <v>(96.54%, 97.03%)</v>
      </c>
      <c r="BS66" s="10" t="str">
        <f>_xlfn.CONCAT("(",TEXT(Table1[[#This Row],[LCL_FWER%]],"0.00%"),", ",TEXT(Table1[[#This Row],[UCL_FWER%]],"0.00%"),")")</f>
        <v>(0.00%, 0.00%)</v>
      </c>
    </row>
    <row r="67" spans="1:71" x14ac:dyDescent="0.25">
      <c r="A67">
        <v>65</v>
      </c>
      <c r="B67" t="s">
        <v>147</v>
      </c>
      <c r="C67">
        <v>5403</v>
      </c>
      <c r="D67">
        <v>0.99984450000000002</v>
      </c>
      <c r="E67">
        <v>0.96767110000000001</v>
      </c>
      <c r="F67">
        <v>0.99984450000000002</v>
      </c>
      <c r="G67">
        <v>0</v>
      </c>
      <c r="H67" t="s">
        <v>341</v>
      </c>
      <c r="I67" t="s">
        <v>342</v>
      </c>
      <c r="J67" t="s">
        <v>341</v>
      </c>
      <c r="K67" t="s">
        <v>83</v>
      </c>
      <c r="L67" s="1">
        <v>158374159</v>
      </c>
      <c r="M67" t="s">
        <v>343</v>
      </c>
      <c r="N67">
        <v>0.83003212054570497</v>
      </c>
      <c r="O67" t="s">
        <v>85</v>
      </c>
      <c r="P67" t="s">
        <v>41</v>
      </c>
      <c r="Q67" s="2">
        <v>2000</v>
      </c>
      <c r="R67">
        <v>2.5000000000000001E-2</v>
      </c>
      <c r="S67" t="s">
        <v>42</v>
      </c>
      <c r="T67" t="s">
        <v>42</v>
      </c>
      <c r="U67" t="s">
        <v>43</v>
      </c>
      <c r="V67" s="2" t="s">
        <v>44</v>
      </c>
      <c r="W67">
        <v>5</v>
      </c>
      <c r="X67">
        <v>2</v>
      </c>
      <c r="Y67" s="2" t="s">
        <v>118</v>
      </c>
      <c r="Z67" s="2" t="s">
        <v>42</v>
      </c>
      <c r="AA67" s="2" t="s">
        <v>42</v>
      </c>
      <c r="AB67" s="2" t="s">
        <v>130</v>
      </c>
      <c r="AC67" t="s">
        <v>122</v>
      </c>
      <c r="AD67" t="s">
        <v>123</v>
      </c>
      <c r="AE67" t="s">
        <v>124</v>
      </c>
      <c r="AF67" t="s">
        <v>125</v>
      </c>
      <c r="AG67" t="s">
        <v>51</v>
      </c>
      <c r="AH67" t="s">
        <v>126</v>
      </c>
      <c r="AI67" t="s">
        <v>53</v>
      </c>
      <c r="AJ67" t="b">
        <v>1</v>
      </c>
      <c r="AK67" t="b">
        <v>1</v>
      </c>
      <c r="AL67">
        <v>1</v>
      </c>
      <c r="AM67">
        <v>1</v>
      </c>
      <c r="AN67" t="s">
        <v>56</v>
      </c>
      <c r="AO67" t="s">
        <v>57</v>
      </c>
      <c r="AP67">
        <v>0.25</v>
      </c>
      <c r="AQ67" t="b">
        <v>1</v>
      </c>
      <c r="AR67" t="s">
        <v>23</v>
      </c>
      <c r="AS67">
        <v>20000</v>
      </c>
      <c r="AT67">
        <v>500</v>
      </c>
      <c r="AU67" t="s">
        <v>121</v>
      </c>
      <c r="AV67" t="b">
        <v>0</v>
      </c>
      <c r="AW67" t="b">
        <v>0</v>
      </c>
      <c r="AX67" t="b">
        <v>1</v>
      </c>
      <c r="AY67" t="b">
        <v>0</v>
      </c>
      <c r="AZ67" t="b">
        <v>0</v>
      </c>
      <c r="BA67">
        <f>INDEX(Inp_CER_Bin_2eps3arms!$AN$2:$AN$176,MATCH(Table1[[#This Row],[ModelID]],Inp_CER_Bin_2eps3arms!$A$2:$A$176,0))</f>
        <v>0</v>
      </c>
      <c r="BB67" t="s">
        <v>42</v>
      </c>
      <c r="BC67" t="s">
        <v>621</v>
      </c>
      <c r="BD67" t="s">
        <v>632</v>
      </c>
      <c r="BE67" s="10">
        <f>Table1[[#This Row],[Global.Power]]</f>
        <v>0.99984450000000002</v>
      </c>
      <c r="BF67" s="10">
        <f>Table1[[#This Row],[Conjunctive.Power]]</f>
        <v>0.96767110000000001</v>
      </c>
      <c r="BG67" s="10">
        <f>Table1[[#This Row],[Disjunctive.Power]]</f>
        <v>0.99984450000000002</v>
      </c>
      <c r="BH67" s="10">
        <f>Table1[[#This Row],[FWER]]</f>
        <v>0</v>
      </c>
      <c r="BI67" s="10">
        <f>_xlfn.NUMBERVALUE(MID(Table1[[#This Row],[CI_95perc_Global.Power]],2,FIND(",",Table1[[#This Row],[CI_95perc_Global.Power]])-2))</f>
        <v>0.99975000000000003</v>
      </c>
      <c r="BJ67" s="10">
        <f>_xlfn.NUMBERVALUE(MID(Table1[[#This Row],[CI_95perc_Global.Power]],FIND(",",Table1[[#This Row],[CI_95perc_Global.Power]])+1,LEN(Table1[[#This Row],[CI_95perc_Global.Power]])-FIND(",",Table1[[#This Row],[CI_95perc_Global.Power]])-1))</f>
        <v>0.99994000000000005</v>
      </c>
      <c r="BK67" s="10">
        <f>_xlfn.NUMBERVALUE(MID(Table1[[#This Row],[CI_95perc_Conjunctive.Power]],2,FIND(",",Table1[[#This Row],[CI_95perc_Conjunctive.Power]])-2))</f>
        <v>0.96603000000000006</v>
      </c>
      <c r="BL67" s="10">
        <f>_xlfn.NUMBERVALUE(MID(Table1[[#This Row],[CI_95perc_Conjunctive.Power]],FIND(",",Table1[[#This Row],[CI_95perc_Conjunctive.Power]])+1,LEN(Table1[[#This Row],[CI_95perc_Conjunctive.Power]])-FIND(",",Table1[[#This Row],[CI_95perc_Conjunctive.Power]])-1))</f>
        <v>0.96931</v>
      </c>
      <c r="BM67" s="10">
        <f>_xlfn.NUMBERVALUE(MID(Table1[[#This Row],[CI_95perc_Disjunctive.Power]],2,FIND(",",Table1[[#This Row],[CI_95perc_Disjunctive.Power]])-2))</f>
        <v>0.99975000000000003</v>
      </c>
      <c r="BN67" s="10">
        <f>_xlfn.NUMBERVALUE(MID(Table1[[#This Row],[CI_95perc_Disjunctive.Power]],FIND(",",Table1[[#This Row],[CI_95perc_Disjunctive.Power]])+1,LEN(Table1[[#This Row],[CI_95perc_Disjunctive.Power]])-FIND(",",Table1[[#This Row],[CI_95perc_Disjunctive.Power]])-1))</f>
        <v>0.99994000000000005</v>
      </c>
      <c r="BO67" s="10">
        <f>_xlfn.NUMBERVALUE(MID(Table1[[#This Row],[CI_95perc_FWER]],2,FIND(",",Table1[[#This Row],[CI_95perc_FWER]])-2))</f>
        <v>0</v>
      </c>
      <c r="BP67" s="10">
        <f>_xlfn.NUMBERVALUE(MID(Table1[[#This Row],[CI_95perc_FWER]],FIND(",",Table1[[#This Row],[CI_95perc_FWER]])+1,LEN(Table1[[#This Row],[CI_95perc_FWER]])-FIND(",",Table1[[#This Row],[CI_95perc_FWER]])-1))</f>
        <v>0</v>
      </c>
      <c r="BQ67" s="10" t="str">
        <f>_xlfn.CONCAT("(",TEXT(Table1[[#This Row],[LCL_Disj.Pow%]],"0.00%"), ", ",TEXT(Table1[[#This Row],[UCL_Disj.Pow%]],"0.00%"),")")</f>
        <v>(99.98%, 99.99%)</v>
      </c>
      <c r="BR67" s="10" t="str">
        <f>_xlfn.CONCAT("(",TEXT(Table1[[#This Row],[LCL_Conj.Pow%]],"0.00%"),", ",TEXT(Table1[[#This Row],[UCL_Conj.Pow%]],"0.00%"),")")</f>
        <v>(96.60%, 96.93%)</v>
      </c>
      <c r="BS67" s="10" t="str">
        <f>_xlfn.CONCAT("(",TEXT(Table1[[#This Row],[LCL_FWER%]],"0.00%"),", ",TEXT(Table1[[#This Row],[UCL_FWER%]],"0.00%"),")")</f>
        <v>(0.00%, 0.00%)</v>
      </c>
    </row>
    <row r="68" spans="1:71" x14ac:dyDescent="0.25">
      <c r="A68">
        <v>66</v>
      </c>
      <c r="B68" t="s">
        <v>140</v>
      </c>
      <c r="C68">
        <v>4189</v>
      </c>
      <c r="D68">
        <v>1</v>
      </c>
      <c r="E68">
        <v>0.23231615807903999</v>
      </c>
      <c r="F68">
        <v>1</v>
      </c>
      <c r="G68">
        <v>0</v>
      </c>
      <c r="H68" t="s">
        <v>316</v>
      </c>
      <c r="I68" t="s">
        <v>344</v>
      </c>
      <c r="J68" t="s">
        <v>316</v>
      </c>
      <c r="K68" t="s">
        <v>83</v>
      </c>
      <c r="L68" s="1">
        <v>158024188</v>
      </c>
      <c r="M68" t="s">
        <v>345</v>
      </c>
      <c r="N68">
        <v>6.7960408065054198E-2</v>
      </c>
      <c r="O68" t="s">
        <v>85</v>
      </c>
      <c r="P68" t="s">
        <v>117</v>
      </c>
      <c r="Q68" s="2">
        <v>2000</v>
      </c>
      <c r="R68">
        <v>2.5000000000000001E-2</v>
      </c>
      <c r="S68" t="s">
        <v>42</v>
      </c>
      <c r="T68" t="s">
        <v>42</v>
      </c>
      <c r="U68" t="s">
        <v>43</v>
      </c>
      <c r="V68" s="2" t="s">
        <v>44</v>
      </c>
      <c r="W68">
        <v>5</v>
      </c>
      <c r="X68">
        <v>2</v>
      </c>
      <c r="Y68" s="2" t="s">
        <v>118</v>
      </c>
      <c r="Z68" s="2" t="s">
        <v>42</v>
      </c>
      <c r="AA68" s="2" t="s">
        <v>42</v>
      </c>
      <c r="AB68" s="2" t="s">
        <v>130</v>
      </c>
      <c r="AC68" t="s">
        <v>122</v>
      </c>
      <c r="AD68" t="s">
        <v>123</v>
      </c>
      <c r="AE68" t="s">
        <v>124</v>
      </c>
      <c r="AF68" t="s">
        <v>125</v>
      </c>
      <c r="AG68" t="s">
        <v>51</v>
      </c>
      <c r="AH68" t="s">
        <v>126</v>
      </c>
      <c r="AI68" t="s">
        <v>53</v>
      </c>
      <c r="AJ68" t="b">
        <v>1</v>
      </c>
      <c r="AK68" t="b">
        <v>1</v>
      </c>
      <c r="AL68">
        <v>1</v>
      </c>
      <c r="AM68">
        <v>1</v>
      </c>
      <c r="AN68" t="s">
        <v>56</v>
      </c>
      <c r="AO68" t="s">
        <v>60</v>
      </c>
      <c r="AP68">
        <v>1</v>
      </c>
      <c r="AQ68" t="b">
        <v>1</v>
      </c>
      <c r="AR68" t="s">
        <v>23</v>
      </c>
      <c r="AS68">
        <v>20000</v>
      </c>
      <c r="AT68">
        <v>500</v>
      </c>
      <c r="AU68" t="s">
        <v>121</v>
      </c>
      <c r="AV68" t="b">
        <v>0</v>
      </c>
      <c r="AW68" t="b">
        <v>0</v>
      </c>
      <c r="AX68" t="b">
        <v>1</v>
      </c>
      <c r="AY68" t="b">
        <v>0</v>
      </c>
      <c r="AZ68" t="b">
        <v>0</v>
      </c>
      <c r="BA68">
        <f>INDEX(Inp_CER_Bin_2eps3arms!$AN$2:$AN$176,MATCH(Table1[[#This Row],[ModelID]],Inp_CER_Bin_2eps3arms!$A$2:$A$176,0))</f>
        <v>0</v>
      </c>
      <c r="BB68" t="s">
        <v>42</v>
      </c>
      <c r="BC68" t="s">
        <v>620</v>
      </c>
      <c r="BD68" t="s">
        <v>632</v>
      </c>
      <c r="BE68" s="10">
        <f>Table1[[#This Row],[Global.Power]]</f>
        <v>1</v>
      </c>
      <c r="BF68" s="10">
        <f>Table1[[#This Row],[Conjunctive.Power]]</f>
        <v>0.23231615807903999</v>
      </c>
      <c r="BG68" s="10">
        <f>Table1[[#This Row],[Disjunctive.Power]]</f>
        <v>1</v>
      </c>
      <c r="BH68" s="10">
        <f>Table1[[#This Row],[FWER]]</f>
        <v>0</v>
      </c>
      <c r="BI68" s="10">
        <f>_xlfn.NUMBERVALUE(MID(Table1[[#This Row],[CI_95perc_Global.Power]],2,FIND(",",Table1[[#This Row],[CI_95perc_Global.Power]])-2))</f>
        <v>1</v>
      </c>
      <c r="BJ68" s="10">
        <f>_xlfn.NUMBERVALUE(MID(Table1[[#This Row],[CI_95perc_Global.Power]],FIND(",",Table1[[#This Row],[CI_95perc_Global.Power]])+1,LEN(Table1[[#This Row],[CI_95perc_Global.Power]])-FIND(",",Table1[[#This Row],[CI_95perc_Global.Power]])-1))</f>
        <v>1</v>
      </c>
      <c r="BK68" s="10">
        <f>_xlfn.NUMBERVALUE(MID(Table1[[#This Row],[CI_95perc_Conjunctive.Power]],2,FIND(",",Table1[[#This Row],[CI_95perc_Conjunctive.Power]])-2))</f>
        <v>0.22645999999999999</v>
      </c>
      <c r="BL68" s="10">
        <f>_xlfn.NUMBERVALUE(MID(Table1[[#This Row],[CI_95perc_Conjunctive.Power]],FIND(",",Table1[[#This Row],[CI_95perc_Conjunctive.Power]])+1,LEN(Table1[[#This Row],[CI_95perc_Conjunctive.Power]])-FIND(",",Table1[[#This Row],[CI_95perc_Conjunctive.Power]])-1))</f>
        <v>0.23816999999999999</v>
      </c>
      <c r="BM68" s="10">
        <f>_xlfn.NUMBERVALUE(MID(Table1[[#This Row],[CI_95perc_Disjunctive.Power]],2,FIND(",",Table1[[#This Row],[CI_95perc_Disjunctive.Power]])-2))</f>
        <v>1</v>
      </c>
      <c r="BN68" s="10">
        <f>_xlfn.NUMBERVALUE(MID(Table1[[#This Row],[CI_95perc_Disjunctive.Power]],FIND(",",Table1[[#This Row],[CI_95perc_Disjunctive.Power]])+1,LEN(Table1[[#This Row],[CI_95perc_Disjunctive.Power]])-FIND(",",Table1[[#This Row],[CI_95perc_Disjunctive.Power]])-1))</f>
        <v>1</v>
      </c>
      <c r="BO68" s="10">
        <f>_xlfn.NUMBERVALUE(MID(Table1[[#This Row],[CI_95perc_FWER]],2,FIND(",",Table1[[#This Row],[CI_95perc_FWER]])-2))</f>
        <v>0</v>
      </c>
      <c r="BP68" s="10">
        <f>_xlfn.NUMBERVALUE(MID(Table1[[#This Row],[CI_95perc_FWER]],FIND(",",Table1[[#This Row],[CI_95perc_FWER]])+1,LEN(Table1[[#This Row],[CI_95perc_FWER]])-FIND(",",Table1[[#This Row],[CI_95perc_FWER]])-1))</f>
        <v>0</v>
      </c>
      <c r="BQ68" s="10" t="str">
        <f>_xlfn.CONCAT("(",TEXT(Table1[[#This Row],[LCL_Disj.Pow%]],"0.00%"), ", ",TEXT(Table1[[#This Row],[UCL_Disj.Pow%]],"0.00%"),")")</f>
        <v>(100.00%, 100.00%)</v>
      </c>
      <c r="BR68" s="10" t="str">
        <f>_xlfn.CONCAT("(",TEXT(Table1[[#This Row],[LCL_Conj.Pow%]],"0.00%"),", ",TEXT(Table1[[#This Row],[UCL_Conj.Pow%]],"0.00%"),")")</f>
        <v>(22.65%, 23.82%)</v>
      </c>
      <c r="BS68" s="10" t="str">
        <f>_xlfn.CONCAT("(",TEXT(Table1[[#This Row],[LCL_FWER%]],"0.00%"),", ",TEXT(Table1[[#This Row],[UCL_FWER%]],"0.00%"),")")</f>
        <v>(0.00%, 0.00%)</v>
      </c>
    </row>
    <row r="69" spans="1:71" x14ac:dyDescent="0.25">
      <c r="A69">
        <v>67</v>
      </c>
      <c r="B69" t="s">
        <v>148</v>
      </c>
      <c r="C69">
        <v>8646</v>
      </c>
      <c r="D69">
        <v>0.9999981</v>
      </c>
      <c r="E69">
        <v>0.22942489999999999</v>
      </c>
      <c r="F69">
        <v>0.9999981</v>
      </c>
      <c r="G69">
        <v>0</v>
      </c>
      <c r="H69" t="s">
        <v>316</v>
      </c>
      <c r="I69" t="s">
        <v>346</v>
      </c>
      <c r="J69" t="s">
        <v>316</v>
      </c>
      <c r="K69" t="s">
        <v>83</v>
      </c>
      <c r="L69" s="1">
        <v>157464254</v>
      </c>
      <c r="M69" t="s">
        <v>347</v>
      </c>
      <c r="N69">
        <v>0.58662872665458299</v>
      </c>
      <c r="O69" t="s">
        <v>85</v>
      </c>
      <c r="P69" t="s">
        <v>41</v>
      </c>
      <c r="Q69" s="2">
        <v>2000</v>
      </c>
      <c r="R69">
        <v>2.5000000000000001E-2</v>
      </c>
      <c r="S69" t="s">
        <v>42</v>
      </c>
      <c r="T69" t="s">
        <v>42</v>
      </c>
      <c r="U69" t="s">
        <v>43</v>
      </c>
      <c r="V69" s="2" t="s">
        <v>44</v>
      </c>
      <c r="W69">
        <v>5</v>
      </c>
      <c r="X69">
        <v>2</v>
      </c>
      <c r="Y69" s="2" t="s">
        <v>118</v>
      </c>
      <c r="Z69" s="2" t="s">
        <v>42</v>
      </c>
      <c r="AA69" s="2" t="s">
        <v>42</v>
      </c>
      <c r="AB69" s="2" t="s">
        <v>130</v>
      </c>
      <c r="AC69" t="s">
        <v>122</v>
      </c>
      <c r="AD69" t="s">
        <v>123</v>
      </c>
      <c r="AE69" t="s">
        <v>124</v>
      </c>
      <c r="AF69" t="s">
        <v>125</v>
      </c>
      <c r="AG69" t="s">
        <v>51</v>
      </c>
      <c r="AH69" t="s">
        <v>126</v>
      </c>
      <c r="AI69" t="s">
        <v>53</v>
      </c>
      <c r="AJ69" t="b">
        <v>1</v>
      </c>
      <c r="AK69" t="b">
        <v>1</v>
      </c>
      <c r="AL69">
        <v>1</v>
      </c>
      <c r="AM69">
        <v>1</v>
      </c>
      <c r="AN69" t="s">
        <v>56</v>
      </c>
      <c r="AO69" t="s">
        <v>60</v>
      </c>
      <c r="AP69">
        <v>1</v>
      </c>
      <c r="AQ69" t="b">
        <v>1</v>
      </c>
      <c r="AR69" t="s">
        <v>23</v>
      </c>
      <c r="AS69">
        <v>20000</v>
      </c>
      <c r="AT69">
        <v>500</v>
      </c>
      <c r="AU69" t="s">
        <v>121</v>
      </c>
      <c r="AV69" t="b">
        <v>0</v>
      </c>
      <c r="AW69" t="b">
        <v>0</v>
      </c>
      <c r="AX69" t="b">
        <v>1</v>
      </c>
      <c r="AY69" t="b">
        <v>0</v>
      </c>
      <c r="AZ69" t="b">
        <v>0</v>
      </c>
      <c r="BA69">
        <f>INDEX(Inp_CER_Bin_2eps3arms!$AN$2:$AN$176,MATCH(Table1[[#This Row],[ModelID]],Inp_CER_Bin_2eps3arms!$A$2:$A$176,0))</f>
        <v>0</v>
      </c>
      <c r="BB69" t="s">
        <v>42</v>
      </c>
      <c r="BC69" t="s">
        <v>620</v>
      </c>
      <c r="BD69" t="s">
        <v>632</v>
      </c>
      <c r="BE69" s="10">
        <f>Table1[[#This Row],[Global.Power]]</f>
        <v>0.9999981</v>
      </c>
      <c r="BF69" s="10">
        <f>Table1[[#This Row],[Conjunctive.Power]]</f>
        <v>0.22942489999999999</v>
      </c>
      <c r="BG69" s="10">
        <f>Table1[[#This Row],[Disjunctive.Power]]</f>
        <v>0.9999981</v>
      </c>
      <c r="BH69" s="10">
        <f>Table1[[#This Row],[FWER]]</f>
        <v>0</v>
      </c>
      <c r="BI69" s="10">
        <f>_xlfn.NUMBERVALUE(MID(Table1[[#This Row],[CI_95perc_Global.Power]],2,FIND(",",Table1[[#This Row],[CI_95perc_Global.Power]])-2))</f>
        <v>1</v>
      </c>
      <c r="BJ69" s="10">
        <f>_xlfn.NUMBERVALUE(MID(Table1[[#This Row],[CI_95perc_Global.Power]],FIND(",",Table1[[#This Row],[CI_95perc_Global.Power]])+1,LEN(Table1[[#This Row],[CI_95perc_Global.Power]])-FIND(",",Table1[[#This Row],[CI_95perc_Global.Power]])-1))</f>
        <v>1</v>
      </c>
      <c r="BK69" s="10">
        <f>_xlfn.NUMBERVALUE(MID(Table1[[#This Row],[CI_95perc_Conjunctive.Power]],2,FIND(",",Table1[[#This Row],[CI_95perc_Conjunctive.Power]])-2))</f>
        <v>0.22359999999999999</v>
      </c>
      <c r="BL69" s="10">
        <f>_xlfn.NUMBERVALUE(MID(Table1[[#This Row],[CI_95perc_Conjunctive.Power]],FIND(",",Table1[[#This Row],[CI_95perc_Conjunctive.Power]])+1,LEN(Table1[[#This Row],[CI_95perc_Conjunctive.Power]])-FIND(",",Table1[[#This Row],[CI_95perc_Conjunctive.Power]])-1))</f>
        <v>0.23524999999999999</v>
      </c>
      <c r="BM69" s="10">
        <f>_xlfn.NUMBERVALUE(MID(Table1[[#This Row],[CI_95perc_Disjunctive.Power]],2,FIND(",",Table1[[#This Row],[CI_95perc_Disjunctive.Power]])-2))</f>
        <v>1</v>
      </c>
      <c r="BN69" s="10">
        <f>_xlfn.NUMBERVALUE(MID(Table1[[#This Row],[CI_95perc_Disjunctive.Power]],FIND(",",Table1[[#This Row],[CI_95perc_Disjunctive.Power]])+1,LEN(Table1[[#This Row],[CI_95perc_Disjunctive.Power]])-FIND(",",Table1[[#This Row],[CI_95perc_Disjunctive.Power]])-1))</f>
        <v>1</v>
      </c>
      <c r="BO69" s="10">
        <f>_xlfn.NUMBERVALUE(MID(Table1[[#This Row],[CI_95perc_FWER]],2,FIND(",",Table1[[#This Row],[CI_95perc_FWER]])-2))</f>
        <v>0</v>
      </c>
      <c r="BP69" s="10">
        <f>_xlfn.NUMBERVALUE(MID(Table1[[#This Row],[CI_95perc_FWER]],FIND(",",Table1[[#This Row],[CI_95perc_FWER]])+1,LEN(Table1[[#This Row],[CI_95perc_FWER]])-FIND(",",Table1[[#This Row],[CI_95perc_FWER]])-1))</f>
        <v>0</v>
      </c>
      <c r="BQ69" s="10" t="str">
        <f>_xlfn.CONCAT("(",TEXT(Table1[[#This Row],[LCL_Disj.Pow%]],"0.00%"), ", ",TEXT(Table1[[#This Row],[UCL_Disj.Pow%]],"0.00%"),")")</f>
        <v>(100.00%, 100.00%)</v>
      </c>
      <c r="BR69" s="10" t="str">
        <f>_xlfn.CONCAT("(",TEXT(Table1[[#This Row],[LCL_Conj.Pow%]],"0.00%"),", ",TEXT(Table1[[#This Row],[UCL_Conj.Pow%]],"0.00%"),")")</f>
        <v>(22.36%, 23.53%)</v>
      </c>
      <c r="BS69" s="10" t="str">
        <f>_xlfn.CONCAT("(",TEXT(Table1[[#This Row],[LCL_FWER%]],"0.00%"),", ",TEXT(Table1[[#This Row],[UCL_FWER%]],"0.00%"),")")</f>
        <v>(0.00%, 0.00%)</v>
      </c>
    </row>
    <row r="70" spans="1:71" x14ac:dyDescent="0.25">
      <c r="A70" s="3">
        <v>68</v>
      </c>
      <c r="B70" t="s">
        <v>609</v>
      </c>
      <c r="C70">
        <v>6877</v>
      </c>
      <c r="D70">
        <v>0.53634999999999999</v>
      </c>
      <c r="E70">
        <v>0.27400000000000002</v>
      </c>
      <c r="F70">
        <v>0.53610000000000002</v>
      </c>
      <c r="G70">
        <v>8.2500000000000004E-3</v>
      </c>
      <c r="H70" t="s">
        <v>365</v>
      </c>
      <c r="I70" t="s">
        <v>366</v>
      </c>
      <c r="J70" t="s">
        <v>367</v>
      </c>
      <c r="K70" t="s">
        <v>368</v>
      </c>
      <c r="L70" s="1">
        <v>19228805</v>
      </c>
      <c r="M70" t="s">
        <v>369</v>
      </c>
      <c r="N70">
        <v>0.116828842</v>
      </c>
      <c r="O70" t="s">
        <v>85</v>
      </c>
      <c r="P70" t="s">
        <v>117</v>
      </c>
      <c r="Q70">
        <v>800</v>
      </c>
      <c r="R70">
        <v>2.5000000000000001E-2</v>
      </c>
      <c r="S70" t="s">
        <v>42</v>
      </c>
      <c r="T70" t="s">
        <v>42</v>
      </c>
      <c r="U70" t="s">
        <v>43</v>
      </c>
      <c r="V70" t="s">
        <v>44</v>
      </c>
      <c r="W70">
        <v>5</v>
      </c>
      <c r="X70">
        <v>2</v>
      </c>
      <c r="Y70" t="s">
        <v>118</v>
      </c>
      <c r="Z70" t="s">
        <v>42</v>
      </c>
      <c r="AA70" t="s">
        <v>42</v>
      </c>
      <c r="AB70" t="s">
        <v>127</v>
      </c>
      <c r="AC70" t="s">
        <v>122</v>
      </c>
      <c r="AD70" t="s">
        <v>120</v>
      </c>
      <c r="AE70" t="s">
        <v>124</v>
      </c>
      <c r="AF70" t="s">
        <v>125</v>
      </c>
      <c r="AG70" t="s">
        <v>51</v>
      </c>
      <c r="AH70" t="s">
        <v>52</v>
      </c>
      <c r="AI70" t="s">
        <v>53</v>
      </c>
      <c r="AJ70" t="b">
        <v>1</v>
      </c>
      <c r="AK70" t="b">
        <v>0</v>
      </c>
      <c r="AL70" t="s">
        <v>42</v>
      </c>
      <c r="AM70" t="s">
        <v>42</v>
      </c>
      <c r="AN70" t="s">
        <v>42</v>
      </c>
      <c r="AO70" t="s">
        <v>42</v>
      </c>
      <c r="AP70" t="s">
        <v>42</v>
      </c>
      <c r="AQ70" t="s">
        <v>42</v>
      </c>
      <c r="AR70" t="s">
        <v>54</v>
      </c>
      <c r="AS70">
        <v>20000</v>
      </c>
      <c r="AT70">
        <v>500</v>
      </c>
      <c r="AU70" t="s">
        <v>121</v>
      </c>
      <c r="AV70" t="b">
        <v>0</v>
      </c>
      <c r="AW70" t="b">
        <v>0</v>
      </c>
      <c r="AX70" t="b">
        <v>1</v>
      </c>
      <c r="AY70" t="b">
        <v>1</v>
      </c>
      <c r="BA70">
        <f>INDEX(Inp_CER_Bin_2eps3arms!$AN$2:$AN$176,MATCH(Table1[[#This Row],[ModelID]],Inp_CER_Bin_2eps3arms!$A$2:$A$176,0))</f>
        <v>0</v>
      </c>
      <c r="BC70" t="s">
        <v>618</v>
      </c>
      <c r="BD70" t="s">
        <v>629</v>
      </c>
      <c r="BE70" s="10">
        <f>Table1[[#This Row],[Global.Power]]</f>
        <v>0.53634999999999999</v>
      </c>
      <c r="BF70" s="10">
        <f>Table1[[#This Row],[Conjunctive.Power]]</f>
        <v>0.27400000000000002</v>
      </c>
      <c r="BG70" s="10">
        <f>Table1[[#This Row],[Disjunctive.Power]]</f>
        <v>0.53610000000000002</v>
      </c>
      <c r="BH70" s="10">
        <f>Table1[[#This Row],[FWER]]</f>
        <v>8.2500000000000004E-3</v>
      </c>
      <c r="BI70" s="10">
        <f>_xlfn.NUMBERVALUE(MID(Table1[[#This Row],[CI_95perc_Global.Power]],2,FIND(",",Table1[[#This Row],[CI_95perc_Global.Power]])-2))</f>
        <v>0.52944000000000002</v>
      </c>
      <c r="BJ70" s="10">
        <f>_xlfn.NUMBERVALUE(MID(Table1[[#This Row],[CI_95perc_Global.Power]],FIND(",",Table1[[#This Row],[CI_95perc_Global.Power]])+1,LEN(Table1[[#This Row],[CI_95perc_Global.Power]])-FIND(",",Table1[[#This Row],[CI_95perc_Global.Power]])-1))</f>
        <v>0.54325999999999997</v>
      </c>
      <c r="BK70" s="10">
        <f>_xlfn.NUMBERVALUE(MID(Table1[[#This Row],[CI_95perc_Conjunctive.Power]],2,FIND(",",Table1[[#This Row],[CI_95perc_Conjunctive.Power]])-2))</f>
        <v>0.26782</v>
      </c>
      <c r="BL70" s="10">
        <f>_xlfn.NUMBERVALUE(MID(Table1[[#This Row],[CI_95perc_Conjunctive.Power]],FIND(",",Table1[[#This Row],[CI_95perc_Conjunctive.Power]])+1,LEN(Table1[[#This Row],[CI_95perc_Conjunctive.Power]])-FIND(",",Table1[[#This Row],[CI_95perc_Conjunctive.Power]])-1))</f>
        <v>0.28017999999999998</v>
      </c>
      <c r="BM70" s="10">
        <f>_xlfn.NUMBERVALUE(MID(Table1[[#This Row],[CI_95perc_Disjunctive.Power]],2,FIND(",",Table1[[#This Row],[CI_95perc_Disjunctive.Power]])-2))</f>
        <v>0.52919000000000005</v>
      </c>
      <c r="BN70" s="10">
        <f>_xlfn.NUMBERVALUE(MID(Table1[[#This Row],[CI_95perc_Disjunctive.Power]],FIND(",",Table1[[#This Row],[CI_95perc_Disjunctive.Power]])+1,LEN(Table1[[#This Row],[CI_95perc_Disjunctive.Power]])-FIND(",",Table1[[#This Row],[CI_95perc_Disjunctive.Power]])-1))</f>
        <v>0.54300999999999999</v>
      </c>
      <c r="BO70" s="10">
        <f>_xlfn.NUMBERVALUE(MID(Table1[[#This Row],[CI_95perc_FWER]],2,FIND(",",Table1[[#This Row],[CI_95perc_FWER]])-2))</f>
        <v>7.0000000000000001E-3</v>
      </c>
      <c r="BP70" s="10">
        <f>_xlfn.NUMBERVALUE(MID(Table1[[#This Row],[CI_95perc_FWER]],FIND(",",Table1[[#This Row],[CI_95perc_FWER]])+1,LEN(Table1[[#This Row],[CI_95perc_FWER]])-FIND(",",Table1[[#This Row],[CI_95perc_FWER]])-1))</f>
        <v>9.4999999999999998E-3</v>
      </c>
      <c r="BQ70" s="10" t="str">
        <f>_xlfn.CONCAT("(",TEXT(Table1[[#This Row],[LCL_Disj.Pow%]],"0.00%"), ", ",TEXT(Table1[[#This Row],[UCL_Disj.Pow%]],"0.00%"),")")</f>
        <v>(52.92%, 54.30%)</v>
      </c>
      <c r="BR70" s="10" t="str">
        <f>_xlfn.CONCAT("(",TEXT(Table1[[#This Row],[LCL_Conj.Pow%]],"0.00%"),", ",TEXT(Table1[[#This Row],[UCL_Conj.Pow%]],"0.00%"),")")</f>
        <v>(26.78%, 28.02%)</v>
      </c>
      <c r="BS70" s="10" t="str">
        <f>_xlfn.CONCAT("(",TEXT(Table1[[#This Row],[LCL_FWER%]],"0.00%"),", ",TEXT(Table1[[#This Row],[UCL_FWER%]],"0.00%"),")")</f>
        <v>(0.70%, 0.95%)</v>
      </c>
    </row>
    <row r="71" spans="1:71" x14ac:dyDescent="0.25">
      <c r="A71">
        <v>69</v>
      </c>
      <c r="B71" t="s">
        <v>610</v>
      </c>
      <c r="C71">
        <v>2217</v>
      </c>
      <c r="D71">
        <v>0.67365509999999995</v>
      </c>
      <c r="E71">
        <v>0.46406910000000001</v>
      </c>
      <c r="F71">
        <v>0.6734521</v>
      </c>
      <c r="G71">
        <v>1.7741300000000002E-2</v>
      </c>
      <c r="H71" t="s">
        <v>370</v>
      </c>
      <c r="I71" t="s">
        <v>371</v>
      </c>
      <c r="J71" t="s">
        <v>372</v>
      </c>
      <c r="K71" t="s">
        <v>373</v>
      </c>
      <c r="L71" s="1">
        <v>196711510</v>
      </c>
      <c r="M71" t="s">
        <v>374</v>
      </c>
      <c r="N71">
        <v>1.3724844970000001</v>
      </c>
      <c r="O71" t="s">
        <v>85</v>
      </c>
      <c r="P71" t="s">
        <v>41</v>
      </c>
      <c r="Q71">
        <v>800</v>
      </c>
      <c r="R71">
        <v>2.5000000000000001E-2</v>
      </c>
      <c r="S71" t="s">
        <v>42</v>
      </c>
      <c r="T71" t="s">
        <v>42</v>
      </c>
      <c r="U71" t="s">
        <v>43</v>
      </c>
      <c r="V71" t="s">
        <v>44</v>
      </c>
      <c r="W71">
        <v>5</v>
      </c>
      <c r="X71">
        <v>2</v>
      </c>
      <c r="Y71" t="s">
        <v>118</v>
      </c>
      <c r="Z71" t="s">
        <v>42</v>
      </c>
      <c r="AA71" t="s">
        <v>42</v>
      </c>
      <c r="AB71" t="s">
        <v>127</v>
      </c>
      <c r="AC71" t="s">
        <v>122</v>
      </c>
      <c r="AD71" t="s">
        <v>120</v>
      </c>
      <c r="AE71" t="s">
        <v>124</v>
      </c>
      <c r="AF71" t="s">
        <v>125</v>
      </c>
      <c r="AG71" t="s">
        <v>51</v>
      </c>
      <c r="AH71" t="s">
        <v>52</v>
      </c>
      <c r="AI71" t="s">
        <v>53</v>
      </c>
      <c r="AJ71" t="b">
        <v>1</v>
      </c>
      <c r="AK71" t="b">
        <v>0</v>
      </c>
      <c r="AL71" t="s">
        <v>42</v>
      </c>
      <c r="AM71" t="s">
        <v>42</v>
      </c>
      <c r="AN71" t="s">
        <v>42</v>
      </c>
      <c r="AO71" t="s">
        <v>42</v>
      </c>
      <c r="AP71" t="s">
        <v>42</v>
      </c>
      <c r="AQ71" t="s">
        <v>42</v>
      </c>
      <c r="AR71" t="s">
        <v>54</v>
      </c>
      <c r="AS71">
        <v>20000</v>
      </c>
      <c r="AT71">
        <v>500</v>
      </c>
      <c r="AU71" t="s">
        <v>121</v>
      </c>
      <c r="AV71" t="b">
        <v>0</v>
      </c>
      <c r="AW71" t="b">
        <v>0</v>
      </c>
      <c r="AX71" t="b">
        <v>1</v>
      </c>
      <c r="AY71" t="b">
        <v>1</v>
      </c>
      <c r="BA71">
        <f>INDEX(Inp_CER_Bin_2eps3arms!$AN$2:$AN$176,MATCH(Table1[[#This Row],[ModelID]],Inp_CER_Bin_2eps3arms!$A$2:$A$176,0))</f>
        <v>0</v>
      </c>
      <c r="BC71" t="s">
        <v>618</v>
      </c>
      <c r="BD71" t="s">
        <v>629</v>
      </c>
      <c r="BE71" s="10">
        <f>Table1[[#This Row],[Global.Power]]</f>
        <v>0.67365509999999995</v>
      </c>
      <c r="BF71" s="10">
        <f>Table1[[#This Row],[Conjunctive.Power]]</f>
        <v>0.46406910000000001</v>
      </c>
      <c r="BG71" s="10">
        <f>Table1[[#This Row],[Disjunctive.Power]]</f>
        <v>0.6734521</v>
      </c>
      <c r="BH71" s="10">
        <f>Table1[[#This Row],[FWER]]</f>
        <v>1.7741300000000002E-2</v>
      </c>
      <c r="BI71" s="10">
        <f>_xlfn.NUMBERVALUE(MID(Table1[[#This Row],[CI_95perc_Global.Power]],2,FIND(",",Table1[[#This Row],[CI_95perc_Global.Power]])-2))</f>
        <v>0.66993999999999998</v>
      </c>
      <c r="BJ71" s="10">
        <f>_xlfn.NUMBERVALUE(MID(Table1[[#This Row],[CI_95perc_Global.Power]],FIND(",",Table1[[#This Row],[CI_95perc_Global.Power]])+1,LEN(Table1[[#This Row],[CI_95perc_Global.Power]])-FIND(",",Table1[[#This Row],[CI_95perc_Global.Power]])-1))</f>
        <v>0.67737000000000003</v>
      </c>
      <c r="BK71" s="10">
        <f>_xlfn.NUMBERVALUE(MID(Table1[[#This Row],[CI_95perc_Conjunctive.Power]],2,FIND(",",Table1[[#This Row],[CI_95perc_Conjunctive.Power]])-2))</f>
        <v>0.46023999999999998</v>
      </c>
      <c r="BL71" s="10">
        <f>_xlfn.NUMBERVALUE(MID(Table1[[#This Row],[CI_95perc_Conjunctive.Power]],FIND(",",Table1[[#This Row],[CI_95perc_Conjunctive.Power]])+1,LEN(Table1[[#This Row],[CI_95perc_Conjunctive.Power]])-FIND(",",Table1[[#This Row],[CI_95perc_Conjunctive.Power]])-1))</f>
        <v>0.46789999999999998</v>
      </c>
      <c r="BM71" s="10">
        <f>_xlfn.NUMBERVALUE(MID(Table1[[#This Row],[CI_95perc_Disjunctive.Power]],2,FIND(",",Table1[[#This Row],[CI_95perc_Disjunctive.Power]])-2))</f>
        <v>0.66974</v>
      </c>
      <c r="BN71" s="10">
        <f>_xlfn.NUMBERVALUE(MID(Table1[[#This Row],[CI_95perc_Disjunctive.Power]],FIND(",",Table1[[#This Row],[CI_95perc_Disjunctive.Power]])+1,LEN(Table1[[#This Row],[CI_95perc_Disjunctive.Power]])-FIND(",",Table1[[#This Row],[CI_95perc_Disjunctive.Power]])-1))</f>
        <v>0.67717000000000005</v>
      </c>
      <c r="BO71" s="10">
        <f>_xlfn.NUMBERVALUE(MID(Table1[[#This Row],[CI_95perc_FWER]],2,FIND(",",Table1[[#This Row],[CI_95perc_FWER]])-2))</f>
        <v>1.7059999999999999E-2</v>
      </c>
      <c r="BP71" s="10">
        <f>_xlfn.NUMBERVALUE(MID(Table1[[#This Row],[CI_95perc_FWER]],FIND(",",Table1[[#This Row],[CI_95perc_FWER]])+1,LEN(Table1[[#This Row],[CI_95perc_FWER]])-FIND(",",Table1[[#This Row],[CI_95perc_FWER]])-1))</f>
        <v>1.8419999999999999E-2</v>
      </c>
      <c r="BQ71" s="10" t="str">
        <f>_xlfn.CONCAT("(",TEXT(Table1[[#This Row],[LCL_Disj.Pow%]],"0.00%"), ", ",TEXT(Table1[[#This Row],[UCL_Disj.Pow%]],"0.00%"),")")</f>
        <v>(66.97%, 67.72%)</v>
      </c>
      <c r="BR71" s="10" t="str">
        <f>_xlfn.CONCAT("(",TEXT(Table1[[#This Row],[LCL_Conj.Pow%]],"0.00%"),", ",TEXT(Table1[[#This Row],[UCL_Conj.Pow%]],"0.00%"),")")</f>
        <v>(46.02%, 46.79%)</v>
      </c>
      <c r="BS71" s="10" t="str">
        <f>_xlfn.CONCAT("(",TEXT(Table1[[#This Row],[LCL_FWER%]],"0.00%"),", ",TEXT(Table1[[#This Row],[UCL_FWER%]],"0.00%"),")")</f>
        <v>(1.71%, 1.84%)</v>
      </c>
    </row>
    <row r="72" spans="1:71" x14ac:dyDescent="0.25">
      <c r="A72">
        <v>70</v>
      </c>
      <c r="B72" t="s">
        <v>421</v>
      </c>
      <c r="C72">
        <v>1522</v>
      </c>
      <c r="D72">
        <v>0.62514999999999998</v>
      </c>
      <c r="E72">
        <v>0.35630000000000001</v>
      </c>
      <c r="F72">
        <v>0.62485000000000002</v>
      </c>
      <c r="G72">
        <v>8.6999999999999994E-3</v>
      </c>
      <c r="H72" t="s">
        <v>375</v>
      </c>
      <c r="I72" t="s">
        <v>376</v>
      </c>
      <c r="J72" t="s">
        <v>377</v>
      </c>
      <c r="K72" t="s">
        <v>378</v>
      </c>
      <c r="L72" s="1">
        <v>196910534</v>
      </c>
      <c r="M72" t="s">
        <v>379</v>
      </c>
      <c r="N72">
        <v>0.101466684</v>
      </c>
      <c r="O72" t="s">
        <v>85</v>
      </c>
      <c r="P72" t="s">
        <v>117</v>
      </c>
      <c r="Q72">
        <v>800</v>
      </c>
      <c r="R72">
        <v>2.5000000000000001E-2</v>
      </c>
      <c r="S72" t="s">
        <v>42</v>
      </c>
      <c r="T72" t="s">
        <v>42</v>
      </c>
      <c r="U72" t="s">
        <v>43</v>
      </c>
      <c r="V72" t="s">
        <v>44</v>
      </c>
      <c r="W72">
        <v>5</v>
      </c>
      <c r="X72">
        <v>2</v>
      </c>
      <c r="Y72" t="s">
        <v>118</v>
      </c>
      <c r="Z72" t="s">
        <v>42</v>
      </c>
      <c r="AA72" t="s">
        <v>42</v>
      </c>
      <c r="AB72" t="s">
        <v>127</v>
      </c>
      <c r="AC72" t="s">
        <v>122</v>
      </c>
      <c r="AD72" t="s">
        <v>123</v>
      </c>
      <c r="AE72" t="s">
        <v>124</v>
      </c>
      <c r="AF72" t="s">
        <v>125</v>
      </c>
      <c r="AG72" t="s">
        <v>51</v>
      </c>
      <c r="AH72" t="s">
        <v>126</v>
      </c>
      <c r="AI72" t="s">
        <v>53</v>
      </c>
      <c r="AJ72" t="b">
        <v>1</v>
      </c>
      <c r="AK72" t="b">
        <v>1</v>
      </c>
      <c r="AL72">
        <v>1</v>
      </c>
      <c r="AM72">
        <v>1</v>
      </c>
      <c r="AN72" t="s">
        <v>56</v>
      </c>
      <c r="AO72" t="s">
        <v>57</v>
      </c>
      <c r="AP72">
        <v>0.75</v>
      </c>
      <c r="AQ72" t="b">
        <v>1</v>
      </c>
      <c r="AR72" t="s">
        <v>23</v>
      </c>
      <c r="AS72">
        <v>20000</v>
      </c>
      <c r="AT72">
        <v>500</v>
      </c>
      <c r="AU72" t="s">
        <v>121</v>
      </c>
      <c r="AV72" t="b">
        <v>0</v>
      </c>
      <c r="AW72" t="b">
        <v>0</v>
      </c>
      <c r="AX72" t="b">
        <v>1</v>
      </c>
      <c r="AY72" t="b">
        <v>1</v>
      </c>
      <c r="BA72">
        <f>INDEX(Inp_CER_Bin_2eps3arms!$AN$2:$AN$176,MATCH(Table1[[#This Row],[ModelID]],Inp_CER_Bin_2eps3arms!$A$2:$A$176,0))</f>
        <v>0</v>
      </c>
      <c r="BC72" t="s">
        <v>619</v>
      </c>
      <c r="BD72" t="s">
        <v>629</v>
      </c>
      <c r="BE72" s="10">
        <f>Table1[[#This Row],[Global.Power]]</f>
        <v>0.62514999999999998</v>
      </c>
      <c r="BF72" s="10">
        <f>Table1[[#This Row],[Conjunctive.Power]]</f>
        <v>0.35630000000000001</v>
      </c>
      <c r="BG72" s="10">
        <f>Table1[[#This Row],[Disjunctive.Power]]</f>
        <v>0.62485000000000002</v>
      </c>
      <c r="BH72" s="10">
        <f>Table1[[#This Row],[FWER]]</f>
        <v>8.6999999999999994E-3</v>
      </c>
      <c r="BI72" s="10">
        <f>_xlfn.NUMBERVALUE(MID(Table1[[#This Row],[CI_95perc_Global.Power]],2,FIND(",",Table1[[#This Row],[CI_95perc_Global.Power]])-2))</f>
        <v>0.61843999999999999</v>
      </c>
      <c r="BJ72" s="10">
        <f>_xlfn.NUMBERVALUE(MID(Table1[[#This Row],[CI_95perc_Global.Power]],FIND(",",Table1[[#This Row],[CI_95perc_Global.Power]])+1,LEN(Table1[[#This Row],[CI_95perc_Global.Power]])-FIND(",",Table1[[#This Row],[CI_95perc_Global.Power]])-1))</f>
        <v>0.63185999999999998</v>
      </c>
      <c r="BK72" s="10">
        <f>_xlfn.NUMBERVALUE(MID(Table1[[#This Row],[CI_95perc_Conjunctive.Power]],2,FIND(",",Table1[[#This Row],[CI_95perc_Conjunctive.Power]])-2))</f>
        <v>0.34966000000000003</v>
      </c>
      <c r="BL72" s="10">
        <f>_xlfn.NUMBERVALUE(MID(Table1[[#This Row],[CI_95perc_Conjunctive.Power]],FIND(",",Table1[[#This Row],[CI_95perc_Conjunctive.Power]])+1,LEN(Table1[[#This Row],[CI_95perc_Conjunctive.Power]])-FIND(",",Table1[[#This Row],[CI_95perc_Conjunctive.Power]])-1))</f>
        <v>0.36293999999999998</v>
      </c>
      <c r="BM72" s="10">
        <f>_xlfn.NUMBERVALUE(MID(Table1[[#This Row],[CI_95perc_Disjunctive.Power]],2,FIND(",",Table1[[#This Row],[CI_95perc_Disjunctive.Power]])-2))</f>
        <v>0.61814000000000002</v>
      </c>
      <c r="BN72" s="10">
        <f>_xlfn.NUMBERVALUE(MID(Table1[[#This Row],[CI_95perc_Disjunctive.Power]],FIND(",",Table1[[#This Row],[CI_95perc_Disjunctive.Power]])+1,LEN(Table1[[#This Row],[CI_95perc_Disjunctive.Power]])-FIND(",",Table1[[#This Row],[CI_95perc_Disjunctive.Power]])-1))</f>
        <v>0.63156000000000001</v>
      </c>
      <c r="BO72" s="10">
        <f>_xlfn.NUMBERVALUE(MID(Table1[[#This Row],[CI_95perc_FWER]],2,FIND(",",Table1[[#This Row],[CI_95perc_FWER]])-2))</f>
        <v>7.4099999999999999E-3</v>
      </c>
      <c r="BP72" s="10">
        <f>_xlfn.NUMBERVALUE(MID(Table1[[#This Row],[CI_95perc_FWER]],FIND(",",Table1[[#This Row],[CI_95perc_FWER]])+1,LEN(Table1[[#This Row],[CI_95perc_FWER]])-FIND(",",Table1[[#This Row],[CI_95perc_FWER]])-1))</f>
        <v>9.9900000000000006E-3</v>
      </c>
      <c r="BQ72" s="10" t="str">
        <f>_xlfn.CONCAT("(",TEXT(Table1[[#This Row],[LCL_Disj.Pow%]],"0.00%"), ", ",TEXT(Table1[[#This Row],[UCL_Disj.Pow%]],"0.00%"),")")</f>
        <v>(61.81%, 63.16%)</v>
      </c>
      <c r="BR72" s="10" t="str">
        <f>_xlfn.CONCAT("(",TEXT(Table1[[#This Row],[LCL_Conj.Pow%]],"0.00%"),", ",TEXT(Table1[[#This Row],[UCL_Conj.Pow%]],"0.00%"),")")</f>
        <v>(34.97%, 36.29%)</v>
      </c>
      <c r="BS72" s="10" t="str">
        <f>_xlfn.CONCAT("(",TEXT(Table1[[#This Row],[LCL_FWER%]],"0.00%"),", ",TEXT(Table1[[#This Row],[UCL_FWER%]],"0.00%"),")")</f>
        <v>(0.74%, 1.00%)</v>
      </c>
    </row>
    <row r="73" spans="1:71" x14ac:dyDescent="0.25">
      <c r="A73">
        <v>71</v>
      </c>
      <c r="B73" t="s">
        <v>422</v>
      </c>
      <c r="C73">
        <v>2581</v>
      </c>
      <c r="D73">
        <v>0.74388480000000001</v>
      </c>
      <c r="E73">
        <v>0.54355109999999995</v>
      </c>
      <c r="F73">
        <v>0.7436952</v>
      </c>
      <c r="G73">
        <v>1.7814799999999999E-2</v>
      </c>
      <c r="H73" t="s">
        <v>380</v>
      </c>
      <c r="I73" t="s">
        <v>381</v>
      </c>
      <c r="J73" t="s">
        <v>382</v>
      </c>
      <c r="K73" t="s">
        <v>383</v>
      </c>
      <c r="L73" s="1">
        <v>197012887</v>
      </c>
      <c r="M73" t="s">
        <v>384</v>
      </c>
      <c r="N73">
        <v>1.060271414</v>
      </c>
      <c r="O73" t="s">
        <v>85</v>
      </c>
      <c r="P73" t="s">
        <v>41</v>
      </c>
      <c r="Q73">
        <v>800</v>
      </c>
      <c r="R73">
        <v>2.5000000000000001E-2</v>
      </c>
      <c r="S73" t="s">
        <v>42</v>
      </c>
      <c r="T73" t="s">
        <v>42</v>
      </c>
      <c r="U73" t="s">
        <v>43</v>
      </c>
      <c r="V73" t="s">
        <v>44</v>
      </c>
      <c r="W73">
        <v>5</v>
      </c>
      <c r="X73">
        <v>2</v>
      </c>
      <c r="Y73" t="s">
        <v>118</v>
      </c>
      <c r="Z73" t="s">
        <v>42</v>
      </c>
      <c r="AA73" t="s">
        <v>42</v>
      </c>
      <c r="AB73" t="s">
        <v>127</v>
      </c>
      <c r="AC73" t="s">
        <v>122</v>
      </c>
      <c r="AD73" t="s">
        <v>123</v>
      </c>
      <c r="AE73" t="s">
        <v>124</v>
      </c>
      <c r="AF73" t="s">
        <v>125</v>
      </c>
      <c r="AG73" t="s">
        <v>51</v>
      </c>
      <c r="AH73" t="s">
        <v>126</v>
      </c>
      <c r="AI73" t="s">
        <v>53</v>
      </c>
      <c r="AJ73" t="b">
        <v>1</v>
      </c>
      <c r="AK73" t="b">
        <v>1</v>
      </c>
      <c r="AL73">
        <v>1</v>
      </c>
      <c r="AM73">
        <v>1</v>
      </c>
      <c r="AN73" t="s">
        <v>56</v>
      </c>
      <c r="AO73" t="s">
        <v>57</v>
      </c>
      <c r="AP73">
        <v>0.75</v>
      </c>
      <c r="AQ73" t="b">
        <v>1</v>
      </c>
      <c r="AR73" t="s">
        <v>23</v>
      </c>
      <c r="AS73">
        <v>20000</v>
      </c>
      <c r="AT73">
        <v>500</v>
      </c>
      <c r="AU73" t="s">
        <v>121</v>
      </c>
      <c r="AV73" t="b">
        <v>0</v>
      </c>
      <c r="AW73" t="b">
        <v>0</v>
      </c>
      <c r="AX73" t="b">
        <v>1</v>
      </c>
      <c r="AY73" t="b">
        <v>1</v>
      </c>
      <c r="BA73">
        <f>INDEX(Inp_CER_Bin_2eps3arms!$AN$2:$AN$176,MATCH(Table1[[#This Row],[ModelID]],Inp_CER_Bin_2eps3arms!$A$2:$A$176,0))</f>
        <v>0</v>
      </c>
      <c r="BC73" t="s">
        <v>619</v>
      </c>
      <c r="BD73" t="s">
        <v>629</v>
      </c>
      <c r="BE73" s="10">
        <f>Table1[[#This Row],[Global.Power]]</f>
        <v>0.74388480000000001</v>
      </c>
      <c r="BF73" s="10">
        <f>Table1[[#This Row],[Conjunctive.Power]]</f>
        <v>0.54355109999999995</v>
      </c>
      <c r="BG73" s="10">
        <f>Table1[[#This Row],[Disjunctive.Power]]</f>
        <v>0.7436952</v>
      </c>
      <c r="BH73" s="10">
        <f>Table1[[#This Row],[FWER]]</f>
        <v>1.7814799999999999E-2</v>
      </c>
      <c r="BI73" s="10">
        <f>_xlfn.NUMBERVALUE(MID(Table1[[#This Row],[CI_95perc_Global.Power]],2,FIND(",",Table1[[#This Row],[CI_95perc_Global.Power]])-2))</f>
        <v>0.74073</v>
      </c>
      <c r="BJ73" s="10">
        <f>_xlfn.NUMBERVALUE(MID(Table1[[#This Row],[CI_95perc_Global.Power]],FIND(",",Table1[[#This Row],[CI_95perc_Global.Power]])+1,LEN(Table1[[#This Row],[CI_95perc_Global.Power]])-FIND(",",Table1[[#This Row],[CI_95perc_Global.Power]])-1))</f>
        <v>0.74704000000000004</v>
      </c>
      <c r="BK73" s="10">
        <f>_xlfn.NUMBERVALUE(MID(Table1[[#This Row],[CI_95perc_Conjunctive.Power]],2,FIND(",",Table1[[#This Row],[CI_95perc_Conjunctive.Power]])-2))</f>
        <v>0.53988000000000003</v>
      </c>
      <c r="BL73" s="10">
        <f>_xlfn.NUMBERVALUE(MID(Table1[[#This Row],[CI_95perc_Conjunctive.Power]],FIND(",",Table1[[#This Row],[CI_95perc_Conjunctive.Power]])+1,LEN(Table1[[#This Row],[CI_95perc_Conjunctive.Power]])-FIND(",",Table1[[#This Row],[CI_95perc_Conjunctive.Power]])-1))</f>
        <v>0.54722000000000004</v>
      </c>
      <c r="BM73" s="10">
        <f>_xlfn.NUMBERVALUE(MID(Table1[[#This Row],[CI_95perc_Disjunctive.Power]],2,FIND(",",Table1[[#This Row],[CI_95perc_Disjunctive.Power]])-2))</f>
        <v>0.74053000000000002</v>
      </c>
      <c r="BN73" s="10">
        <f>_xlfn.NUMBERVALUE(MID(Table1[[#This Row],[CI_95perc_Disjunctive.Power]],FIND(",",Table1[[#This Row],[CI_95perc_Disjunctive.Power]])+1,LEN(Table1[[#This Row],[CI_95perc_Disjunctive.Power]])-FIND(",",Table1[[#This Row],[CI_95perc_Disjunctive.Power]])-1))</f>
        <v>0.74685999999999997</v>
      </c>
      <c r="BO73" s="10">
        <f>_xlfn.NUMBERVALUE(MID(Table1[[#This Row],[CI_95perc_FWER]],2,FIND(",",Table1[[#This Row],[CI_95perc_FWER]])-2))</f>
        <v>1.7139999999999999E-2</v>
      </c>
      <c r="BP73" s="10">
        <f>_xlfn.NUMBERVALUE(MID(Table1[[#This Row],[CI_95perc_FWER]],FIND(",",Table1[[#This Row],[CI_95perc_FWER]])+1,LEN(Table1[[#This Row],[CI_95perc_FWER]])-FIND(",",Table1[[#This Row],[CI_95perc_FWER]])-1))</f>
        <v>1.8489999999999999E-2</v>
      </c>
      <c r="BQ73" s="10" t="str">
        <f>_xlfn.CONCAT("(",TEXT(Table1[[#This Row],[LCL_Disj.Pow%]],"0.00%"), ", ",TEXT(Table1[[#This Row],[UCL_Disj.Pow%]],"0.00%"),")")</f>
        <v>(74.05%, 74.69%)</v>
      </c>
      <c r="BR73" s="10" t="str">
        <f>_xlfn.CONCAT("(",TEXT(Table1[[#This Row],[LCL_Conj.Pow%]],"0.00%"),", ",TEXT(Table1[[#This Row],[UCL_Conj.Pow%]],"0.00%"),")")</f>
        <v>(53.99%, 54.72%)</v>
      </c>
      <c r="BS73" s="10" t="str">
        <f>_xlfn.CONCAT("(",TEXT(Table1[[#This Row],[LCL_FWER%]],"0.00%"),", ",TEXT(Table1[[#This Row],[UCL_FWER%]],"0.00%"),")")</f>
        <v>(1.71%, 1.85%)</v>
      </c>
    </row>
    <row r="74" spans="1:71" x14ac:dyDescent="0.25">
      <c r="A74">
        <v>72</v>
      </c>
      <c r="B74" t="s">
        <v>423</v>
      </c>
      <c r="C74">
        <v>3365</v>
      </c>
      <c r="D74">
        <v>0.70330000000000004</v>
      </c>
      <c r="E74">
        <v>0.44340000000000002</v>
      </c>
      <c r="F74">
        <v>0.70304999999999995</v>
      </c>
      <c r="G74">
        <v>8.9999999999999993E-3</v>
      </c>
      <c r="H74" t="s">
        <v>385</v>
      </c>
      <c r="I74" t="s">
        <v>386</v>
      </c>
      <c r="J74" t="s">
        <v>387</v>
      </c>
      <c r="K74" t="s">
        <v>388</v>
      </c>
      <c r="L74" s="1">
        <v>196412102</v>
      </c>
      <c r="M74" t="s">
        <v>389</v>
      </c>
      <c r="N74">
        <v>9.7898535999999994E-2</v>
      </c>
      <c r="O74" t="s">
        <v>85</v>
      </c>
      <c r="P74" t="s">
        <v>117</v>
      </c>
      <c r="Q74">
        <v>800</v>
      </c>
      <c r="R74">
        <v>2.5000000000000001E-2</v>
      </c>
      <c r="S74" t="s">
        <v>42</v>
      </c>
      <c r="T74" t="s">
        <v>42</v>
      </c>
      <c r="U74" t="s">
        <v>43</v>
      </c>
      <c r="V74" t="s">
        <v>44</v>
      </c>
      <c r="W74">
        <v>5</v>
      </c>
      <c r="X74">
        <v>2</v>
      </c>
      <c r="Y74" t="s">
        <v>118</v>
      </c>
      <c r="Z74" t="s">
        <v>42</v>
      </c>
      <c r="AA74" t="s">
        <v>42</v>
      </c>
      <c r="AB74" t="s">
        <v>127</v>
      </c>
      <c r="AC74" t="s">
        <v>122</v>
      </c>
      <c r="AD74" t="s">
        <v>123</v>
      </c>
      <c r="AE74" t="s">
        <v>124</v>
      </c>
      <c r="AF74" t="s">
        <v>125</v>
      </c>
      <c r="AG74" t="s">
        <v>51</v>
      </c>
      <c r="AH74" t="s">
        <v>126</v>
      </c>
      <c r="AI74" t="s">
        <v>53</v>
      </c>
      <c r="AJ74" t="b">
        <v>1</v>
      </c>
      <c r="AK74" t="b">
        <v>1</v>
      </c>
      <c r="AL74">
        <v>1</v>
      </c>
      <c r="AM74">
        <v>1</v>
      </c>
      <c r="AN74" t="s">
        <v>56</v>
      </c>
      <c r="AO74" t="s">
        <v>57</v>
      </c>
      <c r="AP74">
        <v>0.5</v>
      </c>
      <c r="AQ74" t="b">
        <v>1</v>
      </c>
      <c r="AR74" t="s">
        <v>23</v>
      </c>
      <c r="AS74">
        <v>20000</v>
      </c>
      <c r="AT74">
        <v>500</v>
      </c>
      <c r="AU74" t="s">
        <v>121</v>
      </c>
      <c r="AV74" t="b">
        <v>0</v>
      </c>
      <c r="AW74" t="b">
        <v>0</v>
      </c>
      <c r="AX74" t="b">
        <v>1</v>
      </c>
      <c r="AY74" t="b">
        <v>1</v>
      </c>
      <c r="BA74">
        <f>INDEX(Inp_CER_Bin_2eps3arms!$AN$2:$AN$176,MATCH(Table1[[#This Row],[ModelID]],Inp_CER_Bin_2eps3arms!$A$2:$A$176,0))</f>
        <v>0</v>
      </c>
      <c r="BC74" t="s">
        <v>622</v>
      </c>
      <c r="BD74" t="s">
        <v>629</v>
      </c>
      <c r="BE74" s="10">
        <f>Table1[[#This Row],[Global.Power]]</f>
        <v>0.70330000000000004</v>
      </c>
      <c r="BF74" s="10">
        <f>Table1[[#This Row],[Conjunctive.Power]]</f>
        <v>0.44340000000000002</v>
      </c>
      <c r="BG74" s="10">
        <f>Table1[[#This Row],[Disjunctive.Power]]</f>
        <v>0.70304999999999995</v>
      </c>
      <c r="BH74" s="10">
        <f>Table1[[#This Row],[FWER]]</f>
        <v>8.9999999999999993E-3</v>
      </c>
      <c r="BI74" s="10">
        <f>_xlfn.NUMBERVALUE(MID(Table1[[#This Row],[CI_95perc_Global.Power]],2,FIND(",",Table1[[#This Row],[CI_95perc_Global.Power]])-2))</f>
        <v>0.69696999999999998</v>
      </c>
      <c r="BJ74" s="10">
        <f>_xlfn.NUMBERVALUE(MID(Table1[[#This Row],[CI_95perc_Global.Power]],FIND(",",Table1[[#This Row],[CI_95perc_Global.Power]])+1,LEN(Table1[[#This Row],[CI_95perc_Global.Power]])-FIND(",",Table1[[#This Row],[CI_95perc_Global.Power]])-1))</f>
        <v>0.70962999999999998</v>
      </c>
      <c r="BK74" s="10">
        <f>_xlfn.NUMBERVALUE(MID(Table1[[#This Row],[CI_95perc_Conjunctive.Power]],2,FIND(",",Table1[[#This Row],[CI_95perc_Conjunctive.Power]])-2))</f>
        <v>0.43652000000000002</v>
      </c>
      <c r="BL74" s="10">
        <f>_xlfn.NUMBERVALUE(MID(Table1[[#This Row],[CI_95perc_Conjunctive.Power]],FIND(",",Table1[[#This Row],[CI_95perc_Conjunctive.Power]])+1,LEN(Table1[[#This Row],[CI_95perc_Conjunctive.Power]])-FIND(",",Table1[[#This Row],[CI_95perc_Conjunctive.Power]])-1))</f>
        <v>0.45028000000000001</v>
      </c>
      <c r="BM74" s="10">
        <f>_xlfn.NUMBERVALUE(MID(Table1[[#This Row],[CI_95perc_Disjunctive.Power]],2,FIND(",",Table1[[#This Row],[CI_95perc_Disjunctive.Power]])-2))</f>
        <v>0.69672000000000001</v>
      </c>
      <c r="BN74" s="10">
        <f>_xlfn.NUMBERVALUE(MID(Table1[[#This Row],[CI_95perc_Disjunctive.Power]],FIND(",",Table1[[#This Row],[CI_95perc_Disjunctive.Power]])+1,LEN(Table1[[#This Row],[CI_95perc_Disjunctive.Power]])-FIND(",",Table1[[#This Row],[CI_95perc_Disjunctive.Power]])-1))</f>
        <v>0.70938000000000001</v>
      </c>
      <c r="BO74" s="10">
        <f>_xlfn.NUMBERVALUE(MID(Table1[[#This Row],[CI_95perc_FWER]],2,FIND(",",Table1[[#This Row],[CI_95perc_FWER]])-2))</f>
        <v>7.6899999999999998E-3</v>
      </c>
      <c r="BP74" s="10">
        <f>_xlfn.NUMBERVALUE(MID(Table1[[#This Row],[CI_95perc_FWER]],FIND(",",Table1[[#This Row],[CI_95perc_FWER]])+1,LEN(Table1[[#This Row],[CI_95perc_FWER]])-FIND(",",Table1[[#This Row],[CI_95perc_FWER]])-1))</f>
        <v>1.031E-2</v>
      </c>
      <c r="BQ74" s="10" t="str">
        <f>_xlfn.CONCAT("(",TEXT(Table1[[#This Row],[LCL_Disj.Pow%]],"0.00%"), ", ",TEXT(Table1[[#This Row],[UCL_Disj.Pow%]],"0.00%"),")")</f>
        <v>(69.67%, 70.94%)</v>
      </c>
      <c r="BR74" s="10" t="str">
        <f>_xlfn.CONCAT("(",TEXT(Table1[[#This Row],[LCL_Conj.Pow%]],"0.00%"),", ",TEXT(Table1[[#This Row],[UCL_Conj.Pow%]],"0.00%"),")")</f>
        <v>(43.65%, 45.03%)</v>
      </c>
      <c r="BS74" s="10" t="str">
        <f>_xlfn.CONCAT("(",TEXT(Table1[[#This Row],[LCL_FWER%]],"0.00%"),", ",TEXT(Table1[[#This Row],[UCL_FWER%]],"0.00%"),")")</f>
        <v>(0.77%, 1.03%)</v>
      </c>
    </row>
    <row r="75" spans="1:71" x14ac:dyDescent="0.25">
      <c r="A75">
        <v>73</v>
      </c>
      <c r="B75" t="s">
        <v>424</v>
      </c>
      <c r="C75">
        <v>6678</v>
      </c>
      <c r="D75">
        <v>0.7956124</v>
      </c>
      <c r="E75">
        <v>0.6135661</v>
      </c>
      <c r="F75">
        <v>0.79542880000000005</v>
      </c>
      <c r="G75">
        <v>1.78555E-2</v>
      </c>
      <c r="H75" t="s">
        <v>390</v>
      </c>
      <c r="I75" t="s">
        <v>391</v>
      </c>
      <c r="J75" t="s">
        <v>392</v>
      </c>
      <c r="K75" t="s">
        <v>393</v>
      </c>
      <c r="L75" s="1">
        <v>192713985</v>
      </c>
      <c r="M75" t="s">
        <v>394</v>
      </c>
      <c r="N75">
        <v>0.96698791699999997</v>
      </c>
      <c r="O75" t="s">
        <v>85</v>
      </c>
      <c r="P75" t="s">
        <v>41</v>
      </c>
      <c r="Q75">
        <v>800</v>
      </c>
      <c r="R75">
        <v>2.5000000000000001E-2</v>
      </c>
      <c r="S75" t="s">
        <v>42</v>
      </c>
      <c r="T75" t="s">
        <v>42</v>
      </c>
      <c r="U75" t="s">
        <v>43</v>
      </c>
      <c r="V75" t="s">
        <v>44</v>
      </c>
      <c r="W75">
        <v>5</v>
      </c>
      <c r="X75">
        <v>2</v>
      </c>
      <c r="Y75" t="s">
        <v>118</v>
      </c>
      <c r="Z75" t="s">
        <v>42</v>
      </c>
      <c r="AA75" t="s">
        <v>42</v>
      </c>
      <c r="AB75" t="s">
        <v>127</v>
      </c>
      <c r="AC75" t="s">
        <v>122</v>
      </c>
      <c r="AD75" t="s">
        <v>123</v>
      </c>
      <c r="AE75" t="s">
        <v>124</v>
      </c>
      <c r="AF75" t="s">
        <v>125</v>
      </c>
      <c r="AG75" t="s">
        <v>51</v>
      </c>
      <c r="AH75" t="s">
        <v>126</v>
      </c>
      <c r="AI75" t="s">
        <v>53</v>
      </c>
      <c r="AJ75" t="b">
        <v>1</v>
      </c>
      <c r="AK75" t="b">
        <v>1</v>
      </c>
      <c r="AL75">
        <v>1</v>
      </c>
      <c r="AM75">
        <v>1</v>
      </c>
      <c r="AN75" t="s">
        <v>56</v>
      </c>
      <c r="AO75" t="s">
        <v>57</v>
      </c>
      <c r="AP75">
        <v>0.5</v>
      </c>
      <c r="AQ75" t="b">
        <v>1</v>
      </c>
      <c r="AR75" t="s">
        <v>23</v>
      </c>
      <c r="AS75">
        <v>20000</v>
      </c>
      <c r="AT75">
        <v>500</v>
      </c>
      <c r="AU75" t="s">
        <v>121</v>
      </c>
      <c r="AV75" t="b">
        <v>0</v>
      </c>
      <c r="AW75" t="b">
        <v>0</v>
      </c>
      <c r="AX75" t="b">
        <v>1</v>
      </c>
      <c r="AY75" t="b">
        <v>1</v>
      </c>
      <c r="BA75">
        <f>INDEX(Inp_CER_Bin_2eps3arms!$AN$2:$AN$176,MATCH(Table1[[#This Row],[ModelID]],Inp_CER_Bin_2eps3arms!$A$2:$A$176,0))</f>
        <v>0</v>
      </c>
      <c r="BC75" t="s">
        <v>622</v>
      </c>
      <c r="BD75" t="s">
        <v>629</v>
      </c>
      <c r="BE75" s="10">
        <f>Table1[[#This Row],[Global.Power]]</f>
        <v>0.7956124</v>
      </c>
      <c r="BF75" s="10">
        <f>Table1[[#This Row],[Conjunctive.Power]]</f>
        <v>0.6135661</v>
      </c>
      <c r="BG75" s="10">
        <f>Table1[[#This Row],[Disjunctive.Power]]</f>
        <v>0.79542880000000005</v>
      </c>
      <c r="BH75" s="10">
        <f>Table1[[#This Row],[FWER]]</f>
        <v>1.78555E-2</v>
      </c>
      <c r="BI75" s="10">
        <f>_xlfn.NUMBERVALUE(MID(Table1[[#This Row],[CI_95perc_Global.Power]],2,FIND(",",Table1[[#This Row],[CI_95perc_Global.Power]])-2))</f>
        <v>0.79274999999999995</v>
      </c>
      <c r="BJ75" s="10">
        <f>_xlfn.NUMBERVALUE(MID(Table1[[#This Row],[CI_95perc_Global.Power]],FIND(",",Table1[[#This Row],[CI_95perc_Global.Power]])+1,LEN(Table1[[#This Row],[CI_95perc_Global.Power]])-FIND(",",Table1[[#This Row],[CI_95perc_Global.Power]])-1))</f>
        <v>0.79847999999999997</v>
      </c>
      <c r="BK75" s="10">
        <f>_xlfn.NUMBERVALUE(MID(Table1[[#This Row],[CI_95perc_Conjunctive.Power]],2,FIND(",",Table1[[#This Row],[CI_95perc_Conjunctive.Power]])-2))</f>
        <v>0.60997999999999997</v>
      </c>
      <c r="BL75" s="10">
        <f>_xlfn.NUMBERVALUE(MID(Table1[[#This Row],[CI_95perc_Conjunctive.Power]],FIND(",",Table1[[#This Row],[CI_95perc_Conjunctive.Power]])+1,LEN(Table1[[#This Row],[CI_95perc_Conjunctive.Power]])-FIND(",",Table1[[#This Row],[CI_95perc_Conjunctive.Power]])-1))</f>
        <v>0.61716000000000004</v>
      </c>
      <c r="BM75" s="10">
        <f>_xlfn.NUMBERVALUE(MID(Table1[[#This Row],[CI_95perc_Disjunctive.Power]],2,FIND(",",Table1[[#This Row],[CI_95perc_Disjunctive.Power]])-2))</f>
        <v>0.79256000000000004</v>
      </c>
      <c r="BN75" s="10">
        <f>_xlfn.NUMBERVALUE(MID(Table1[[#This Row],[CI_95perc_Disjunctive.Power]],FIND(",",Table1[[#This Row],[CI_95perc_Disjunctive.Power]])+1,LEN(Table1[[#This Row],[CI_95perc_Disjunctive.Power]])-FIND(",",Table1[[#This Row],[CI_95perc_Disjunctive.Power]])-1))</f>
        <v>0.79830000000000001</v>
      </c>
      <c r="BO75" s="10">
        <f>_xlfn.NUMBERVALUE(MID(Table1[[#This Row],[CI_95perc_FWER]],2,FIND(",",Table1[[#This Row],[CI_95perc_FWER]])-2))</f>
        <v>1.7180000000000001E-2</v>
      </c>
      <c r="BP75" s="10">
        <f>_xlfn.NUMBERVALUE(MID(Table1[[#This Row],[CI_95perc_FWER]],FIND(",",Table1[[#This Row],[CI_95perc_FWER]])+1,LEN(Table1[[#This Row],[CI_95perc_FWER]])-FIND(",",Table1[[#This Row],[CI_95perc_FWER]])-1))</f>
        <v>1.8530000000000001E-2</v>
      </c>
      <c r="BQ75" s="10" t="str">
        <f>_xlfn.CONCAT("(",TEXT(Table1[[#This Row],[LCL_Disj.Pow%]],"0.00%"), ", ",TEXT(Table1[[#This Row],[UCL_Disj.Pow%]],"0.00%"),")")</f>
        <v>(79.26%, 79.83%)</v>
      </c>
      <c r="BR75" s="10" t="str">
        <f>_xlfn.CONCAT("(",TEXT(Table1[[#This Row],[LCL_Conj.Pow%]],"0.00%"),", ",TEXT(Table1[[#This Row],[UCL_Conj.Pow%]],"0.00%"),")")</f>
        <v>(61.00%, 61.72%)</v>
      </c>
      <c r="BS75" s="10" t="str">
        <f>_xlfn.CONCAT("(",TEXT(Table1[[#This Row],[LCL_FWER%]],"0.00%"),", ",TEXT(Table1[[#This Row],[UCL_FWER%]],"0.00%"),")")</f>
        <v>(1.72%, 1.85%)</v>
      </c>
    </row>
    <row r="76" spans="1:71" x14ac:dyDescent="0.25">
      <c r="A76">
        <v>74</v>
      </c>
      <c r="B76" t="s">
        <v>425</v>
      </c>
      <c r="C76">
        <v>1608</v>
      </c>
      <c r="D76">
        <v>0.79979999999999996</v>
      </c>
      <c r="E76">
        <v>0.5877</v>
      </c>
      <c r="F76">
        <v>0.79959999999999998</v>
      </c>
      <c r="G76">
        <v>1.21E-2</v>
      </c>
      <c r="H76" t="s">
        <v>395</v>
      </c>
      <c r="I76" t="s">
        <v>396</v>
      </c>
      <c r="J76" t="s">
        <v>397</v>
      </c>
      <c r="K76" t="s">
        <v>398</v>
      </c>
      <c r="L76" s="1">
        <v>196814028</v>
      </c>
      <c r="M76" t="s">
        <v>399</v>
      </c>
      <c r="N76">
        <v>8.6320307999999998E-2</v>
      </c>
      <c r="O76" t="s">
        <v>85</v>
      </c>
      <c r="P76" t="s">
        <v>117</v>
      </c>
      <c r="Q76">
        <v>800</v>
      </c>
      <c r="R76">
        <v>2.5000000000000001E-2</v>
      </c>
      <c r="S76" t="s">
        <v>42</v>
      </c>
      <c r="T76" t="s">
        <v>42</v>
      </c>
      <c r="U76" t="s">
        <v>43</v>
      </c>
      <c r="V76" t="s">
        <v>44</v>
      </c>
      <c r="W76">
        <v>5</v>
      </c>
      <c r="X76">
        <v>2</v>
      </c>
      <c r="Y76" t="s">
        <v>118</v>
      </c>
      <c r="Z76" t="s">
        <v>42</v>
      </c>
      <c r="AA76" t="s">
        <v>42</v>
      </c>
      <c r="AB76" t="s">
        <v>127</v>
      </c>
      <c r="AC76" t="s">
        <v>122</v>
      </c>
      <c r="AD76" t="s">
        <v>123</v>
      </c>
      <c r="AE76" t="s">
        <v>124</v>
      </c>
      <c r="AF76" t="s">
        <v>125</v>
      </c>
      <c r="AG76" t="s">
        <v>51</v>
      </c>
      <c r="AH76" t="s">
        <v>126</v>
      </c>
      <c r="AI76" t="s">
        <v>53</v>
      </c>
      <c r="AJ76" t="b">
        <v>1</v>
      </c>
      <c r="AK76" t="b">
        <v>1</v>
      </c>
      <c r="AL76">
        <v>1</v>
      </c>
      <c r="AM76">
        <v>1</v>
      </c>
      <c r="AN76" t="s">
        <v>56</v>
      </c>
      <c r="AO76" t="s">
        <v>57</v>
      </c>
      <c r="AP76">
        <v>0.25</v>
      </c>
      <c r="AQ76" t="b">
        <v>1</v>
      </c>
      <c r="AR76" t="s">
        <v>23</v>
      </c>
      <c r="AS76">
        <v>20000</v>
      </c>
      <c r="AT76">
        <v>500</v>
      </c>
      <c r="AU76" t="s">
        <v>121</v>
      </c>
      <c r="AV76" t="b">
        <v>0</v>
      </c>
      <c r="AW76" t="b">
        <v>0</v>
      </c>
      <c r="AX76" t="b">
        <v>1</v>
      </c>
      <c r="AY76" t="b">
        <v>1</v>
      </c>
      <c r="BA76">
        <f>INDEX(Inp_CER_Bin_2eps3arms!$AN$2:$AN$176,MATCH(Table1[[#This Row],[ModelID]],Inp_CER_Bin_2eps3arms!$A$2:$A$176,0))</f>
        <v>0</v>
      </c>
      <c r="BC76" t="s">
        <v>621</v>
      </c>
      <c r="BD76" t="s">
        <v>629</v>
      </c>
      <c r="BE76" s="10">
        <f>Table1[[#This Row],[Global.Power]]</f>
        <v>0.79979999999999996</v>
      </c>
      <c r="BF76" s="10">
        <f>Table1[[#This Row],[Conjunctive.Power]]</f>
        <v>0.5877</v>
      </c>
      <c r="BG76" s="10">
        <f>Table1[[#This Row],[Disjunctive.Power]]</f>
        <v>0.79959999999999998</v>
      </c>
      <c r="BH76" s="10">
        <f>Table1[[#This Row],[FWER]]</f>
        <v>1.21E-2</v>
      </c>
      <c r="BI76" s="10">
        <f>_xlfn.NUMBERVALUE(MID(Table1[[#This Row],[CI_95perc_Global.Power]],2,FIND(",",Table1[[#This Row],[CI_95perc_Global.Power]])-2))</f>
        <v>0.79425000000000001</v>
      </c>
      <c r="BJ76" s="10">
        <f>_xlfn.NUMBERVALUE(MID(Table1[[#This Row],[CI_95perc_Global.Power]],FIND(",",Table1[[#This Row],[CI_95perc_Global.Power]])+1,LEN(Table1[[#This Row],[CI_95perc_Global.Power]])-FIND(",",Table1[[#This Row],[CI_95perc_Global.Power]])-1))</f>
        <v>0.80535000000000001</v>
      </c>
      <c r="BK76" s="10">
        <f>_xlfn.NUMBERVALUE(MID(Table1[[#This Row],[CI_95perc_Conjunctive.Power]],2,FIND(",",Table1[[#This Row],[CI_95perc_Conjunctive.Power]])-2))</f>
        <v>0.58087999999999995</v>
      </c>
      <c r="BL76" s="10">
        <f>_xlfn.NUMBERVALUE(MID(Table1[[#This Row],[CI_95perc_Conjunctive.Power]],FIND(",",Table1[[#This Row],[CI_95perc_Conjunctive.Power]])+1,LEN(Table1[[#This Row],[CI_95perc_Conjunctive.Power]])-FIND(",",Table1[[#This Row],[CI_95perc_Conjunctive.Power]])-1))</f>
        <v>0.59452000000000005</v>
      </c>
      <c r="BM76" s="10">
        <f>_xlfn.NUMBERVALUE(MID(Table1[[#This Row],[CI_95perc_Disjunctive.Power]],2,FIND(",",Table1[[#This Row],[CI_95perc_Disjunctive.Power]])-2))</f>
        <v>0.79405000000000003</v>
      </c>
      <c r="BN76" s="10">
        <f>_xlfn.NUMBERVALUE(MID(Table1[[#This Row],[CI_95perc_Disjunctive.Power]],FIND(",",Table1[[#This Row],[CI_95perc_Disjunctive.Power]])+1,LEN(Table1[[#This Row],[CI_95perc_Disjunctive.Power]])-FIND(",",Table1[[#This Row],[CI_95perc_Disjunctive.Power]])-1))</f>
        <v>0.80515000000000003</v>
      </c>
      <c r="BO76" s="10">
        <f>_xlfn.NUMBERVALUE(MID(Table1[[#This Row],[CI_95perc_FWER]],2,FIND(",",Table1[[#This Row],[CI_95perc_FWER]])-2))</f>
        <v>1.0580000000000001E-2</v>
      </c>
      <c r="BP76" s="10">
        <f>_xlfn.NUMBERVALUE(MID(Table1[[#This Row],[CI_95perc_FWER]],FIND(",",Table1[[#This Row],[CI_95perc_FWER]])+1,LEN(Table1[[#This Row],[CI_95perc_FWER]])-FIND(",",Table1[[#This Row],[CI_95perc_FWER]])-1))</f>
        <v>1.362E-2</v>
      </c>
      <c r="BQ76" s="10" t="str">
        <f>_xlfn.CONCAT("(",TEXT(Table1[[#This Row],[LCL_Disj.Pow%]],"0.00%"), ", ",TEXT(Table1[[#This Row],[UCL_Disj.Pow%]],"0.00%"),")")</f>
        <v>(79.41%, 80.52%)</v>
      </c>
      <c r="BR76" s="10" t="str">
        <f>_xlfn.CONCAT("(",TEXT(Table1[[#This Row],[LCL_Conj.Pow%]],"0.00%"),", ",TEXT(Table1[[#This Row],[UCL_Conj.Pow%]],"0.00%"),")")</f>
        <v>(58.09%, 59.45%)</v>
      </c>
      <c r="BS76" s="10" t="str">
        <f>_xlfn.CONCAT("(",TEXT(Table1[[#This Row],[LCL_FWER%]],"0.00%"),", ",TEXT(Table1[[#This Row],[UCL_FWER%]],"0.00%"),")")</f>
        <v>(1.06%, 1.36%)</v>
      </c>
    </row>
    <row r="77" spans="1:71" x14ac:dyDescent="0.25">
      <c r="A77">
        <v>75</v>
      </c>
      <c r="B77" t="s">
        <v>426</v>
      </c>
      <c r="C77">
        <v>497</v>
      </c>
      <c r="D77">
        <v>0.83171980000000001</v>
      </c>
      <c r="E77">
        <v>0.69938940000000005</v>
      </c>
      <c r="F77">
        <v>0.83153730000000003</v>
      </c>
      <c r="G77">
        <v>1.7932300000000002E-2</v>
      </c>
      <c r="H77" t="s">
        <v>400</v>
      </c>
      <c r="I77" t="s">
        <v>401</v>
      </c>
      <c r="J77" t="s">
        <v>402</v>
      </c>
      <c r="K77" t="s">
        <v>403</v>
      </c>
      <c r="L77" s="1">
        <v>195014705</v>
      </c>
      <c r="M77" t="s">
        <v>404</v>
      </c>
      <c r="N77">
        <v>0.76303890900000004</v>
      </c>
      <c r="O77" t="s">
        <v>85</v>
      </c>
      <c r="P77" t="s">
        <v>41</v>
      </c>
      <c r="Q77">
        <v>800</v>
      </c>
      <c r="R77">
        <v>2.5000000000000001E-2</v>
      </c>
      <c r="S77" t="s">
        <v>42</v>
      </c>
      <c r="T77" t="s">
        <v>42</v>
      </c>
      <c r="U77" t="s">
        <v>43</v>
      </c>
      <c r="V77" t="s">
        <v>44</v>
      </c>
      <c r="W77">
        <v>5</v>
      </c>
      <c r="X77">
        <v>2</v>
      </c>
      <c r="Y77" t="s">
        <v>118</v>
      </c>
      <c r="Z77" t="s">
        <v>42</v>
      </c>
      <c r="AA77" t="s">
        <v>42</v>
      </c>
      <c r="AB77" t="s">
        <v>127</v>
      </c>
      <c r="AC77" t="s">
        <v>122</v>
      </c>
      <c r="AD77" t="s">
        <v>123</v>
      </c>
      <c r="AE77" t="s">
        <v>124</v>
      </c>
      <c r="AF77" t="s">
        <v>125</v>
      </c>
      <c r="AG77" t="s">
        <v>51</v>
      </c>
      <c r="AH77" t="s">
        <v>126</v>
      </c>
      <c r="AI77" t="s">
        <v>53</v>
      </c>
      <c r="AJ77" t="b">
        <v>1</v>
      </c>
      <c r="AK77" t="b">
        <v>1</v>
      </c>
      <c r="AL77">
        <v>1</v>
      </c>
      <c r="AM77">
        <v>1</v>
      </c>
      <c r="AN77" t="s">
        <v>56</v>
      </c>
      <c r="AO77" t="s">
        <v>57</v>
      </c>
      <c r="AP77">
        <v>0.25</v>
      </c>
      <c r="AQ77" t="b">
        <v>1</v>
      </c>
      <c r="AR77" t="s">
        <v>23</v>
      </c>
      <c r="AS77">
        <v>20000</v>
      </c>
      <c r="AT77">
        <v>500</v>
      </c>
      <c r="AU77" t="s">
        <v>121</v>
      </c>
      <c r="AV77" t="b">
        <v>0</v>
      </c>
      <c r="AW77" t="b">
        <v>0</v>
      </c>
      <c r="AX77" t="b">
        <v>1</v>
      </c>
      <c r="AY77" t="b">
        <v>1</v>
      </c>
      <c r="BA77">
        <f>INDEX(Inp_CER_Bin_2eps3arms!$AN$2:$AN$176,MATCH(Table1[[#This Row],[ModelID]],Inp_CER_Bin_2eps3arms!$A$2:$A$176,0))</f>
        <v>0</v>
      </c>
      <c r="BC77" t="s">
        <v>621</v>
      </c>
      <c r="BD77" t="s">
        <v>629</v>
      </c>
      <c r="BE77" s="10">
        <f>Table1[[#This Row],[Global.Power]]</f>
        <v>0.83171980000000001</v>
      </c>
      <c r="BF77" s="10">
        <f>Table1[[#This Row],[Conjunctive.Power]]</f>
        <v>0.69938940000000005</v>
      </c>
      <c r="BG77" s="10">
        <f>Table1[[#This Row],[Disjunctive.Power]]</f>
        <v>0.83153730000000003</v>
      </c>
      <c r="BH77" s="10">
        <f>Table1[[#This Row],[FWER]]</f>
        <v>1.7932300000000002E-2</v>
      </c>
      <c r="BI77" s="10">
        <f>_xlfn.NUMBERVALUE(MID(Table1[[#This Row],[CI_95perc_Global.Power]],2,FIND(",",Table1[[#This Row],[CI_95perc_Global.Power]])-2))</f>
        <v>0.82804999999999995</v>
      </c>
      <c r="BJ77" s="10">
        <f>_xlfn.NUMBERVALUE(MID(Table1[[#This Row],[CI_95perc_Global.Power]],FIND(",",Table1[[#This Row],[CI_95perc_Global.Power]])+1,LEN(Table1[[#This Row],[CI_95perc_Global.Power]])-FIND(",",Table1[[#This Row],[CI_95perc_Global.Power]])-1))</f>
        <v>0.83538999999999997</v>
      </c>
      <c r="BK77" s="10">
        <f>_xlfn.NUMBERVALUE(MID(Table1[[#This Row],[CI_95perc_Conjunctive.Power]],2,FIND(",",Table1[[#This Row],[CI_95perc_Conjunctive.Power]])-2))</f>
        <v>0.69540999999999997</v>
      </c>
      <c r="BL77" s="10">
        <f>_xlfn.NUMBERVALUE(MID(Table1[[#This Row],[CI_95perc_Conjunctive.Power]],FIND(",",Table1[[#This Row],[CI_95perc_Conjunctive.Power]])+1,LEN(Table1[[#This Row],[CI_95perc_Conjunctive.Power]])-FIND(",",Table1[[#This Row],[CI_95perc_Conjunctive.Power]])-1))</f>
        <v>0.70337000000000005</v>
      </c>
      <c r="BM77" s="10">
        <f>_xlfn.NUMBERVALUE(MID(Table1[[#This Row],[CI_95perc_Disjunctive.Power]],2,FIND(",",Table1[[#This Row],[CI_95perc_Disjunctive.Power]])-2))</f>
        <v>0.82786000000000004</v>
      </c>
      <c r="BN77" s="10">
        <f>_xlfn.NUMBERVALUE(MID(Table1[[#This Row],[CI_95perc_Disjunctive.Power]],FIND(",",Table1[[#This Row],[CI_95perc_Disjunctive.Power]])+1,LEN(Table1[[#This Row],[CI_95perc_Disjunctive.Power]])-FIND(",",Table1[[#This Row],[CI_95perc_Disjunctive.Power]])-1))</f>
        <v>0.83521000000000001</v>
      </c>
      <c r="BO77" s="10">
        <f>_xlfn.NUMBERVALUE(MID(Table1[[#This Row],[CI_95perc_FWER]],2,FIND(",",Table1[[#This Row],[CI_95perc_FWER]])-2))</f>
        <v>1.7250000000000001E-2</v>
      </c>
      <c r="BP77" s="10">
        <f>_xlfn.NUMBERVALUE(MID(Table1[[#This Row],[CI_95perc_FWER]],FIND(",",Table1[[#This Row],[CI_95perc_FWER]])+1,LEN(Table1[[#This Row],[CI_95perc_FWER]])-FIND(",",Table1[[#This Row],[CI_95perc_FWER]])-1))</f>
        <v>1.8610000000000002E-2</v>
      </c>
      <c r="BQ77" s="10" t="str">
        <f>_xlfn.CONCAT("(",TEXT(Table1[[#This Row],[LCL_Disj.Pow%]],"0.00%"), ", ",TEXT(Table1[[#This Row],[UCL_Disj.Pow%]],"0.00%"),")")</f>
        <v>(82.79%, 83.52%)</v>
      </c>
      <c r="BR77" s="10" t="str">
        <f>_xlfn.CONCAT("(",TEXT(Table1[[#This Row],[LCL_Conj.Pow%]],"0.00%"),", ",TEXT(Table1[[#This Row],[UCL_Conj.Pow%]],"0.00%"),")")</f>
        <v>(69.54%, 70.34%)</v>
      </c>
      <c r="BS77" s="10" t="str">
        <f>_xlfn.CONCAT("(",TEXT(Table1[[#This Row],[LCL_FWER%]],"0.00%"),", ",TEXT(Table1[[#This Row],[UCL_FWER%]],"0.00%"),")")</f>
        <v>(1.73%, 1.86%)</v>
      </c>
    </row>
    <row r="78" spans="1:71" x14ac:dyDescent="0.25">
      <c r="A78">
        <v>76</v>
      </c>
      <c r="B78" t="s">
        <v>427</v>
      </c>
      <c r="C78">
        <v>2236</v>
      </c>
      <c r="D78">
        <v>0.85114999999999996</v>
      </c>
      <c r="E78">
        <v>0.71120000000000005</v>
      </c>
      <c r="F78">
        <v>0.84940000000000004</v>
      </c>
      <c r="G78">
        <v>3.4499999999999999E-3</v>
      </c>
      <c r="H78" t="s">
        <v>405</v>
      </c>
      <c r="I78" t="s">
        <v>406</v>
      </c>
      <c r="J78" t="s">
        <v>407</v>
      </c>
      <c r="K78" t="s">
        <v>408</v>
      </c>
      <c r="L78" s="1">
        <v>196515058</v>
      </c>
      <c r="M78" t="s">
        <v>409</v>
      </c>
      <c r="N78">
        <v>8.1199683999999994E-2</v>
      </c>
      <c r="O78" t="s">
        <v>85</v>
      </c>
      <c r="P78" t="s">
        <v>117</v>
      </c>
      <c r="Q78">
        <v>800</v>
      </c>
      <c r="R78">
        <v>2.5000000000000001E-2</v>
      </c>
      <c r="S78" t="s">
        <v>42</v>
      </c>
      <c r="T78" t="s">
        <v>42</v>
      </c>
      <c r="U78" t="s">
        <v>43</v>
      </c>
      <c r="V78" t="s">
        <v>44</v>
      </c>
      <c r="W78">
        <v>5</v>
      </c>
      <c r="X78">
        <v>2</v>
      </c>
      <c r="Y78" t="s">
        <v>118</v>
      </c>
      <c r="Z78" t="s">
        <v>42</v>
      </c>
      <c r="AA78" t="s">
        <v>42</v>
      </c>
      <c r="AB78" t="s">
        <v>127</v>
      </c>
      <c r="AC78" t="s">
        <v>122</v>
      </c>
      <c r="AD78" t="s">
        <v>123</v>
      </c>
      <c r="AE78" t="s">
        <v>124</v>
      </c>
      <c r="AF78" t="s">
        <v>125</v>
      </c>
      <c r="AG78" t="s">
        <v>51</v>
      </c>
      <c r="AH78" t="s">
        <v>126</v>
      </c>
      <c r="AI78" t="s">
        <v>53</v>
      </c>
      <c r="AJ78" t="b">
        <v>1</v>
      </c>
      <c r="AK78" t="b">
        <v>1</v>
      </c>
      <c r="AL78">
        <v>1</v>
      </c>
      <c r="AM78">
        <v>1</v>
      </c>
      <c r="AN78" t="s">
        <v>56</v>
      </c>
      <c r="AO78" t="s">
        <v>60</v>
      </c>
      <c r="AP78">
        <v>1</v>
      </c>
      <c r="AQ78" t="b">
        <v>1</v>
      </c>
      <c r="AR78" t="s">
        <v>23</v>
      </c>
      <c r="AS78">
        <v>20000</v>
      </c>
      <c r="AT78">
        <v>500</v>
      </c>
      <c r="AU78" t="s">
        <v>121</v>
      </c>
      <c r="AV78" t="b">
        <v>0</v>
      </c>
      <c r="AW78" t="b">
        <v>0</v>
      </c>
      <c r="AX78" t="b">
        <v>1</v>
      </c>
      <c r="AY78" t="b">
        <v>1</v>
      </c>
      <c r="BA78">
        <f>INDEX(Inp_CER_Bin_2eps3arms!$AN$2:$AN$176,MATCH(Table1[[#This Row],[ModelID]],Inp_CER_Bin_2eps3arms!$A$2:$A$176,0))</f>
        <v>0</v>
      </c>
      <c r="BC78" t="s">
        <v>620</v>
      </c>
      <c r="BD78" t="s">
        <v>629</v>
      </c>
      <c r="BE78" s="10">
        <f>Table1[[#This Row],[Global.Power]]</f>
        <v>0.85114999999999996</v>
      </c>
      <c r="BF78" s="10">
        <f>Table1[[#This Row],[Conjunctive.Power]]</f>
        <v>0.71120000000000005</v>
      </c>
      <c r="BG78" s="10">
        <f>Table1[[#This Row],[Disjunctive.Power]]</f>
        <v>0.84940000000000004</v>
      </c>
      <c r="BH78" s="10">
        <f>Table1[[#This Row],[FWER]]</f>
        <v>3.4499999999999999E-3</v>
      </c>
      <c r="BI78" s="10">
        <f>_xlfn.NUMBERVALUE(MID(Table1[[#This Row],[CI_95perc_Global.Power]],2,FIND(",",Table1[[#This Row],[CI_95perc_Global.Power]])-2))</f>
        <v>0.84621999999999997</v>
      </c>
      <c r="BJ78" s="10">
        <f>_xlfn.NUMBERVALUE(MID(Table1[[#This Row],[CI_95perc_Global.Power]],FIND(",",Table1[[#This Row],[CI_95perc_Global.Power]])+1,LEN(Table1[[#This Row],[CI_95perc_Global.Power]])-FIND(",",Table1[[#This Row],[CI_95perc_Global.Power]])-1))</f>
        <v>0.85607999999999995</v>
      </c>
      <c r="BK78" s="10">
        <f>_xlfn.NUMBERVALUE(MID(Table1[[#This Row],[CI_95perc_Conjunctive.Power]],2,FIND(",",Table1[[#This Row],[CI_95perc_Conjunctive.Power]])-2))</f>
        <v>0.70491999999999999</v>
      </c>
      <c r="BL78" s="10">
        <f>_xlfn.NUMBERVALUE(MID(Table1[[#This Row],[CI_95perc_Conjunctive.Power]],FIND(",",Table1[[#This Row],[CI_95perc_Conjunctive.Power]])+1,LEN(Table1[[#This Row],[CI_95perc_Conjunctive.Power]])-FIND(",",Table1[[#This Row],[CI_95perc_Conjunctive.Power]])-1))</f>
        <v>0.71748000000000001</v>
      </c>
      <c r="BM78" s="10">
        <f>_xlfn.NUMBERVALUE(MID(Table1[[#This Row],[CI_95perc_Disjunctive.Power]],2,FIND(",",Table1[[#This Row],[CI_95perc_Disjunctive.Power]])-2))</f>
        <v>0.84443999999999997</v>
      </c>
      <c r="BN78" s="10">
        <f>_xlfn.NUMBERVALUE(MID(Table1[[#This Row],[CI_95perc_Disjunctive.Power]],FIND(",",Table1[[#This Row],[CI_95perc_Disjunctive.Power]])+1,LEN(Table1[[#This Row],[CI_95perc_Disjunctive.Power]])-FIND(",",Table1[[#This Row],[CI_95perc_Disjunctive.Power]])-1))</f>
        <v>0.85436000000000001</v>
      </c>
      <c r="BO78" s="10">
        <f>_xlfn.NUMBERVALUE(MID(Table1[[#This Row],[CI_95perc_FWER]],2,FIND(",",Table1[[#This Row],[CI_95perc_FWER]])-2))</f>
        <v>2.64E-3</v>
      </c>
      <c r="BP78" s="10">
        <f>_xlfn.NUMBERVALUE(MID(Table1[[#This Row],[CI_95perc_FWER]],FIND(",",Table1[[#This Row],[CI_95perc_FWER]])+1,LEN(Table1[[#This Row],[CI_95perc_FWER]])-FIND(",",Table1[[#This Row],[CI_95perc_FWER]])-1))</f>
        <v>4.2599999999999999E-3</v>
      </c>
      <c r="BQ78" s="10" t="str">
        <f>_xlfn.CONCAT("(",TEXT(Table1[[#This Row],[LCL_Disj.Pow%]],"0.00%"), ", ",TEXT(Table1[[#This Row],[UCL_Disj.Pow%]],"0.00%"),")")</f>
        <v>(84.44%, 85.44%)</v>
      </c>
      <c r="BR78" s="10" t="str">
        <f>_xlfn.CONCAT("(",TEXT(Table1[[#This Row],[LCL_Conj.Pow%]],"0.00%"),", ",TEXT(Table1[[#This Row],[UCL_Conj.Pow%]],"0.00%"),")")</f>
        <v>(70.49%, 71.75%)</v>
      </c>
      <c r="BS78" s="10" t="str">
        <f>_xlfn.CONCAT("(",TEXT(Table1[[#This Row],[LCL_FWER%]],"0.00%"),", ",TEXT(Table1[[#This Row],[UCL_FWER%]],"0.00%"),")")</f>
        <v>(0.26%, 0.43%)</v>
      </c>
    </row>
    <row r="79" spans="1:71" x14ac:dyDescent="0.25">
      <c r="A79">
        <v>77</v>
      </c>
      <c r="B79" t="s">
        <v>428</v>
      </c>
      <c r="C79">
        <v>3581</v>
      </c>
      <c r="D79">
        <v>0.88192289999999995</v>
      </c>
      <c r="E79">
        <v>0.80122179999999998</v>
      </c>
      <c r="F79">
        <v>0.87971140000000003</v>
      </c>
      <c r="G79">
        <v>3.8173999999999999E-3</v>
      </c>
      <c r="H79" t="s">
        <v>410</v>
      </c>
      <c r="I79" t="s">
        <v>411</v>
      </c>
      <c r="J79" t="s">
        <v>412</v>
      </c>
      <c r="K79" t="s">
        <v>413</v>
      </c>
      <c r="L79" s="1">
        <v>195915696</v>
      </c>
      <c r="M79" t="s">
        <v>414</v>
      </c>
      <c r="N79">
        <v>0.67735198600000002</v>
      </c>
      <c r="O79" t="s">
        <v>85</v>
      </c>
      <c r="P79" t="s">
        <v>41</v>
      </c>
      <c r="Q79">
        <v>800</v>
      </c>
      <c r="R79">
        <v>2.5000000000000001E-2</v>
      </c>
      <c r="S79" t="s">
        <v>42</v>
      </c>
      <c r="T79" t="s">
        <v>42</v>
      </c>
      <c r="U79" t="s">
        <v>43</v>
      </c>
      <c r="V79" t="s">
        <v>44</v>
      </c>
      <c r="W79">
        <v>5</v>
      </c>
      <c r="X79">
        <v>2</v>
      </c>
      <c r="Y79" t="s">
        <v>118</v>
      </c>
      <c r="Z79" t="s">
        <v>42</v>
      </c>
      <c r="AA79" t="s">
        <v>42</v>
      </c>
      <c r="AB79" t="s">
        <v>127</v>
      </c>
      <c r="AC79" t="s">
        <v>122</v>
      </c>
      <c r="AD79" t="s">
        <v>123</v>
      </c>
      <c r="AE79" t="s">
        <v>124</v>
      </c>
      <c r="AF79" t="s">
        <v>125</v>
      </c>
      <c r="AG79" t="s">
        <v>51</v>
      </c>
      <c r="AH79" t="s">
        <v>126</v>
      </c>
      <c r="AI79" t="s">
        <v>53</v>
      </c>
      <c r="AJ79" t="b">
        <v>1</v>
      </c>
      <c r="AK79" t="b">
        <v>1</v>
      </c>
      <c r="AL79">
        <v>1</v>
      </c>
      <c r="AM79">
        <v>1</v>
      </c>
      <c r="AN79" t="s">
        <v>56</v>
      </c>
      <c r="AO79" t="s">
        <v>60</v>
      </c>
      <c r="AP79">
        <v>1</v>
      </c>
      <c r="AQ79" t="b">
        <v>1</v>
      </c>
      <c r="AR79" t="s">
        <v>23</v>
      </c>
      <c r="AS79">
        <v>20000</v>
      </c>
      <c r="AT79">
        <v>500</v>
      </c>
      <c r="AU79" t="s">
        <v>121</v>
      </c>
      <c r="AV79" t="b">
        <v>0</v>
      </c>
      <c r="AW79" t="b">
        <v>0</v>
      </c>
      <c r="AX79" t="b">
        <v>1</v>
      </c>
      <c r="AY79" t="b">
        <v>1</v>
      </c>
      <c r="BA79">
        <f>INDEX(Inp_CER_Bin_2eps3arms!$AN$2:$AN$176,MATCH(Table1[[#This Row],[ModelID]],Inp_CER_Bin_2eps3arms!$A$2:$A$176,0))</f>
        <v>0</v>
      </c>
      <c r="BC79" t="s">
        <v>620</v>
      </c>
      <c r="BD79" t="s">
        <v>629</v>
      </c>
      <c r="BE79" s="10">
        <f>Table1[[#This Row],[Global.Power]]</f>
        <v>0.88192289999999995</v>
      </c>
      <c r="BF79" s="10">
        <f>Table1[[#This Row],[Conjunctive.Power]]</f>
        <v>0.80122179999999998</v>
      </c>
      <c r="BG79" s="10">
        <f>Table1[[#This Row],[Disjunctive.Power]]</f>
        <v>0.87971140000000003</v>
      </c>
      <c r="BH79" s="10">
        <f>Table1[[#This Row],[FWER]]</f>
        <v>3.8173999999999999E-3</v>
      </c>
      <c r="BI79" s="10">
        <f>_xlfn.NUMBERVALUE(MID(Table1[[#This Row],[CI_95perc_Global.Power]],2,FIND(",",Table1[[#This Row],[CI_95perc_Global.Power]])-2))</f>
        <v>0.87887999999999999</v>
      </c>
      <c r="BJ79" s="10">
        <f>_xlfn.NUMBERVALUE(MID(Table1[[#This Row],[CI_95perc_Global.Power]],FIND(",",Table1[[#This Row],[CI_95perc_Global.Power]])+1,LEN(Table1[[#This Row],[CI_95perc_Global.Power]])-FIND(",",Table1[[#This Row],[CI_95perc_Global.Power]])-1))</f>
        <v>0.88497000000000003</v>
      </c>
      <c r="BK79" s="10">
        <f>_xlfn.NUMBERVALUE(MID(Table1[[#This Row],[CI_95perc_Conjunctive.Power]],2,FIND(",",Table1[[#This Row],[CI_95perc_Conjunctive.Power]])-2))</f>
        <v>0.79781999999999997</v>
      </c>
      <c r="BL79" s="10">
        <f>_xlfn.NUMBERVALUE(MID(Table1[[#This Row],[CI_95perc_Conjunctive.Power]],FIND(",",Table1[[#This Row],[CI_95perc_Conjunctive.Power]])+1,LEN(Table1[[#This Row],[CI_95perc_Conjunctive.Power]])-FIND(",",Table1[[#This Row],[CI_95perc_Conjunctive.Power]])-1))</f>
        <v>0.80462999999999996</v>
      </c>
      <c r="BM79" s="10">
        <f>_xlfn.NUMBERVALUE(MID(Table1[[#This Row],[CI_95perc_Disjunctive.Power]],2,FIND(",",Table1[[#This Row],[CI_95perc_Disjunctive.Power]])-2))</f>
        <v>0.87656000000000001</v>
      </c>
      <c r="BN79" s="10">
        <f>_xlfn.NUMBERVALUE(MID(Table1[[#This Row],[CI_95perc_Disjunctive.Power]],FIND(",",Table1[[#This Row],[CI_95perc_Disjunctive.Power]])+1,LEN(Table1[[#This Row],[CI_95perc_Disjunctive.Power]])-FIND(",",Table1[[#This Row],[CI_95perc_Disjunctive.Power]])-1))</f>
        <v>0.88285999999999998</v>
      </c>
      <c r="BO79" s="10">
        <f>_xlfn.NUMBERVALUE(MID(Table1[[#This Row],[CI_95perc_FWER]],2,FIND(",",Table1[[#This Row],[CI_95perc_FWER]])-2))</f>
        <v>3.3600000000000001E-3</v>
      </c>
      <c r="BP79" s="10">
        <f>_xlfn.NUMBERVALUE(MID(Table1[[#This Row],[CI_95perc_FWER]],FIND(",",Table1[[#This Row],[CI_95perc_FWER]])+1,LEN(Table1[[#This Row],[CI_95perc_FWER]])-FIND(",",Table1[[#This Row],[CI_95perc_FWER]])-1))</f>
        <v>4.28E-3</v>
      </c>
      <c r="BQ79" s="10" t="str">
        <f>_xlfn.CONCAT("(",TEXT(Table1[[#This Row],[LCL_Disj.Pow%]],"0.00%"), ", ",TEXT(Table1[[#This Row],[UCL_Disj.Pow%]],"0.00%"),")")</f>
        <v>(87.66%, 88.29%)</v>
      </c>
      <c r="BR79" s="10" t="str">
        <f>_xlfn.CONCAT("(",TEXT(Table1[[#This Row],[LCL_Conj.Pow%]],"0.00%"),", ",TEXT(Table1[[#This Row],[UCL_Conj.Pow%]],"0.00%"),")")</f>
        <v>(79.78%, 80.46%)</v>
      </c>
      <c r="BS79" s="10" t="str">
        <f>_xlfn.CONCAT("(",TEXT(Table1[[#This Row],[LCL_FWER%]],"0.00%"),", ",TEXT(Table1[[#This Row],[UCL_FWER%]],"0.00%"),")")</f>
        <v>(0.34%, 0.43%)</v>
      </c>
    </row>
    <row r="80" spans="1:71" x14ac:dyDescent="0.25">
      <c r="A80" s="5">
        <v>78</v>
      </c>
      <c r="B80" s="5" t="s">
        <v>611</v>
      </c>
      <c r="C80">
        <v>7516</v>
      </c>
      <c r="D80">
        <v>0.72585</v>
      </c>
      <c r="E80">
        <v>0.18909999999999999</v>
      </c>
      <c r="F80">
        <v>0.72585</v>
      </c>
      <c r="G80">
        <v>1.025E-2</v>
      </c>
      <c r="H80" t="s">
        <v>415</v>
      </c>
      <c r="I80" t="s">
        <v>416</v>
      </c>
      <c r="J80" t="s">
        <v>415</v>
      </c>
      <c r="K80" t="s">
        <v>417</v>
      </c>
      <c r="L80" s="1">
        <v>322411293</v>
      </c>
      <c r="M80" t="s">
        <v>418</v>
      </c>
      <c r="N80">
        <v>0.85443432920508899</v>
      </c>
      <c r="O80" t="s">
        <v>85</v>
      </c>
      <c r="P80" t="s">
        <v>117</v>
      </c>
      <c r="Q80">
        <v>800</v>
      </c>
      <c r="R80">
        <v>2.5000000000000001E-2</v>
      </c>
      <c r="S80" t="s">
        <v>42</v>
      </c>
      <c r="T80" t="s">
        <v>42</v>
      </c>
      <c r="U80" t="s">
        <v>43</v>
      </c>
      <c r="V80" t="s">
        <v>44</v>
      </c>
      <c r="W80">
        <v>5</v>
      </c>
      <c r="X80">
        <v>2</v>
      </c>
      <c r="Y80" t="s">
        <v>118</v>
      </c>
      <c r="Z80" t="s">
        <v>42</v>
      </c>
      <c r="AA80" t="s">
        <v>42</v>
      </c>
      <c r="AB80" t="s">
        <v>128</v>
      </c>
      <c r="AC80" t="s">
        <v>122</v>
      </c>
      <c r="AD80" t="s">
        <v>120</v>
      </c>
      <c r="AE80" t="s">
        <v>124</v>
      </c>
      <c r="AF80" t="s">
        <v>125</v>
      </c>
      <c r="AG80" t="s">
        <v>51</v>
      </c>
      <c r="AH80" t="s">
        <v>52</v>
      </c>
      <c r="AI80" t="s">
        <v>53</v>
      </c>
      <c r="AJ80" t="b">
        <v>1</v>
      </c>
      <c r="AK80" t="b">
        <v>0</v>
      </c>
      <c r="AL80" t="s">
        <v>42</v>
      </c>
      <c r="AM80" t="s">
        <v>42</v>
      </c>
      <c r="AN80" t="s">
        <v>42</v>
      </c>
      <c r="AO80" t="s">
        <v>42</v>
      </c>
      <c r="AP80" t="s">
        <v>42</v>
      </c>
      <c r="AQ80" t="s">
        <v>42</v>
      </c>
      <c r="AR80" t="s">
        <v>54</v>
      </c>
      <c r="AS80">
        <v>20000</v>
      </c>
      <c r="AT80">
        <v>500</v>
      </c>
      <c r="AU80" t="s">
        <v>121</v>
      </c>
      <c r="AV80" t="b">
        <v>0</v>
      </c>
      <c r="AW80" t="b">
        <v>0</v>
      </c>
      <c r="AX80" t="b">
        <v>1</v>
      </c>
      <c r="AY80" t="b">
        <v>1</v>
      </c>
      <c r="BA80">
        <f>INDEX(Inp_CER_Bin_2eps3arms!$AN$2:$AN$176,MATCH(Table1[[#This Row],[ModelID]],Inp_CER_Bin_2eps3arms!$A$2:$A$176,0))</f>
        <v>0</v>
      </c>
      <c r="BC80" t="s">
        <v>618</v>
      </c>
      <c r="BD80" t="s">
        <v>630</v>
      </c>
      <c r="BE80" s="10">
        <f>Table1[[#This Row],[Global.Power]]</f>
        <v>0.72585</v>
      </c>
      <c r="BF80" s="10">
        <f>Table1[[#This Row],[Conjunctive.Power]]</f>
        <v>0.18909999999999999</v>
      </c>
      <c r="BG80" s="10">
        <f>Table1[[#This Row],[Disjunctive.Power]]</f>
        <v>0.72585</v>
      </c>
      <c r="BH80" s="10">
        <f>Table1[[#This Row],[FWER]]</f>
        <v>1.025E-2</v>
      </c>
      <c r="BI80" s="10">
        <f>_xlfn.NUMBERVALUE(MID(Table1[[#This Row],[CI_95perc_Global.Power]],2,FIND(",",Table1[[#This Row],[CI_95perc_Global.Power]])-2))</f>
        <v>0.71967000000000003</v>
      </c>
      <c r="BJ80" s="10">
        <f>_xlfn.NUMBERVALUE(MID(Table1[[#This Row],[CI_95perc_Global.Power]],FIND(",",Table1[[#This Row],[CI_95perc_Global.Power]])+1,LEN(Table1[[#This Row],[CI_95perc_Global.Power]])-FIND(",",Table1[[#This Row],[CI_95perc_Global.Power]])-1))</f>
        <v>0.73202999999999996</v>
      </c>
      <c r="BK80" s="10">
        <f>_xlfn.NUMBERVALUE(MID(Table1[[#This Row],[CI_95perc_Conjunctive.Power]],2,FIND(",",Table1[[#This Row],[CI_95perc_Conjunctive.Power]])-2))</f>
        <v>0.18367</v>
      </c>
      <c r="BL80" s="10">
        <f>_xlfn.NUMBERVALUE(MID(Table1[[#This Row],[CI_95perc_Conjunctive.Power]],FIND(",",Table1[[#This Row],[CI_95perc_Conjunctive.Power]])+1,LEN(Table1[[#This Row],[CI_95perc_Conjunctive.Power]])-FIND(",",Table1[[#This Row],[CI_95perc_Conjunctive.Power]])-1))</f>
        <v>0.19453000000000001</v>
      </c>
      <c r="BM80" s="10">
        <f>_xlfn.NUMBERVALUE(MID(Table1[[#This Row],[CI_95perc_Disjunctive.Power]],2,FIND(",",Table1[[#This Row],[CI_95perc_Disjunctive.Power]])-2))</f>
        <v>0.71967000000000003</v>
      </c>
      <c r="BN80" s="10">
        <f>_xlfn.NUMBERVALUE(MID(Table1[[#This Row],[CI_95perc_Disjunctive.Power]],FIND(",",Table1[[#This Row],[CI_95perc_Disjunctive.Power]])+1,LEN(Table1[[#This Row],[CI_95perc_Disjunctive.Power]])-FIND(",",Table1[[#This Row],[CI_95perc_Disjunctive.Power]])-1))</f>
        <v>0.73202999999999996</v>
      </c>
      <c r="BO80" s="10">
        <f>_xlfn.NUMBERVALUE(MID(Table1[[#This Row],[CI_95perc_FWER]],2,FIND(",",Table1[[#This Row],[CI_95perc_FWER]])-2))</f>
        <v>8.8500000000000002E-3</v>
      </c>
      <c r="BP80" s="10">
        <f>_xlfn.NUMBERVALUE(MID(Table1[[#This Row],[CI_95perc_FWER]],FIND(",",Table1[[#This Row],[CI_95perc_FWER]])+1,LEN(Table1[[#This Row],[CI_95perc_FWER]])-FIND(",",Table1[[#This Row],[CI_95perc_FWER]])-1))</f>
        <v>1.1650000000000001E-2</v>
      </c>
      <c r="BQ80" s="10" t="str">
        <f>_xlfn.CONCAT("(",TEXT(Table1[[#This Row],[LCL_Disj.Pow%]],"0.00%"), ", ",TEXT(Table1[[#This Row],[UCL_Disj.Pow%]],"0.00%"),")")</f>
        <v>(71.97%, 73.20%)</v>
      </c>
      <c r="BR80" s="10" t="str">
        <f>_xlfn.CONCAT("(",TEXT(Table1[[#This Row],[LCL_Conj.Pow%]],"0.00%"),", ",TEXT(Table1[[#This Row],[UCL_Conj.Pow%]],"0.00%"),")")</f>
        <v>(18.37%, 19.45%)</v>
      </c>
      <c r="BS80" s="10" t="str">
        <f>_xlfn.CONCAT("(",TEXT(Table1[[#This Row],[LCL_FWER%]],"0.00%"),", ",TEXT(Table1[[#This Row],[UCL_FWER%]],"0.00%"),")")</f>
        <v>(0.89%, 1.17%)</v>
      </c>
    </row>
    <row r="81" spans="1:71" x14ac:dyDescent="0.25">
      <c r="A81" s="6">
        <v>79</v>
      </c>
      <c r="B81" s="6" t="s">
        <v>612</v>
      </c>
      <c r="C81" s="6">
        <v>1443</v>
      </c>
      <c r="D81" s="6">
        <v>0.82603199999999999</v>
      </c>
      <c r="E81" s="6">
        <v>0.33129380000000003</v>
      </c>
      <c r="F81" s="6">
        <v>0.82602089999999995</v>
      </c>
      <c r="G81" s="6">
        <v>1.7245400000000001E-2</v>
      </c>
      <c r="H81" s="6" t="s">
        <v>458</v>
      </c>
      <c r="I81" s="6" t="s">
        <v>459</v>
      </c>
      <c r="J81" s="6" t="s">
        <v>460</v>
      </c>
      <c r="K81" s="6" t="s">
        <v>461</v>
      </c>
      <c r="L81" s="7">
        <v>328513240</v>
      </c>
      <c r="M81" s="6" t="s">
        <v>462</v>
      </c>
      <c r="N81" s="6">
        <v>1.33954078502125</v>
      </c>
      <c r="O81" t="s">
        <v>85</v>
      </c>
      <c r="P81" t="s">
        <v>41</v>
      </c>
      <c r="Q81">
        <v>800</v>
      </c>
      <c r="R81">
        <v>2.5000000000000001E-2</v>
      </c>
      <c r="S81" t="s">
        <v>42</v>
      </c>
      <c r="T81" t="s">
        <v>42</v>
      </c>
      <c r="U81" t="s">
        <v>43</v>
      </c>
      <c r="V81" t="s">
        <v>44</v>
      </c>
      <c r="W81">
        <v>5</v>
      </c>
      <c r="X81">
        <v>2</v>
      </c>
      <c r="Y81" t="s">
        <v>118</v>
      </c>
      <c r="Z81" t="s">
        <v>42</v>
      </c>
      <c r="AA81" t="s">
        <v>42</v>
      </c>
      <c r="AB81" t="s">
        <v>128</v>
      </c>
      <c r="AC81" t="s">
        <v>122</v>
      </c>
      <c r="AD81" t="s">
        <v>120</v>
      </c>
      <c r="AE81" t="s">
        <v>124</v>
      </c>
      <c r="AF81" t="s">
        <v>125</v>
      </c>
      <c r="AG81" t="s">
        <v>51</v>
      </c>
      <c r="AH81" t="s">
        <v>52</v>
      </c>
      <c r="AI81" t="s">
        <v>53</v>
      </c>
      <c r="AJ81" t="b">
        <v>1</v>
      </c>
      <c r="AK81" t="b">
        <v>0</v>
      </c>
      <c r="AL81" t="s">
        <v>42</v>
      </c>
      <c r="AM81" t="s">
        <v>42</v>
      </c>
      <c r="AN81" t="s">
        <v>42</v>
      </c>
      <c r="AO81" t="s">
        <v>42</v>
      </c>
      <c r="AP81" t="s">
        <v>42</v>
      </c>
      <c r="AQ81" t="s">
        <v>42</v>
      </c>
      <c r="AR81" t="s">
        <v>54</v>
      </c>
      <c r="AS81">
        <v>20000</v>
      </c>
      <c r="AT81">
        <v>500</v>
      </c>
      <c r="AU81" t="s">
        <v>121</v>
      </c>
      <c r="AV81" t="b">
        <v>0</v>
      </c>
      <c r="AW81" t="b">
        <v>0</v>
      </c>
      <c r="AX81" t="b">
        <v>1</v>
      </c>
      <c r="AY81" t="b">
        <v>1</v>
      </c>
      <c r="BA81">
        <f>INDEX(Inp_CER_Bin_2eps3arms!$AN$2:$AN$176,MATCH(Table1[[#This Row],[ModelID]],Inp_CER_Bin_2eps3arms!$A$2:$A$176,0))</f>
        <v>0</v>
      </c>
      <c r="BC81" t="s">
        <v>618</v>
      </c>
      <c r="BD81" t="s">
        <v>630</v>
      </c>
      <c r="BE81" s="10">
        <f>Table1[[#This Row],[Global.Power]]</f>
        <v>0.82603199999999999</v>
      </c>
      <c r="BF81" s="10">
        <f>Table1[[#This Row],[Conjunctive.Power]]</f>
        <v>0.33129380000000003</v>
      </c>
      <c r="BG81" s="10">
        <f>Table1[[#This Row],[Disjunctive.Power]]</f>
        <v>0.82602089999999995</v>
      </c>
      <c r="BH81" s="10">
        <f>Table1[[#This Row],[FWER]]</f>
        <v>1.7245400000000001E-2</v>
      </c>
      <c r="BI81" s="10">
        <f>_xlfn.NUMBERVALUE(MID(Table1[[#This Row],[CI_95perc_Global.Power]],2,FIND(",",Table1[[#This Row],[CI_95perc_Global.Power]])-2))</f>
        <v>0.82330999999999999</v>
      </c>
      <c r="BJ81" s="10">
        <f>_xlfn.NUMBERVALUE(MID(Table1[[#This Row],[CI_95perc_Global.Power]],FIND(",",Table1[[#This Row],[CI_95perc_Global.Power]])+1,LEN(Table1[[#This Row],[CI_95perc_Global.Power]])-FIND(",",Table1[[#This Row],[CI_95perc_Global.Power]])-1))</f>
        <v>0.82874999999999999</v>
      </c>
      <c r="BK81" s="10">
        <f>_xlfn.NUMBERVALUE(MID(Table1[[#This Row],[CI_95perc_Conjunctive.Power]],2,FIND(",",Table1[[#This Row],[CI_95perc_Conjunctive.Power]])-2))</f>
        <v>0.32785999999999998</v>
      </c>
      <c r="BL81" s="10">
        <f>_xlfn.NUMBERVALUE(MID(Table1[[#This Row],[CI_95perc_Conjunctive.Power]],FIND(",",Table1[[#This Row],[CI_95perc_Conjunctive.Power]])+1,LEN(Table1[[#This Row],[CI_95perc_Conjunctive.Power]])-FIND(",",Table1[[#This Row],[CI_95perc_Conjunctive.Power]])-1))</f>
        <v>0.33472000000000002</v>
      </c>
      <c r="BM81" s="10">
        <f>_xlfn.NUMBERVALUE(MID(Table1[[#This Row],[CI_95perc_Disjunctive.Power]],2,FIND(",",Table1[[#This Row],[CI_95perc_Disjunctive.Power]])-2))</f>
        <v>0.82330000000000003</v>
      </c>
      <c r="BN81" s="10">
        <f>_xlfn.NUMBERVALUE(MID(Table1[[#This Row],[CI_95perc_Disjunctive.Power]],FIND(",",Table1[[#This Row],[CI_95perc_Disjunctive.Power]])+1,LEN(Table1[[#This Row],[CI_95perc_Disjunctive.Power]])-FIND(",",Table1[[#This Row],[CI_95perc_Disjunctive.Power]])-1))</f>
        <v>0.82874000000000003</v>
      </c>
      <c r="BO81" s="10">
        <f>_xlfn.NUMBERVALUE(MID(Table1[[#This Row],[CI_95perc_FWER]],2,FIND(",",Table1[[#This Row],[CI_95perc_FWER]])-2))</f>
        <v>1.6580000000000001E-2</v>
      </c>
      <c r="BP81" s="10">
        <f>_xlfn.NUMBERVALUE(MID(Table1[[#This Row],[CI_95perc_FWER]],FIND(",",Table1[[#This Row],[CI_95perc_FWER]])+1,LEN(Table1[[#This Row],[CI_95perc_FWER]])-FIND(",",Table1[[#This Row],[CI_95perc_FWER]])-1))</f>
        <v>1.7909999999999999E-2</v>
      </c>
      <c r="BQ81" s="10" t="str">
        <f>_xlfn.CONCAT("(",TEXT(Table1[[#This Row],[LCL_Disj.Pow%]],"0.00%"), ", ",TEXT(Table1[[#This Row],[UCL_Disj.Pow%]],"0.00%"),")")</f>
        <v>(82.33%, 82.87%)</v>
      </c>
      <c r="BR81" s="10" t="str">
        <f>_xlfn.CONCAT("(",TEXT(Table1[[#This Row],[LCL_Conj.Pow%]],"0.00%"),", ",TEXT(Table1[[#This Row],[UCL_Conj.Pow%]],"0.00%"),")")</f>
        <v>(32.79%, 33.47%)</v>
      </c>
      <c r="BS81" s="10" t="str">
        <f>_xlfn.CONCAT("(",TEXT(Table1[[#This Row],[LCL_FWER%]],"0.00%"),", ",TEXT(Table1[[#This Row],[UCL_FWER%]],"0.00%"),")")</f>
        <v>(1.66%, 1.79%)</v>
      </c>
    </row>
    <row r="82" spans="1:71" x14ac:dyDescent="0.25">
      <c r="A82" s="6">
        <v>80</v>
      </c>
      <c r="B82" s="6" t="s">
        <v>362</v>
      </c>
      <c r="C82" s="6">
        <v>9676</v>
      </c>
      <c r="D82" s="6">
        <v>0.78605000000000003</v>
      </c>
      <c r="E82" s="6">
        <v>0.23505000000000001</v>
      </c>
      <c r="F82" s="6">
        <v>0.78605000000000003</v>
      </c>
      <c r="G82" s="6">
        <v>1.0500000000000001E-2</v>
      </c>
      <c r="H82" s="6" t="s">
        <v>463</v>
      </c>
      <c r="I82" s="6" t="s">
        <v>464</v>
      </c>
      <c r="J82" s="6" t="s">
        <v>463</v>
      </c>
      <c r="K82" s="6" t="s">
        <v>465</v>
      </c>
      <c r="L82" s="7">
        <v>324312478</v>
      </c>
      <c r="M82" s="6" t="s">
        <v>466</v>
      </c>
      <c r="N82" s="6">
        <v>0.10009114642938</v>
      </c>
      <c r="O82" t="s">
        <v>85</v>
      </c>
      <c r="P82" t="s">
        <v>117</v>
      </c>
      <c r="Q82">
        <v>800</v>
      </c>
      <c r="R82">
        <v>2.5000000000000001E-2</v>
      </c>
      <c r="S82" t="s">
        <v>42</v>
      </c>
      <c r="T82" t="s">
        <v>42</v>
      </c>
      <c r="U82" t="s">
        <v>43</v>
      </c>
      <c r="V82" t="s">
        <v>44</v>
      </c>
      <c r="W82">
        <v>5</v>
      </c>
      <c r="X82">
        <v>2</v>
      </c>
      <c r="Y82" t="s">
        <v>118</v>
      </c>
      <c r="Z82" t="s">
        <v>42</v>
      </c>
      <c r="AA82" t="s">
        <v>42</v>
      </c>
      <c r="AB82" t="s">
        <v>128</v>
      </c>
      <c r="AC82" t="s">
        <v>122</v>
      </c>
      <c r="AD82" t="s">
        <v>123</v>
      </c>
      <c r="AE82" t="s">
        <v>124</v>
      </c>
      <c r="AF82" t="s">
        <v>125</v>
      </c>
      <c r="AG82" t="s">
        <v>51</v>
      </c>
      <c r="AH82" t="s">
        <v>126</v>
      </c>
      <c r="AI82" t="s">
        <v>53</v>
      </c>
      <c r="AJ82" t="b">
        <v>1</v>
      </c>
      <c r="AK82" t="b">
        <v>1</v>
      </c>
      <c r="AL82">
        <v>1</v>
      </c>
      <c r="AM82">
        <v>1</v>
      </c>
      <c r="AN82" t="s">
        <v>56</v>
      </c>
      <c r="AO82" t="s">
        <v>57</v>
      </c>
      <c r="AP82">
        <v>0.75</v>
      </c>
      <c r="AQ82" t="b">
        <v>1</v>
      </c>
      <c r="AR82" t="s">
        <v>23</v>
      </c>
      <c r="AS82">
        <v>20000</v>
      </c>
      <c r="AT82">
        <v>500</v>
      </c>
      <c r="AU82" t="s">
        <v>121</v>
      </c>
      <c r="AV82" t="b">
        <v>0</v>
      </c>
      <c r="AW82" t="b">
        <v>0</v>
      </c>
      <c r="AX82" t="b">
        <v>1</v>
      </c>
      <c r="AY82" t="b">
        <v>1</v>
      </c>
      <c r="BA82">
        <f>INDEX(Inp_CER_Bin_2eps3arms!$AN$2:$AN$176,MATCH(Table1[[#This Row],[ModelID]],Inp_CER_Bin_2eps3arms!$A$2:$A$176,0))</f>
        <v>0</v>
      </c>
      <c r="BC82" t="s">
        <v>619</v>
      </c>
      <c r="BD82" t="s">
        <v>630</v>
      </c>
      <c r="BE82" s="10">
        <f>Table1[[#This Row],[Global.Power]]</f>
        <v>0.78605000000000003</v>
      </c>
      <c r="BF82" s="10">
        <f>Table1[[#This Row],[Conjunctive.Power]]</f>
        <v>0.23505000000000001</v>
      </c>
      <c r="BG82" s="10">
        <f>Table1[[#This Row],[Disjunctive.Power]]</f>
        <v>0.78605000000000003</v>
      </c>
      <c r="BH82" s="10">
        <f>Table1[[#This Row],[FWER]]</f>
        <v>1.0500000000000001E-2</v>
      </c>
      <c r="BI82" s="10">
        <f>_xlfn.NUMBERVALUE(MID(Table1[[#This Row],[CI_95perc_Global.Power]],2,FIND(",",Table1[[#This Row],[CI_95perc_Global.Power]])-2))</f>
        <v>0.78037000000000001</v>
      </c>
      <c r="BJ82" s="10">
        <f>_xlfn.NUMBERVALUE(MID(Table1[[#This Row],[CI_95perc_Global.Power]],FIND(",",Table1[[#This Row],[CI_95perc_Global.Power]])+1,LEN(Table1[[#This Row],[CI_95perc_Global.Power]])-FIND(",",Table1[[#This Row],[CI_95perc_Global.Power]])-1))</f>
        <v>0.79173000000000004</v>
      </c>
      <c r="BK82" s="10">
        <f>_xlfn.NUMBERVALUE(MID(Table1[[#This Row],[CI_95perc_Conjunctive.Power]],2,FIND(",",Table1[[#This Row],[CI_95perc_Conjunctive.Power]])-2))</f>
        <v>0.22917000000000001</v>
      </c>
      <c r="BL82" s="10">
        <f>_xlfn.NUMBERVALUE(MID(Table1[[#This Row],[CI_95perc_Conjunctive.Power]],FIND(",",Table1[[#This Row],[CI_95perc_Conjunctive.Power]])+1,LEN(Table1[[#This Row],[CI_95perc_Conjunctive.Power]])-FIND(",",Table1[[#This Row],[CI_95perc_Conjunctive.Power]])-1))</f>
        <v>0.24093000000000001</v>
      </c>
      <c r="BM82" s="10">
        <f>_xlfn.NUMBERVALUE(MID(Table1[[#This Row],[CI_95perc_Disjunctive.Power]],2,FIND(",",Table1[[#This Row],[CI_95perc_Disjunctive.Power]])-2))</f>
        <v>0.78037000000000001</v>
      </c>
      <c r="BN82" s="10">
        <f>_xlfn.NUMBERVALUE(MID(Table1[[#This Row],[CI_95perc_Disjunctive.Power]],FIND(",",Table1[[#This Row],[CI_95perc_Disjunctive.Power]])+1,LEN(Table1[[#This Row],[CI_95perc_Disjunctive.Power]])-FIND(",",Table1[[#This Row],[CI_95perc_Disjunctive.Power]])-1))</f>
        <v>0.79173000000000004</v>
      </c>
      <c r="BO82" s="10">
        <f>_xlfn.NUMBERVALUE(MID(Table1[[#This Row],[CI_95perc_FWER]],2,FIND(",",Table1[[#This Row],[CI_95perc_FWER]])-2))</f>
        <v>9.0900000000000009E-3</v>
      </c>
      <c r="BP82" s="10">
        <f>_xlfn.NUMBERVALUE(MID(Table1[[#This Row],[CI_95perc_FWER]],FIND(",",Table1[[#This Row],[CI_95perc_FWER]])+1,LEN(Table1[[#This Row],[CI_95perc_FWER]])-FIND(",",Table1[[#This Row],[CI_95perc_FWER]])-1))</f>
        <v>1.191E-2</v>
      </c>
      <c r="BQ82" s="10" t="str">
        <f>_xlfn.CONCAT("(",TEXT(Table1[[#This Row],[LCL_Disj.Pow%]],"0.00%"), ", ",TEXT(Table1[[#This Row],[UCL_Disj.Pow%]],"0.00%"),")")</f>
        <v>(78.04%, 79.17%)</v>
      </c>
      <c r="BR82" s="10" t="str">
        <f>_xlfn.CONCAT("(",TEXT(Table1[[#This Row],[LCL_Conj.Pow%]],"0.00%"),", ",TEXT(Table1[[#This Row],[UCL_Conj.Pow%]],"0.00%"),")")</f>
        <v>(22.92%, 24.09%)</v>
      </c>
      <c r="BS82" s="10" t="str">
        <f>_xlfn.CONCAT("(",TEXT(Table1[[#This Row],[LCL_FWER%]],"0.00%"),", ",TEXT(Table1[[#This Row],[UCL_FWER%]],"0.00%"),")")</f>
        <v>(0.91%, 1.19%)</v>
      </c>
    </row>
    <row r="83" spans="1:71" x14ac:dyDescent="0.25">
      <c r="A83" s="6">
        <v>81</v>
      </c>
      <c r="B83" s="6" t="s">
        <v>363</v>
      </c>
      <c r="C83" s="6">
        <v>8362</v>
      </c>
      <c r="D83" s="6">
        <v>0.86527390000000004</v>
      </c>
      <c r="E83" s="6">
        <v>0.37581120000000001</v>
      </c>
      <c r="F83" s="6">
        <v>0.86526049999999999</v>
      </c>
      <c r="G83" s="6">
        <v>1.73087E-2</v>
      </c>
      <c r="H83" s="6" t="s">
        <v>467</v>
      </c>
      <c r="I83" s="6" t="s">
        <v>468</v>
      </c>
      <c r="J83" s="6" t="s">
        <v>469</v>
      </c>
      <c r="K83" s="6" t="s">
        <v>470</v>
      </c>
      <c r="L83" s="7">
        <v>325114054</v>
      </c>
      <c r="M83" s="6" t="s">
        <v>471</v>
      </c>
      <c r="N83" s="6">
        <v>1.07305436087979</v>
      </c>
      <c r="O83" t="s">
        <v>85</v>
      </c>
      <c r="P83" t="s">
        <v>41</v>
      </c>
      <c r="Q83">
        <v>800</v>
      </c>
      <c r="R83">
        <v>2.5000000000000001E-2</v>
      </c>
      <c r="S83" t="s">
        <v>42</v>
      </c>
      <c r="T83" t="s">
        <v>42</v>
      </c>
      <c r="U83" t="s">
        <v>43</v>
      </c>
      <c r="V83" t="s">
        <v>44</v>
      </c>
      <c r="W83">
        <v>5</v>
      </c>
      <c r="X83">
        <v>2</v>
      </c>
      <c r="Y83" t="s">
        <v>118</v>
      </c>
      <c r="Z83" t="s">
        <v>42</v>
      </c>
      <c r="AA83" t="s">
        <v>42</v>
      </c>
      <c r="AB83" t="s">
        <v>128</v>
      </c>
      <c r="AC83" t="s">
        <v>122</v>
      </c>
      <c r="AD83" t="s">
        <v>123</v>
      </c>
      <c r="AE83" t="s">
        <v>124</v>
      </c>
      <c r="AF83" t="s">
        <v>125</v>
      </c>
      <c r="AG83" t="s">
        <v>51</v>
      </c>
      <c r="AH83" t="s">
        <v>126</v>
      </c>
      <c r="AI83" t="s">
        <v>53</v>
      </c>
      <c r="AJ83" t="b">
        <v>1</v>
      </c>
      <c r="AK83" t="b">
        <v>1</v>
      </c>
      <c r="AL83">
        <v>1</v>
      </c>
      <c r="AM83">
        <v>1</v>
      </c>
      <c r="AN83" t="s">
        <v>56</v>
      </c>
      <c r="AO83" t="s">
        <v>57</v>
      </c>
      <c r="AP83">
        <v>0.75</v>
      </c>
      <c r="AQ83" t="b">
        <v>1</v>
      </c>
      <c r="AR83" t="s">
        <v>23</v>
      </c>
      <c r="AS83">
        <v>20000</v>
      </c>
      <c r="AT83">
        <v>500</v>
      </c>
      <c r="AU83" t="s">
        <v>121</v>
      </c>
      <c r="AV83" t="b">
        <v>0</v>
      </c>
      <c r="AW83" t="b">
        <v>0</v>
      </c>
      <c r="AX83" t="b">
        <v>1</v>
      </c>
      <c r="AY83" t="b">
        <v>1</v>
      </c>
      <c r="BA83">
        <f>INDEX(Inp_CER_Bin_2eps3arms!$AN$2:$AN$176,MATCH(Table1[[#This Row],[ModelID]],Inp_CER_Bin_2eps3arms!$A$2:$A$176,0))</f>
        <v>0</v>
      </c>
      <c r="BC83" t="s">
        <v>619</v>
      </c>
      <c r="BD83" t="s">
        <v>630</v>
      </c>
      <c r="BE83" s="10">
        <f>Table1[[#This Row],[Global.Power]]</f>
        <v>0.86527390000000004</v>
      </c>
      <c r="BF83" s="10">
        <f>Table1[[#This Row],[Conjunctive.Power]]</f>
        <v>0.37581120000000001</v>
      </c>
      <c r="BG83" s="10">
        <f>Table1[[#This Row],[Disjunctive.Power]]</f>
        <v>0.86526049999999999</v>
      </c>
      <c r="BH83" s="10">
        <f>Table1[[#This Row],[FWER]]</f>
        <v>1.73087E-2</v>
      </c>
      <c r="BI83" s="10">
        <f>_xlfn.NUMBERVALUE(MID(Table1[[#This Row],[CI_95perc_Global.Power]],2,FIND(",",Table1[[#This Row],[CI_95perc_Global.Power]])-2))</f>
        <v>0.86309999999999998</v>
      </c>
      <c r="BJ83" s="10">
        <f>_xlfn.NUMBERVALUE(MID(Table1[[#This Row],[CI_95perc_Global.Power]],FIND(",",Table1[[#This Row],[CI_95perc_Global.Power]])+1,LEN(Table1[[#This Row],[CI_95perc_Global.Power]])-FIND(",",Table1[[#This Row],[CI_95perc_Global.Power]])-1))</f>
        <v>0.86745000000000005</v>
      </c>
      <c r="BK83" s="10">
        <f>_xlfn.NUMBERVALUE(MID(Table1[[#This Row],[CI_95perc_Conjunctive.Power]],2,FIND(",",Table1[[#This Row],[CI_95perc_Conjunctive.Power]])-2))</f>
        <v>0.37242999999999998</v>
      </c>
      <c r="BL83" s="10">
        <f>_xlfn.NUMBERVALUE(MID(Table1[[#This Row],[CI_95perc_Conjunctive.Power]],FIND(",",Table1[[#This Row],[CI_95perc_Conjunctive.Power]])+1,LEN(Table1[[#This Row],[CI_95perc_Conjunctive.Power]])-FIND(",",Table1[[#This Row],[CI_95perc_Conjunctive.Power]])-1))</f>
        <v>0.37919000000000003</v>
      </c>
      <c r="BM83" s="10">
        <f>_xlfn.NUMBERVALUE(MID(Table1[[#This Row],[CI_95perc_Disjunctive.Power]],2,FIND(",",Table1[[#This Row],[CI_95perc_Disjunctive.Power]])-2))</f>
        <v>0.86307999999999996</v>
      </c>
      <c r="BN83" s="10">
        <f>_xlfn.NUMBERVALUE(MID(Table1[[#This Row],[CI_95perc_Disjunctive.Power]],FIND(",",Table1[[#This Row],[CI_95perc_Disjunctive.Power]])+1,LEN(Table1[[#This Row],[CI_95perc_Disjunctive.Power]])-FIND(",",Table1[[#This Row],[CI_95perc_Disjunctive.Power]])-1))</f>
        <v>0.86743999999999999</v>
      </c>
      <c r="BO83" s="10">
        <f>_xlfn.NUMBERVALUE(MID(Table1[[#This Row],[CI_95perc_FWER]],2,FIND(",",Table1[[#This Row],[CI_95perc_FWER]])-2))</f>
        <v>1.6660000000000001E-2</v>
      </c>
      <c r="BP83" s="10">
        <f>_xlfn.NUMBERVALUE(MID(Table1[[#This Row],[CI_95perc_FWER]],FIND(",",Table1[[#This Row],[CI_95perc_FWER]])+1,LEN(Table1[[#This Row],[CI_95perc_FWER]])-FIND(",",Table1[[#This Row],[CI_95perc_FWER]])-1))</f>
        <v>1.796E-2</v>
      </c>
      <c r="BQ83" s="10" t="str">
        <f>_xlfn.CONCAT("(",TEXT(Table1[[#This Row],[LCL_Disj.Pow%]],"0.00%"), ", ",TEXT(Table1[[#This Row],[UCL_Disj.Pow%]],"0.00%"),")")</f>
        <v>(86.31%, 86.74%)</v>
      </c>
      <c r="BR83" s="10" t="str">
        <f>_xlfn.CONCAT("(",TEXT(Table1[[#This Row],[LCL_Conj.Pow%]],"0.00%"),", ",TEXT(Table1[[#This Row],[UCL_Conj.Pow%]],"0.00%"),")")</f>
        <v>(37.24%, 37.92%)</v>
      </c>
      <c r="BS83" s="10" t="str">
        <f>_xlfn.CONCAT("(",TEXT(Table1[[#This Row],[LCL_FWER%]],"0.00%"),", ",TEXT(Table1[[#This Row],[UCL_FWER%]],"0.00%"),")")</f>
        <v>(1.67%, 1.80%)</v>
      </c>
    </row>
    <row r="84" spans="1:71" x14ac:dyDescent="0.25">
      <c r="A84" s="6">
        <v>82</v>
      </c>
      <c r="B84" s="6" t="s">
        <v>364</v>
      </c>
      <c r="C84" s="6">
        <v>1829</v>
      </c>
      <c r="D84" s="6">
        <v>0.83365</v>
      </c>
      <c r="E84" s="6">
        <v>0.29420000000000002</v>
      </c>
      <c r="F84" s="6">
        <v>0.83365</v>
      </c>
      <c r="G84" s="6">
        <v>1.17E-2</v>
      </c>
      <c r="H84" s="6" t="s">
        <v>472</v>
      </c>
      <c r="I84" s="6" t="s">
        <v>473</v>
      </c>
      <c r="J84" s="6" t="s">
        <v>472</v>
      </c>
      <c r="K84" s="6" t="s">
        <v>474</v>
      </c>
      <c r="L84" s="7">
        <v>328813385</v>
      </c>
      <c r="M84" s="6" t="s">
        <v>475</v>
      </c>
      <c r="N84" s="6">
        <v>9.8480541970994706E-2</v>
      </c>
      <c r="O84" t="s">
        <v>85</v>
      </c>
      <c r="P84" t="s">
        <v>117</v>
      </c>
      <c r="Q84">
        <v>800</v>
      </c>
      <c r="R84">
        <v>2.5000000000000001E-2</v>
      </c>
      <c r="S84" t="s">
        <v>42</v>
      </c>
      <c r="T84" t="s">
        <v>42</v>
      </c>
      <c r="U84" t="s">
        <v>43</v>
      </c>
      <c r="V84" t="s">
        <v>44</v>
      </c>
      <c r="W84">
        <v>5</v>
      </c>
      <c r="X84">
        <v>2</v>
      </c>
      <c r="Y84" t="s">
        <v>118</v>
      </c>
      <c r="Z84" t="s">
        <v>42</v>
      </c>
      <c r="AA84" t="s">
        <v>42</v>
      </c>
      <c r="AB84" t="s">
        <v>128</v>
      </c>
      <c r="AC84" t="s">
        <v>122</v>
      </c>
      <c r="AD84" t="s">
        <v>123</v>
      </c>
      <c r="AE84" t="s">
        <v>124</v>
      </c>
      <c r="AF84" t="s">
        <v>125</v>
      </c>
      <c r="AG84" t="s">
        <v>51</v>
      </c>
      <c r="AH84" t="s">
        <v>126</v>
      </c>
      <c r="AI84" t="s">
        <v>53</v>
      </c>
      <c r="AJ84" t="b">
        <v>1</v>
      </c>
      <c r="AK84" t="b">
        <v>1</v>
      </c>
      <c r="AL84">
        <v>1</v>
      </c>
      <c r="AM84">
        <v>1</v>
      </c>
      <c r="AN84" t="s">
        <v>56</v>
      </c>
      <c r="AO84" t="s">
        <v>57</v>
      </c>
      <c r="AP84">
        <v>0.5</v>
      </c>
      <c r="AQ84" t="b">
        <v>1</v>
      </c>
      <c r="AR84" t="s">
        <v>23</v>
      </c>
      <c r="AS84">
        <v>20000</v>
      </c>
      <c r="AT84">
        <v>500</v>
      </c>
      <c r="AU84" t="s">
        <v>121</v>
      </c>
      <c r="AV84" t="b">
        <v>0</v>
      </c>
      <c r="AW84" t="b">
        <v>0</v>
      </c>
      <c r="AX84" t="b">
        <v>1</v>
      </c>
      <c r="AY84" t="b">
        <v>1</v>
      </c>
      <c r="BA84">
        <f>INDEX(Inp_CER_Bin_2eps3arms!$AN$2:$AN$176,MATCH(Table1[[#This Row],[ModelID]],Inp_CER_Bin_2eps3arms!$A$2:$A$176,0))</f>
        <v>0</v>
      </c>
      <c r="BC84" t="s">
        <v>622</v>
      </c>
      <c r="BD84" t="s">
        <v>630</v>
      </c>
      <c r="BE84" s="10">
        <f>Table1[[#This Row],[Global.Power]]</f>
        <v>0.83365</v>
      </c>
      <c r="BF84" s="10">
        <f>Table1[[#This Row],[Conjunctive.Power]]</f>
        <v>0.29420000000000002</v>
      </c>
      <c r="BG84" s="10">
        <f>Table1[[#This Row],[Disjunctive.Power]]</f>
        <v>0.83365</v>
      </c>
      <c r="BH84" s="10">
        <f>Table1[[#This Row],[FWER]]</f>
        <v>1.17E-2</v>
      </c>
      <c r="BI84" s="10">
        <f>_xlfn.NUMBERVALUE(MID(Table1[[#This Row],[CI_95perc_Global.Power]],2,FIND(",",Table1[[#This Row],[CI_95perc_Global.Power]])-2))</f>
        <v>0.82848999999999995</v>
      </c>
      <c r="BJ84" s="10">
        <f>_xlfn.NUMBERVALUE(MID(Table1[[#This Row],[CI_95perc_Global.Power]],FIND(",",Table1[[#This Row],[CI_95perc_Global.Power]])+1,LEN(Table1[[#This Row],[CI_95perc_Global.Power]])-FIND(",",Table1[[#This Row],[CI_95perc_Global.Power]])-1))</f>
        <v>0.83880999999999994</v>
      </c>
      <c r="BK84" s="10">
        <f>_xlfn.NUMBERVALUE(MID(Table1[[#This Row],[CI_95perc_Conjunctive.Power]],2,FIND(",",Table1[[#This Row],[CI_95perc_Conjunctive.Power]])-2))</f>
        <v>0.28788000000000002</v>
      </c>
      <c r="BL84" s="10">
        <f>_xlfn.NUMBERVALUE(MID(Table1[[#This Row],[CI_95perc_Conjunctive.Power]],FIND(",",Table1[[#This Row],[CI_95perc_Conjunctive.Power]])+1,LEN(Table1[[#This Row],[CI_95perc_Conjunctive.Power]])-FIND(",",Table1[[#This Row],[CI_95perc_Conjunctive.Power]])-1))</f>
        <v>0.30052000000000001</v>
      </c>
      <c r="BM84" s="10">
        <f>_xlfn.NUMBERVALUE(MID(Table1[[#This Row],[CI_95perc_Disjunctive.Power]],2,FIND(",",Table1[[#This Row],[CI_95perc_Disjunctive.Power]])-2))</f>
        <v>0.82848999999999995</v>
      </c>
      <c r="BN84" s="10">
        <f>_xlfn.NUMBERVALUE(MID(Table1[[#This Row],[CI_95perc_Disjunctive.Power]],FIND(",",Table1[[#This Row],[CI_95perc_Disjunctive.Power]])+1,LEN(Table1[[#This Row],[CI_95perc_Disjunctive.Power]])-FIND(",",Table1[[#This Row],[CI_95perc_Disjunctive.Power]])-1))</f>
        <v>0.83880999999999994</v>
      </c>
      <c r="BO84" s="10">
        <f>_xlfn.NUMBERVALUE(MID(Table1[[#This Row],[CI_95perc_FWER]],2,FIND(",",Table1[[#This Row],[CI_95perc_FWER]])-2))</f>
        <v>1.021E-2</v>
      </c>
      <c r="BP84" s="10">
        <f>_xlfn.NUMBERVALUE(MID(Table1[[#This Row],[CI_95perc_FWER]],FIND(",",Table1[[#This Row],[CI_95perc_FWER]])+1,LEN(Table1[[#This Row],[CI_95perc_FWER]])-FIND(",",Table1[[#This Row],[CI_95perc_FWER]])-1))</f>
        <v>1.319E-2</v>
      </c>
      <c r="BQ84" s="10" t="str">
        <f>_xlfn.CONCAT("(",TEXT(Table1[[#This Row],[LCL_Disj.Pow%]],"0.00%"), ", ",TEXT(Table1[[#This Row],[UCL_Disj.Pow%]],"0.00%"),")")</f>
        <v>(82.85%, 83.88%)</v>
      </c>
      <c r="BR84" s="10" t="str">
        <f>_xlfn.CONCAT("(",TEXT(Table1[[#This Row],[LCL_Conj.Pow%]],"0.00%"),", ",TEXT(Table1[[#This Row],[UCL_Conj.Pow%]],"0.00%"),")")</f>
        <v>(28.79%, 30.05%)</v>
      </c>
      <c r="BS84" s="10" t="str">
        <f>_xlfn.CONCAT("(",TEXT(Table1[[#This Row],[LCL_FWER%]],"0.00%"),", ",TEXT(Table1[[#This Row],[UCL_FWER%]],"0.00%"),")")</f>
        <v>(1.02%, 1.32%)</v>
      </c>
    </row>
    <row r="85" spans="1:71" x14ac:dyDescent="0.25">
      <c r="A85">
        <v>83</v>
      </c>
      <c r="B85" t="s">
        <v>476</v>
      </c>
      <c r="C85">
        <v>2544</v>
      </c>
      <c r="D85">
        <v>0.89163630000000005</v>
      </c>
      <c r="E85">
        <v>0.41732190000000002</v>
      </c>
      <c r="F85">
        <v>0.89162629999999998</v>
      </c>
      <c r="G85">
        <v>1.7337200000000001E-2</v>
      </c>
      <c r="H85" t="s">
        <v>477</v>
      </c>
      <c r="I85" t="s">
        <v>478</v>
      </c>
      <c r="J85" t="s">
        <v>479</v>
      </c>
      <c r="K85" t="s">
        <v>480</v>
      </c>
      <c r="L85" s="1">
        <v>327314561</v>
      </c>
      <c r="M85" t="s">
        <v>481</v>
      </c>
      <c r="N85">
        <v>0.99969599690702204</v>
      </c>
      <c r="O85" t="s">
        <v>85</v>
      </c>
      <c r="P85" t="s">
        <v>41</v>
      </c>
      <c r="Q85">
        <v>800</v>
      </c>
      <c r="R85">
        <v>2.5000000000000001E-2</v>
      </c>
      <c r="S85" t="s">
        <v>42</v>
      </c>
      <c r="T85" t="s">
        <v>42</v>
      </c>
      <c r="U85" t="s">
        <v>43</v>
      </c>
      <c r="V85" t="s">
        <v>44</v>
      </c>
      <c r="W85">
        <v>5</v>
      </c>
      <c r="X85">
        <v>2</v>
      </c>
      <c r="Y85" t="s">
        <v>118</v>
      </c>
      <c r="Z85" t="s">
        <v>42</v>
      </c>
      <c r="AA85" t="s">
        <v>42</v>
      </c>
      <c r="AB85" t="s">
        <v>128</v>
      </c>
      <c r="AC85" t="s">
        <v>122</v>
      </c>
      <c r="AD85" t="s">
        <v>123</v>
      </c>
      <c r="AE85" t="s">
        <v>124</v>
      </c>
      <c r="AF85" t="s">
        <v>125</v>
      </c>
      <c r="AG85" t="s">
        <v>51</v>
      </c>
      <c r="AH85" t="s">
        <v>126</v>
      </c>
      <c r="AI85" t="s">
        <v>53</v>
      </c>
      <c r="AJ85" t="b">
        <v>1</v>
      </c>
      <c r="AK85" t="b">
        <v>1</v>
      </c>
      <c r="AL85">
        <v>1</v>
      </c>
      <c r="AM85">
        <v>1</v>
      </c>
      <c r="AN85" t="s">
        <v>56</v>
      </c>
      <c r="AO85" t="s">
        <v>57</v>
      </c>
      <c r="AP85">
        <v>0.5</v>
      </c>
      <c r="AQ85" t="b">
        <v>1</v>
      </c>
      <c r="AR85" t="s">
        <v>23</v>
      </c>
      <c r="AS85">
        <v>20000</v>
      </c>
      <c r="AT85">
        <v>500</v>
      </c>
      <c r="AU85" t="s">
        <v>121</v>
      </c>
      <c r="AV85" t="b">
        <v>0</v>
      </c>
      <c r="AW85" t="b">
        <v>0</v>
      </c>
      <c r="AX85" t="b">
        <v>1</v>
      </c>
      <c r="AY85" t="b">
        <v>1</v>
      </c>
      <c r="BA85">
        <f>INDEX(Inp_CER_Bin_2eps3arms!$AN$2:$AN$176,MATCH(Table1[[#This Row],[ModelID]],Inp_CER_Bin_2eps3arms!$A$2:$A$176,0))</f>
        <v>0</v>
      </c>
      <c r="BC85" t="s">
        <v>622</v>
      </c>
      <c r="BD85" t="s">
        <v>630</v>
      </c>
      <c r="BE85" s="10">
        <f>Table1[[#This Row],[Global.Power]]</f>
        <v>0.89163630000000005</v>
      </c>
      <c r="BF85" s="10">
        <f>Table1[[#This Row],[Conjunctive.Power]]</f>
        <v>0.41732190000000002</v>
      </c>
      <c r="BG85" s="10">
        <f>Table1[[#This Row],[Disjunctive.Power]]</f>
        <v>0.89162629999999998</v>
      </c>
      <c r="BH85" s="10">
        <f>Table1[[#This Row],[FWER]]</f>
        <v>1.7337200000000001E-2</v>
      </c>
      <c r="BI85" s="10">
        <f>_xlfn.NUMBERVALUE(MID(Table1[[#This Row],[CI_95perc_Global.Power]],2,FIND(",",Table1[[#This Row],[CI_95perc_Global.Power]])-2))</f>
        <v>0.88980000000000004</v>
      </c>
      <c r="BJ85" s="10">
        <f>_xlfn.NUMBERVALUE(MID(Table1[[#This Row],[CI_95perc_Global.Power]],FIND(",",Table1[[#This Row],[CI_95perc_Global.Power]])+1,LEN(Table1[[#This Row],[CI_95perc_Global.Power]])-FIND(",",Table1[[#This Row],[CI_95perc_Global.Power]])-1))</f>
        <v>0.89348000000000005</v>
      </c>
      <c r="BK85" s="10">
        <f>_xlfn.NUMBERVALUE(MID(Table1[[#This Row],[CI_95perc_Conjunctive.Power]],2,FIND(",",Table1[[#This Row],[CI_95perc_Conjunctive.Power]])-2))</f>
        <v>0.41387000000000002</v>
      </c>
      <c r="BL85" s="10">
        <f>_xlfn.NUMBERVALUE(MID(Table1[[#This Row],[CI_95perc_Conjunctive.Power]],FIND(",",Table1[[#This Row],[CI_95perc_Conjunctive.Power]])+1,LEN(Table1[[#This Row],[CI_95perc_Conjunctive.Power]])-FIND(",",Table1[[#This Row],[CI_95perc_Conjunctive.Power]])-1))</f>
        <v>0.42076999999999998</v>
      </c>
      <c r="BM85" s="10">
        <f>_xlfn.NUMBERVALUE(MID(Table1[[#This Row],[CI_95perc_Disjunctive.Power]],2,FIND(",",Table1[[#This Row],[CI_95perc_Disjunctive.Power]])-2))</f>
        <v>0.88978999999999997</v>
      </c>
      <c r="BN85" s="10">
        <f>_xlfn.NUMBERVALUE(MID(Table1[[#This Row],[CI_95perc_Disjunctive.Power]],FIND(",",Table1[[#This Row],[CI_95perc_Disjunctive.Power]])+1,LEN(Table1[[#This Row],[CI_95perc_Disjunctive.Power]])-FIND(",",Table1[[#This Row],[CI_95perc_Disjunctive.Power]])-1))</f>
        <v>0.89346999999999999</v>
      </c>
      <c r="BO85" s="10">
        <f>_xlfn.NUMBERVALUE(MID(Table1[[#This Row],[CI_95perc_FWER]],2,FIND(",",Table1[[#This Row],[CI_95perc_FWER]])-2))</f>
        <v>1.668E-2</v>
      </c>
      <c r="BP85" s="10">
        <f>_xlfn.NUMBERVALUE(MID(Table1[[#This Row],[CI_95perc_FWER]],FIND(",",Table1[[#This Row],[CI_95perc_FWER]])+1,LEN(Table1[[#This Row],[CI_95perc_FWER]])-FIND(",",Table1[[#This Row],[CI_95perc_FWER]])-1))</f>
        <v>1.7989999999999999E-2</v>
      </c>
      <c r="BQ85" s="10" t="str">
        <f>_xlfn.CONCAT("(",TEXT(Table1[[#This Row],[LCL_Disj.Pow%]],"0.00%"), ", ",TEXT(Table1[[#This Row],[UCL_Disj.Pow%]],"0.00%"),")")</f>
        <v>(88.98%, 89.35%)</v>
      </c>
      <c r="BR85" s="10" t="str">
        <f>_xlfn.CONCAT("(",TEXT(Table1[[#This Row],[LCL_Conj.Pow%]],"0.00%"),", ",TEXT(Table1[[#This Row],[UCL_Conj.Pow%]],"0.00%"),")")</f>
        <v>(41.39%, 42.08%)</v>
      </c>
      <c r="BS85" s="10" t="str">
        <f>_xlfn.CONCAT("(",TEXT(Table1[[#This Row],[LCL_FWER%]],"0.00%"),", ",TEXT(Table1[[#This Row],[UCL_FWER%]],"0.00%"),")")</f>
        <v>(1.67%, 1.80%)</v>
      </c>
    </row>
    <row r="86" spans="1:71" x14ac:dyDescent="0.25">
      <c r="A86">
        <v>84</v>
      </c>
      <c r="B86" t="s">
        <v>482</v>
      </c>
      <c r="C86">
        <v>1463</v>
      </c>
      <c r="D86">
        <v>0.8952</v>
      </c>
      <c r="E86">
        <v>0.39</v>
      </c>
      <c r="F86">
        <v>0.8952</v>
      </c>
      <c r="G86">
        <v>1.325E-2</v>
      </c>
      <c r="H86" t="s">
        <v>483</v>
      </c>
      <c r="I86" t="s">
        <v>484</v>
      </c>
      <c r="J86" t="s">
        <v>483</v>
      </c>
      <c r="K86" t="s">
        <v>485</v>
      </c>
      <c r="L86" s="1">
        <v>328514619</v>
      </c>
      <c r="M86" t="s">
        <v>486</v>
      </c>
      <c r="N86">
        <v>9.2641004191504603E-2</v>
      </c>
      <c r="O86" t="s">
        <v>85</v>
      </c>
      <c r="P86" t="s">
        <v>117</v>
      </c>
      <c r="Q86">
        <v>800</v>
      </c>
      <c r="R86">
        <v>2.5000000000000001E-2</v>
      </c>
      <c r="S86" t="s">
        <v>42</v>
      </c>
      <c r="T86" t="s">
        <v>42</v>
      </c>
      <c r="U86" t="s">
        <v>43</v>
      </c>
      <c r="V86" t="s">
        <v>44</v>
      </c>
      <c r="W86">
        <v>5</v>
      </c>
      <c r="X86">
        <v>2</v>
      </c>
      <c r="Y86" t="s">
        <v>118</v>
      </c>
      <c r="Z86" t="s">
        <v>42</v>
      </c>
      <c r="AA86" t="s">
        <v>42</v>
      </c>
      <c r="AB86" t="s">
        <v>128</v>
      </c>
      <c r="AC86" t="s">
        <v>122</v>
      </c>
      <c r="AD86" t="s">
        <v>123</v>
      </c>
      <c r="AE86" t="s">
        <v>124</v>
      </c>
      <c r="AF86" t="s">
        <v>125</v>
      </c>
      <c r="AG86" t="s">
        <v>51</v>
      </c>
      <c r="AH86" t="s">
        <v>126</v>
      </c>
      <c r="AI86" t="s">
        <v>53</v>
      </c>
      <c r="AJ86" t="b">
        <v>1</v>
      </c>
      <c r="AK86" t="b">
        <v>1</v>
      </c>
      <c r="AL86">
        <v>1</v>
      </c>
      <c r="AM86">
        <v>1</v>
      </c>
      <c r="AN86" t="s">
        <v>56</v>
      </c>
      <c r="AO86" t="s">
        <v>57</v>
      </c>
      <c r="AP86">
        <v>0.25</v>
      </c>
      <c r="AQ86" t="b">
        <v>1</v>
      </c>
      <c r="AR86" t="s">
        <v>23</v>
      </c>
      <c r="AS86">
        <v>20000</v>
      </c>
      <c r="AT86">
        <v>500</v>
      </c>
      <c r="AU86" t="s">
        <v>121</v>
      </c>
      <c r="AV86" t="b">
        <v>0</v>
      </c>
      <c r="AW86" t="b">
        <v>0</v>
      </c>
      <c r="AX86" t="b">
        <v>1</v>
      </c>
      <c r="AY86" t="b">
        <v>1</v>
      </c>
      <c r="BA86">
        <f>INDEX(Inp_CER_Bin_2eps3arms!$AN$2:$AN$176,MATCH(Table1[[#This Row],[ModelID]],Inp_CER_Bin_2eps3arms!$A$2:$A$176,0))</f>
        <v>0</v>
      </c>
      <c r="BC86" t="s">
        <v>621</v>
      </c>
      <c r="BD86" t="s">
        <v>630</v>
      </c>
      <c r="BE86" s="10">
        <f>Table1[[#This Row],[Global.Power]]</f>
        <v>0.8952</v>
      </c>
      <c r="BF86" s="10">
        <f>Table1[[#This Row],[Conjunctive.Power]]</f>
        <v>0.39</v>
      </c>
      <c r="BG86" s="10">
        <f>Table1[[#This Row],[Disjunctive.Power]]</f>
        <v>0.8952</v>
      </c>
      <c r="BH86" s="10">
        <f>Table1[[#This Row],[FWER]]</f>
        <v>1.325E-2</v>
      </c>
      <c r="BI86" s="10">
        <f>_xlfn.NUMBERVALUE(MID(Table1[[#This Row],[CI_95perc_Global.Power]],2,FIND(",",Table1[[#This Row],[CI_95perc_Global.Power]])-2))</f>
        <v>0.89095999999999997</v>
      </c>
      <c r="BJ86" s="10">
        <f>_xlfn.NUMBERVALUE(MID(Table1[[#This Row],[CI_95perc_Global.Power]],FIND(",",Table1[[#This Row],[CI_95perc_Global.Power]])+1,LEN(Table1[[#This Row],[CI_95perc_Global.Power]])-FIND(",",Table1[[#This Row],[CI_95perc_Global.Power]])-1))</f>
        <v>0.89944000000000002</v>
      </c>
      <c r="BK86" s="10">
        <f>_xlfn.NUMBERVALUE(MID(Table1[[#This Row],[CI_95perc_Conjunctive.Power]],2,FIND(",",Table1[[#This Row],[CI_95perc_Conjunctive.Power]])-2))</f>
        <v>0.38324000000000003</v>
      </c>
      <c r="BL86" s="10">
        <f>_xlfn.NUMBERVALUE(MID(Table1[[#This Row],[CI_95perc_Conjunctive.Power]],FIND(",",Table1[[#This Row],[CI_95perc_Conjunctive.Power]])+1,LEN(Table1[[#This Row],[CI_95perc_Conjunctive.Power]])-FIND(",",Table1[[#This Row],[CI_95perc_Conjunctive.Power]])-1))</f>
        <v>0.39676</v>
      </c>
      <c r="BM86" s="10">
        <f>_xlfn.NUMBERVALUE(MID(Table1[[#This Row],[CI_95perc_Disjunctive.Power]],2,FIND(",",Table1[[#This Row],[CI_95perc_Disjunctive.Power]])-2))</f>
        <v>0.89095999999999997</v>
      </c>
      <c r="BN86" s="10">
        <f>_xlfn.NUMBERVALUE(MID(Table1[[#This Row],[CI_95perc_Disjunctive.Power]],FIND(",",Table1[[#This Row],[CI_95perc_Disjunctive.Power]])+1,LEN(Table1[[#This Row],[CI_95perc_Disjunctive.Power]])-FIND(",",Table1[[#This Row],[CI_95perc_Disjunctive.Power]])-1))</f>
        <v>0.89944000000000002</v>
      </c>
      <c r="BO86" s="10">
        <f>_xlfn.NUMBERVALUE(MID(Table1[[#This Row],[CI_95perc_FWER]],2,FIND(",",Table1[[#This Row],[CI_95perc_FWER]])-2))</f>
        <v>1.167E-2</v>
      </c>
      <c r="BP86" s="10">
        <f>_xlfn.NUMBERVALUE(MID(Table1[[#This Row],[CI_95perc_FWER]],FIND(",",Table1[[#This Row],[CI_95perc_FWER]])+1,LEN(Table1[[#This Row],[CI_95perc_FWER]])-FIND(",",Table1[[#This Row],[CI_95perc_FWER]])-1))</f>
        <v>1.4829999999999999E-2</v>
      </c>
      <c r="BQ86" s="10" t="str">
        <f>_xlfn.CONCAT("(",TEXT(Table1[[#This Row],[LCL_Disj.Pow%]],"0.00%"), ", ",TEXT(Table1[[#This Row],[UCL_Disj.Pow%]],"0.00%"),")")</f>
        <v>(89.10%, 89.94%)</v>
      </c>
      <c r="BR86" s="10" t="str">
        <f>_xlfn.CONCAT("(",TEXT(Table1[[#This Row],[LCL_Conj.Pow%]],"0.00%"),", ",TEXT(Table1[[#This Row],[UCL_Conj.Pow%]],"0.00%"),")")</f>
        <v>(38.32%, 39.68%)</v>
      </c>
      <c r="BS86" s="10" t="str">
        <f>_xlfn.CONCAT("(",TEXT(Table1[[#This Row],[LCL_FWER%]],"0.00%"),", ",TEXT(Table1[[#This Row],[UCL_FWER%]],"0.00%"),")")</f>
        <v>(1.17%, 1.48%)</v>
      </c>
    </row>
    <row r="87" spans="1:71" x14ac:dyDescent="0.25">
      <c r="A87">
        <v>85</v>
      </c>
      <c r="B87" t="s">
        <v>487</v>
      </c>
      <c r="C87">
        <v>6467</v>
      </c>
      <c r="D87">
        <v>0.91762310000000002</v>
      </c>
      <c r="E87">
        <v>0.4685783</v>
      </c>
      <c r="F87">
        <v>0.9176107</v>
      </c>
      <c r="G87">
        <v>1.7107399999999998E-2</v>
      </c>
      <c r="H87" t="s">
        <v>488</v>
      </c>
      <c r="I87" t="s">
        <v>489</v>
      </c>
      <c r="J87" t="s">
        <v>490</v>
      </c>
      <c r="K87" t="s">
        <v>491</v>
      </c>
      <c r="L87" s="1">
        <v>321215123</v>
      </c>
      <c r="M87" t="s">
        <v>492</v>
      </c>
      <c r="N87">
        <v>0.89468012167347799</v>
      </c>
      <c r="O87" t="s">
        <v>85</v>
      </c>
      <c r="P87" t="s">
        <v>41</v>
      </c>
      <c r="Q87">
        <v>800</v>
      </c>
      <c r="R87">
        <v>2.5000000000000001E-2</v>
      </c>
      <c r="S87" t="s">
        <v>42</v>
      </c>
      <c r="T87" t="s">
        <v>42</v>
      </c>
      <c r="U87" t="s">
        <v>43</v>
      </c>
      <c r="V87" t="s">
        <v>44</v>
      </c>
      <c r="W87">
        <v>5</v>
      </c>
      <c r="X87">
        <v>2</v>
      </c>
      <c r="Y87" t="s">
        <v>118</v>
      </c>
      <c r="Z87" t="s">
        <v>42</v>
      </c>
      <c r="AA87" t="s">
        <v>42</v>
      </c>
      <c r="AB87" t="s">
        <v>128</v>
      </c>
      <c r="AC87" t="s">
        <v>122</v>
      </c>
      <c r="AD87" t="s">
        <v>123</v>
      </c>
      <c r="AE87" t="s">
        <v>124</v>
      </c>
      <c r="AF87" t="s">
        <v>125</v>
      </c>
      <c r="AG87" t="s">
        <v>51</v>
      </c>
      <c r="AH87" t="s">
        <v>126</v>
      </c>
      <c r="AI87" t="s">
        <v>53</v>
      </c>
      <c r="AJ87" t="b">
        <v>1</v>
      </c>
      <c r="AK87" t="b">
        <v>1</v>
      </c>
      <c r="AL87">
        <v>1</v>
      </c>
      <c r="AM87">
        <v>1</v>
      </c>
      <c r="AN87" t="s">
        <v>56</v>
      </c>
      <c r="AO87" t="s">
        <v>57</v>
      </c>
      <c r="AP87">
        <v>0.25</v>
      </c>
      <c r="AQ87" t="b">
        <v>1</v>
      </c>
      <c r="AR87" t="s">
        <v>23</v>
      </c>
      <c r="AS87">
        <v>20000</v>
      </c>
      <c r="AT87">
        <v>500</v>
      </c>
      <c r="AU87" t="s">
        <v>121</v>
      </c>
      <c r="AV87" t="b">
        <v>0</v>
      </c>
      <c r="AW87" t="b">
        <v>0</v>
      </c>
      <c r="AX87" t="b">
        <v>1</v>
      </c>
      <c r="AY87" t="b">
        <v>1</v>
      </c>
      <c r="BA87">
        <f>INDEX(Inp_CER_Bin_2eps3arms!$AN$2:$AN$176,MATCH(Table1[[#This Row],[ModelID]],Inp_CER_Bin_2eps3arms!$A$2:$A$176,0))</f>
        <v>0</v>
      </c>
      <c r="BC87" t="s">
        <v>621</v>
      </c>
      <c r="BD87" t="s">
        <v>630</v>
      </c>
      <c r="BE87" s="10">
        <f>Table1[[#This Row],[Global.Power]]</f>
        <v>0.91762310000000002</v>
      </c>
      <c r="BF87" s="10">
        <f>Table1[[#This Row],[Conjunctive.Power]]</f>
        <v>0.4685783</v>
      </c>
      <c r="BG87" s="10">
        <f>Table1[[#This Row],[Disjunctive.Power]]</f>
        <v>0.9176107</v>
      </c>
      <c r="BH87" s="10">
        <f>Table1[[#This Row],[FWER]]</f>
        <v>1.7107399999999998E-2</v>
      </c>
      <c r="BI87" s="10">
        <f>_xlfn.NUMBERVALUE(MID(Table1[[#This Row],[CI_95perc_Global.Power]],2,FIND(",",Table1[[#This Row],[CI_95perc_Global.Power]])-2))</f>
        <v>0.91546000000000005</v>
      </c>
      <c r="BJ87" s="10">
        <f>_xlfn.NUMBERVALUE(MID(Table1[[#This Row],[CI_95perc_Global.Power]],FIND(",",Table1[[#This Row],[CI_95perc_Global.Power]])+1,LEN(Table1[[#This Row],[CI_95perc_Global.Power]])-FIND(",",Table1[[#This Row],[CI_95perc_Global.Power]])-1))</f>
        <v>0.91979</v>
      </c>
      <c r="BK87" s="10">
        <f>_xlfn.NUMBERVALUE(MID(Table1[[#This Row],[CI_95perc_Conjunctive.Power]],2,FIND(",",Table1[[#This Row],[CI_95perc_Conjunctive.Power]])-2))</f>
        <v>0.46460000000000001</v>
      </c>
      <c r="BL87" s="10">
        <f>_xlfn.NUMBERVALUE(MID(Table1[[#This Row],[CI_95perc_Conjunctive.Power]],FIND(",",Table1[[#This Row],[CI_95perc_Conjunctive.Power]])+1,LEN(Table1[[#This Row],[CI_95perc_Conjunctive.Power]])-FIND(",",Table1[[#This Row],[CI_95perc_Conjunctive.Power]])-1))</f>
        <v>0.47255999999999998</v>
      </c>
      <c r="BM87" s="10">
        <f>_xlfn.NUMBERVALUE(MID(Table1[[#This Row],[CI_95perc_Disjunctive.Power]],2,FIND(",",Table1[[#This Row],[CI_95perc_Disjunctive.Power]])-2))</f>
        <v>0.91544999999999999</v>
      </c>
      <c r="BN87" s="10">
        <f>_xlfn.NUMBERVALUE(MID(Table1[[#This Row],[CI_95perc_Disjunctive.Power]],FIND(",",Table1[[#This Row],[CI_95perc_Disjunctive.Power]])+1,LEN(Table1[[#This Row],[CI_95perc_Disjunctive.Power]])-FIND(",",Table1[[#This Row],[CI_95perc_Disjunctive.Power]])-1))</f>
        <v>0.91976999999999998</v>
      </c>
      <c r="BO87" s="10">
        <f>_xlfn.NUMBERVALUE(MID(Table1[[#This Row],[CI_95perc_FWER]],2,FIND(",",Table1[[#This Row],[CI_95perc_FWER]])-2))</f>
        <v>1.644E-2</v>
      </c>
      <c r="BP87" s="10">
        <f>_xlfn.NUMBERVALUE(MID(Table1[[#This Row],[CI_95perc_FWER]],FIND(",",Table1[[#This Row],[CI_95perc_FWER]])+1,LEN(Table1[[#This Row],[CI_95perc_FWER]])-FIND(",",Table1[[#This Row],[CI_95perc_FWER]])-1))</f>
        <v>1.7770000000000001E-2</v>
      </c>
      <c r="BQ87" s="10" t="str">
        <f>_xlfn.CONCAT("(",TEXT(Table1[[#This Row],[LCL_Disj.Pow%]],"0.00%"), ", ",TEXT(Table1[[#This Row],[UCL_Disj.Pow%]],"0.00%"),")")</f>
        <v>(91.55%, 91.98%)</v>
      </c>
      <c r="BR87" s="10" t="str">
        <f>_xlfn.CONCAT("(",TEXT(Table1[[#This Row],[LCL_Conj.Pow%]],"0.00%"),", ",TEXT(Table1[[#This Row],[UCL_Conj.Pow%]],"0.00%"),")")</f>
        <v>(46.46%, 47.26%)</v>
      </c>
      <c r="BS87" s="10" t="str">
        <f>_xlfn.CONCAT("(",TEXT(Table1[[#This Row],[LCL_FWER%]],"0.00%"),", ",TEXT(Table1[[#This Row],[UCL_FWER%]],"0.00%"),")")</f>
        <v>(1.64%, 1.78%)</v>
      </c>
    </row>
    <row r="88" spans="1:71" x14ac:dyDescent="0.25">
      <c r="A88">
        <v>86</v>
      </c>
      <c r="B88" t="s">
        <v>493</v>
      </c>
      <c r="C88">
        <v>6997</v>
      </c>
      <c r="D88">
        <v>0.94320000000000004</v>
      </c>
      <c r="E88">
        <v>2.8199999999999999E-2</v>
      </c>
      <c r="F88">
        <v>0.94279999999999997</v>
      </c>
      <c r="G88" s="8">
        <v>8.0000000000000004E-4</v>
      </c>
      <c r="H88" t="s">
        <v>494</v>
      </c>
      <c r="I88" t="s">
        <v>495</v>
      </c>
      <c r="J88" t="s">
        <v>496</v>
      </c>
      <c r="K88" t="s">
        <v>497</v>
      </c>
      <c r="L88" s="1">
        <v>321315651</v>
      </c>
      <c r="M88" t="s">
        <v>498</v>
      </c>
      <c r="N88">
        <v>8.4953441951009998E-2</v>
      </c>
      <c r="O88" t="s">
        <v>85</v>
      </c>
      <c r="P88" t="s">
        <v>117</v>
      </c>
      <c r="Q88">
        <v>800</v>
      </c>
      <c r="R88">
        <v>2.5000000000000001E-2</v>
      </c>
      <c r="S88" t="s">
        <v>42</v>
      </c>
      <c r="T88" t="s">
        <v>42</v>
      </c>
      <c r="U88" t="s">
        <v>43</v>
      </c>
      <c r="V88" t="s">
        <v>44</v>
      </c>
      <c r="W88">
        <v>5</v>
      </c>
      <c r="X88">
        <v>2</v>
      </c>
      <c r="Y88" t="s">
        <v>118</v>
      </c>
      <c r="Z88" t="s">
        <v>42</v>
      </c>
      <c r="AA88" t="s">
        <v>42</v>
      </c>
      <c r="AB88" t="s">
        <v>128</v>
      </c>
      <c r="AC88" t="s">
        <v>122</v>
      </c>
      <c r="AD88" t="s">
        <v>123</v>
      </c>
      <c r="AE88" t="s">
        <v>124</v>
      </c>
      <c r="AF88" t="s">
        <v>125</v>
      </c>
      <c r="AG88" t="s">
        <v>51</v>
      </c>
      <c r="AH88" t="s">
        <v>126</v>
      </c>
      <c r="AI88" t="s">
        <v>53</v>
      </c>
      <c r="AJ88" t="b">
        <v>1</v>
      </c>
      <c r="AK88" t="b">
        <v>1</v>
      </c>
      <c r="AL88">
        <v>1</v>
      </c>
      <c r="AM88">
        <v>1</v>
      </c>
      <c r="AN88" t="s">
        <v>56</v>
      </c>
      <c r="AO88" t="s">
        <v>60</v>
      </c>
      <c r="AP88">
        <v>1</v>
      </c>
      <c r="AQ88" t="b">
        <v>1</v>
      </c>
      <c r="AR88" t="s">
        <v>23</v>
      </c>
      <c r="AS88">
        <v>20000</v>
      </c>
      <c r="AT88">
        <v>500</v>
      </c>
      <c r="AU88" t="s">
        <v>121</v>
      </c>
      <c r="AV88" t="b">
        <v>0</v>
      </c>
      <c r="AW88" t="b">
        <v>0</v>
      </c>
      <c r="AX88" t="b">
        <v>1</v>
      </c>
      <c r="AY88" t="b">
        <v>1</v>
      </c>
      <c r="BA88">
        <f>INDEX(Inp_CER_Bin_2eps3arms!$AN$2:$AN$176,MATCH(Table1[[#This Row],[ModelID]],Inp_CER_Bin_2eps3arms!$A$2:$A$176,0))</f>
        <v>0</v>
      </c>
      <c r="BC88" t="s">
        <v>620</v>
      </c>
      <c r="BD88" t="s">
        <v>630</v>
      </c>
      <c r="BE88" s="10">
        <f>Table1[[#This Row],[Global.Power]]</f>
        <v>0.94320000000000004</v>
      </c>
      <c r="BF88" s="10">
        <f>Table1[[#This Row],[Conjunctive.Power]]</f>
        <v>2.8199999999999999E-2</v>
      </c>
      <c r="BG88" s="10">
        <f>Table1[[#This Row],[Disjunctive.Power]]</f>
        <v>0.94279999999999997</v>
      </c>
      <c r="BH88" s="10">
        <f>Table1[[#This Row],[FWER]]</f>
        <v>8.0000000000000004E-4</v>
      </c>
      <c r="BI88" s="10">
        <f>_xlfn.NUMBERVALUE(MID(Table1[[#This Row],[CI_95perc_Global.Power]],2,FIND(",",Table1[[#This Row],[CI_95perc_Global.Power]])-2))</f>
        <v>0.93998999999999999</v>
      </c>
      <c r="BJ88" s="10">
        <f>_xlfn.NUMBERVALUE(MID(Table1[[#This Row],[CI_95perc_Global.Power]],FIND(",",Table1[[#This Row],[CI_95perc_Global.Power]])+1,LEN(Table1[[#This Row],[CI_95perc_Global.Power]])-FIND(",",Table1[[#This Row],[CI_95perc_Global.Power]])-1))</f>
        <v>0.94640999999999997</v>
      </c>
      <c r="BK88" s="10">
        <f>_xlfn.NUMBERVALUE(MID(Table1[[#This Row],[CI_95perc_Conjunctive.Power]],2,FIND(",",Table1[[#This Row],[CI_95perc_Conjunctive.Power]])-2))</f>
        <v>2.5909999999999999E-2</v>
      </c>
      <c r="BL88" s="10">
        <f>_xlfn.NUMBERVALUE(MID(Table1[[#This Row],[CI_95perc_Conjunctive.Power]],FIND(",",Table1[[#This Row],[CI_95perc_Conjunctive.Power]])+1,LEN(Table1[[#This Row],[CI_95perc_Conjunctive.Power]])-FIND(",",Table1[[#This Row],[CI_95perc_Conjunctive.Power]])-1))</f>
        <v>3.049E-2</v>
      </c>
      <c r="BM88" s="10">
        <f>_xlfn.NUMBERVALUE(MID(Table1[[#This Row],[CI_95perc_Disjunctive.Power]],2,FIND(",",Table1[[#This Row],[CI_95perc_Disjunctive.Power]])-2))</f>
        <v>0.93957999999999997</v>
      </c>
      <c r="BN88" s="10">
        <f>_xlfn.NUMBERVALUE(MID(Table1[[#This Row],[CI_95perc_Disjunctive.Power]],FIND(",",Table1[[#This Row],[CI_95perc_Disjunctive.Power]])+1,LEN(Table1[[#This Row],[CI_95perc_Disjunctive.Power]])-FIND(",",Table1[[#This Row],[CI_95perc_Disjunctive.Power]])-1))</f>
        <v>0.94601999999999997</v>
      </c>
      <c r="BO88" s="10">
        <f>_xlfn.NUMBERVALUE(MID(Table1[[#This Row],[CI_95perc_FWER]],2,FIND(",",Table1[[#This Row],[CI_95perc_FWER]])-2))</f>
        <v>4.0999999999999999E-4</v>
      </c>
      <c r="BP88" s="10">
        <f>_xlfn.NUMBERVALUE(MID(Table1[[#This Row],[CI_95perc_FWER]],FIND(",",Table1[[#This Row],[CI_95perc_FWER]])+1,LEN(Table1[[#This Row],[CI_95perc_FWER]])-FIND(",",Table1[[#This Row],[CI_95perc_FWER]])-1))</f>
        <v>1.1900000000000001E-3</v>
      </c>
      <c r="BQ88" s="10" t="str">
        <f>_xlfn.CONCAT("(",TEXT(Table1[[#This Row],[LCL_Disj.Pow%]],"0.00%"), ", ",TEXT(Table1[[#This Row],[UCL_Disj.Pow%]],"0.00%"),")")</f>
        <v>(93.96%, 94.60%)</v>
      </c>
      <c r="BR88" s="10" t="str">
        <f>_xlfn.CONCAT("(",TEXT(Table1[[#This Row],[LCL_Conj.Pow%]],"0.00%"),", ",TEXT(Table1[[#This Row],[UCL_Conj.Pow%]],"0.00%"),")")</f>
        <v>(2.59%, 3.05%)</v>
      </c>
      <c r="BS88" s="10" t="str">
        <f>_xlfn.CONCAT("(",TEXT(Table1[[#This Row],[LCL_FWER%]],"0.00%"),", ",TEXT(Table1[[#This Row],[UCL_FWER%]],"0.00%"),")")</f>
        <v>(0.04%, 0.12%)</v>
      </c>
    </row>
    <row r="89" spans="1:71" x14ac:dyDescent="0.25">
      <c r="A89">
        <v>87</v>
      </c>
      <c r="B89" t="s">
        <v>499</v>
      </c>
      <c r="C89">
        <v>30</v>
      </c>
      <c r="D89">
        <v>0.95805229999999997</v>
      </c>
      <c r="E89">
        <v>2.9272599999999999E-2</v>
      </c>
      <c r="F89">
        <v>0.95751500000000001</v>
      </c>
      <c r="G89">
        <v>1.2493999999999999E-3</v>
      </c>
      <c r="H89" t="s">
        <v>500</v>
      </c>
      <c r="I89" t="s">
        <v>501</v>
      </c>
      <c r="J89" t="s">
        <v>502</v>
      </c>
      <c r="K89" t="s">
        <v>503</v>
      </c>
      <c r="L89" s="1">
        <v>326915873</v>
      </c>
      <c r="M89" t="s">
        <v>504</v>
      </c>
      <c r="N89">
        <v>0.68272401193777699</v>
      </c>
      <c r="O89" t="s">
        <v>85</v>
      </c>
      <c r="P89" t="s">
        <v>41</v>
      </c>
      <c r="Q89">
        <v>800</v>
      </c>
      <c r="R89">
        <v>2.5000000000000001E-2</v>
      </c>
      <c r="S89" t="s">
        <v>42</v>
      </c>
      <c r="T89" t="s">
        <v>42</v>
      </c>
      <c r="U89" t="s">
        <v>43</v>
      </c>
      <c r="V89" t="s">
        <v>44</v>
      </c>
      <c r="W89">
        <v>5</v>
      </c>
      <c r="X89">
        <v>2</v>
      </c>
      <c r="Y89" t="s">
        <v>118</v>
      </c>
      <c r="Z89" t="s">
        <v>42</v>
      </c>
      <c r="AA89" t="s">
        <v>42</v>
      </c>
      <c r="AB89" t="s">
        <v>128</v>
      </c>
      <c r="AC89" t="s">
        <v>122</v>
      </c>
      <c r="AD89" t="s">
        <v>123</v>
      </c>
      <c r="AE89" t="s">
        <v>124</v>
      </c>
      <c r="AF89" t="s">
        <v>125</v>
      </c>
      <c r="AG89" t="s">
        <v>51</v>
      </c>
      <c r="AH89" t="s">
        <v>126</v>
      </c>
      <c r="AI89" t="s">
        <v>53</v>
      </c>
      <c r="AJ89" t="b">
        <v>1</v>
      </c>
      <c r="AK89" t="b">
        <v>1</v>
      </c>
      <c r="AL89">
        <v>1</v>
      </c>
      <c r="AM89">
        <v>1</v>
      </c>
      <c r="AN89" t="s">
        <v>56</v>
      </c>
      <c r="AO89" t="s">
        <v>60</v>
      </c>
      <c r="AP89">
        <v>1</v>
      </c>
      <c r="AQ89" t="b">
        <v>1</v>
      </c>
      <c r="AR89" t="s">
        <v>23</v>
      </c>
      <c r="AS89">
        <v>20000</v>
      </c>
      <c r="AT89">
        <v>500</v>
      </c>
      <c r="AU89" t="s">
        <v>121</v>
      </c>
      <c r="AV89" t="b">
        <v>0</v>
      </c>
      <c r="AW89" t="b">
        <v>0</v>
      </c>
      <c r="AX89" t="b">
        <v>1</v>
      </c>
      <c r="AY89" t="b">
        <v>1</v>
      </c>
      <c r="BA89">
        <f>INDEX(Inp_CER_Bin_2eps3arms!$AN$2:$AN$176,MATCH(Table1[[#This Row],[ModelID]],Inp_CER_Bin_2eps3arms!$A$2:$A$176,0))</f>
        <v>0</v>
      </c>
      <c r="BC89" t="s">
        <v>620</v>
      </c>
      <c r="BD89" t="s">
        <v>630</v>
      </c>
      <c r="BE89" s="10">
        <f>Table1[[#This Row],[Global.Power]]</f>
        <v>0.95805229999999997</v>
      </c>
      <c r="BF89" s="10">
        <f>Table1[[#This Row],[Conjunctive.Power]]</f>
        <v>2.9272599999999999E-2</v>
      </c>
      <c r="BG89" s="10">
        <f>Table1[[#This Row],[Disjunctive.Power]]</f>
        <v>0.95751500000000001</v>
      </c>
      <c r="BH89" s="10">
        <f>Table1[[#This Row],[FWER]]</f>
        <v>1.2493999999999999E-3</v>
      </c>
      <c r="BI89" s="10">
        <f>_xlfn.NUMBERVALUE(MID(Table1[[#This Row],[CI_95perc_Global.Power]],2,FIND(",",Table1[[#This Row],[CI_95perc_Global.Power]])-2))</f>
        <v>0.95676000000000005</v>
      </c>
      <c r="BJ89" s="10">
        <f>_xlfn.NUMBERVALUE(MID(Table1[[#This Row],[CI_95perc_Global.Power]],FIND(",",Table1[[#This Row],[CI_95perc_Global.Power]])+1,LEN(Table1[[#This Row],[CI_95perc_Global.Power]])-FIND(",",Table1[[#This Row],[CI_95perc_Global.Power]])-1))</f>
        <v>0.95935000000000004</v>
      </c>
      <c r="BK89" s="10">
        <f>_xlfn.NUMBERVALUE(MID(Table1[[#This Row],[CI_95perc_Conjunctive.Power]],2,FIND(",",Table1[[#This Row],[CI_95perc_Conjunctive.Power]])-2))</f>
        <v>2.699E-2</v>
      </c>
      <c r="BL89" s="10">
        <f>_xlfn.NUMBERVALUE(MID(Table1[[#This Row],[CI_95perc_Conjunctive.Power]],FIND(",",Table1[[#This Row],[CI_95perc_Conjunctive.Power]])+1,LEN(Table1[[#This Row],[CI_95perc_Conjunctive.Power]])-FIND(",",Table1[[#This Row],[CI_95perc_Conjunctive.Power]])-1))</f>
        <v>3.1550000000000002E-2</v>
      </c>
      <c r="BM89" s="10">
        <f>_xlfn.NUMBERVALUE(MID(Table1[[#This Row],[CI_95perc_Disjunctive.Power]],2,FIND(",",Table1[[#This Row],[CI_95perc_Disjunctive.Power]])-2))</f>
        <v>0.95616000000000001</v>
      </c>
      <c r="BN89" s="10">
        <f>_xlfn.NUMBERVALUE(MID(Table1[[#This Row],[CI_95perc_Disjunctive.Power]],FIND(",",Table1[[#This Row],[CI_95perc_Disjunctive.Power]])+1,LEN(Table1[[#This Row],[CI_95perc_Disjunctive.Power]])-FIND(",",Table1[[#This Row],[CI_95perc_Disjunctive.Power]])-1))</f>
        <v>0.95887</v>
      </c>
      <c r="BO89" s="10">
        <f>_xlfn.NUMBERVALUE(MID(Table1[[#This Row],[CI_95perc_FWER]],2,FIND(",",Table1[[#This Row],[CI_95perc_FWER]])-2))</f>
        <v>9.2000000000000003E-4</v>
      </c>
      <c r="BP89" s="10">
        <f>_xlfn.NUMBERVALUE(MID(Table1[[#This Row],[CI_95perc_FWER]],FIND(",",Table1[[#This Row],[CI_95perc_FWER]])+1,LEN(Table1[[#This Row],[CI_95perc_FWER]])-FIND(",",Table1[[#This Row],[CI_95perc_FWER]])-1))</f>
        <v>1.58E-3</v>
      </c>
      <c r="BQ89" s="10" t="str">
        <f>_xlfn.CONCAT("(",TEXT(Table1[[#This Row],[LCL_Disj.Pow%]],"0.00%"), ", ",TEXT(Table1[[#This Row],[UCL_Disj.Pow%]],"0.00%"),")")</f>
        <v>(95.62%, 95.89%)</v>
      </c>
      <c r="BR89" s="10" t="str">
        <f>_xlfn.CONCAT("(",TEXT(Table1[[#This Row],[LCL_Conj.Pow%]],"0.00%"),", ",TEXT(Table1[[#This Row],[UCL_Conj.Pow%]],"0.00%"),")")</f>
        <v>(2.70%, 3.16%)</v>
      </c>
      <c r="BS89" s="10" t="str">
        <f>_xlfn.CONCAT("(",TEXT(Table1[[#This Row],[LCL_FWER%]],"0.00%"),", ",TEXT(Table1[[#This Row],[UCL_FWER%]],"0.00%"),")")</f>
        <v>(0.09%, 0.16%)</v>
      </c>
    </row>
    <row r="90" spans="1:71" x14ac:dyDescent="0.25">
      <c r="A90">
        <v>88</v>
      </c>
      <c r="B90" t="s">
        <v>613</v>
      </c>
      <c r="C90">
        <v>4621</v>
      </c>
      <c r="D90">
        <v>0.8216</v>
      </c>
      <c r="E90">
        <v>0.20945</v>
      </c>
      <c r="F90">
        <v>0.8216</v>
      </c>
      <c r="G90">
        <v>1.6250000000000001E-2</v>
      </c>
      <c r="H90" t="s">
        <v>505</v>
      </c>
      <c r="I90" t="s">
        <v>506</v>
      </c>
      <c r="J90" t="s">
        <v>505</v>
      </c>
      <c r="K90" t="s">
        <v>507</v>
      </c>
      <c r="L90" s="1">
        <v>428412148</v>
      </c>
      <c r="M90" t="s">
        <v>508</v>
      </c>
      <c r="N90">
        <v>9.9877691136466107E-2</v>
      </c>
      <c r="O90" t="s">
        <v>85</v>
      </c>
      <c r="P90" t="s">
        <v>117</v>
      </c>
      <c r="Q90">
        <v>800</v>
      </c>
      <c r="R90">
        <v>2.5000000000000001E-2</v>
      </c>
      <c r="S90" t="s">
        <v>42</v>
      </c>
      <c r="T90" t="s">
        <v>42</v>
      </c>
      <c r="U90" t="s">
        <v>43</v>
      </c>
      <c r="V90" t="s">
        <v>44</v>
      </c>
      <c r="W90">
        <v>5</v>
      </c>
      <c r="X90">
        <v>2</v>
      </c>
      <c r="Y90" t="s">
        <v>118</v>
      </c>
      <c r="Z90" t="s">
        <v>42</v>
      </c>
      <c r="AA90" t="s">
        <v>42</v>
      </c>
      <c r="AB90" t="s">
        <v>129</v>
      </c>
      <c r="AC90" t="s">
        <v>122</v>
      </c>
      <c r="AD90" t="s">
        <v>120</v>
      </c>
      <c r="AE90" t="s">
        <v>124</v>
      </c>
      <c r="AF90" t="s">
        <v>125</v>
      </c>
      <c r="AG90" t="s">
        <v>51</v>
      </c>
      <c r="AH90" t="s">
        <v>52</v>
      </c>
      <c r="AI90" t="s">
        <v>53</v>
      </c>
      <c r="AJ90" t="b">
        <v>1</v>
      </c>
      <c r="AK90" t="b">
        <v>0</v>
      </c>
      <c r="AL90" t="s">
        <v>42</v>
      </c>
      <c r="AM90" t="s">
        <v>42</v>
      </c>
      <c r="AN90" t="s">
        <v>42</v>
      </c>
      <c r="AO90" t="s">
        <v>42</v>
      </c>
      <c r="AP90" t="s">
        <v>42</v>
      </c>
      <c r="AQ90" t="s">
        <v>42</v>
      </c>
      <c r="AR90" t="s">
        <v>54</v>
      </c>
      <c r="AS90">
        <v>20000</v>
      </c>
      <c r="AT90">
        <v>500</v>
      </c>
      <c r="AU90" t="s">
        <v>121</v>
      </c>
      <c r="AV90" t="b">
        <v>0</v>
      </c>
      <c r="AW90" t="b">
        <v>0</v>
      </c>
      <c r="AX90" t="b">
        <v>1</v>
      </c>
      <c r="AY90" t="b">
        <v>1</v>
      </c>
      <c r="BA90">
        <f>INDEX(Inp_CER_Bin_2eps3arms!$AN$2:$AN$176,MATCH(Table1[[#This Row],[ModelID]],Inp_CER_Bin_2eps3arms!$A$2:$A$176,0))</f>
        <v>0</v>
      </c>
      <c r="BC90" t="s">
        <v>618</v>
      </c>
      <c r="BD90" t="s">
        <v>631</v>
      </c>
      <c r="BE90" s="10">
        <f>Table1[[#This Row],[Global.Power]]</f>
        <v>0.8216</v>
      </c>
      <c r="BF90" s="10">
        <f>Table1[[#This Row],[Conjunctive.Power]]</f>
        <v>0.20945</v>
      </c>
      <c r="BG90" s="10">
        <f>Table1[[#This Row],[Disjunctive.Power]]</f>
        <v>0.8216</v>
      </c>
      <c r="BH90" s="10">
        <f>Table1[[#This Row],[FWER]]</f>
        <v>1.6250000000000001E-2</v>
      </c>
      <c r="BI90" s="10">
        <f>_xlfn.NUMBERVALUE(MID(Table1[[#This Row],[CI_95perc_Global.Power]],2,FIND(",",Table1[[#This Row],[CI_95perc_Global.Power]])-2))</f>
        <v>0.81628999999999996</v>
      </c>
      <c r="BJ90" s="10">
        <f>_xlfn.NUMBERVALUE(MID(Table1[[#This Row],[CI_95perc_Global.Power]],FIND(",",Table1[[#This Row],[CI_95perc_Global.Power]])+1,LEN(Table1[[#This Row],[CI_95perc_Global.Power]])-FIND(",",Table1[[#This Row],[CI_95perc_Global.Power]])-1))</f>
        <v>0.82691000000000003</v>
      </c>
      <c r="BK90" s="10">
        <f>_xlfn.NUMBERVALUE(MID(Table1[[#This Row],[CI_95perc_Conjunctive.Power]],2,FIND(",",Table1[[#This Row],[CI_95perc_Conjunctive.Power]])-2))</f>
        <v>0.20380999999999999</v>
      </c>
      <c r="BL90" s="10">
        <f>_xlfn.NUMBERVALUE(MID(Table1[[#This Row],[CI_95perc_Conjunctive.Power]],FIND(",",Table1[[#This Row],[CI_95perc_Conjunctive.Power]])+1,LEN(Table1[[#This Row],[CI_95perc_Conjunctive.Power]])-FIND(",",Table1[[#This Row],[CI_95perc_Conjunctive.Power]])-1))</f>
        <v>0.21509</v>
      </c>
      <c r="BM90" s="10">
        <f>_xlfn.NUMBERVALUE(MID(Table1[[#This Row],[CI_95perc_Disjunctive.Power]],2,FIND(",",Table1[[#This Row],[CI_95perc_Disjunctive.Power]])-2))</f>
        <v>0.81628999999999996</v>
      </c>
      <c r="BN90" s="10">
        <f>_xlfn.NUMBERVALUE(MID(Table1[[#This Row],[CI_95perc_Disjunctive.Power]],FIND(",",Table1[[#This Row],[CI_95perc_Disjunctive.Power]])+1,LEN(Table1[[#This Row],[CI_95perc_Disjunctive.Power]])-FIND(",",Table1[[#This Row],[CI_95perc_Disjunctive.Power]])-1))</f>
        <v>0.82691000000000003</v>
      </c>
      <c r="BO90" s="10">
        <f>_xlfn.NUMBERVALUE(MID(Table1[[#This Row],[CI_95perc_FWER]],2,FIND(",",Table1[[#This Row],[CI_95perc_FWER]])-2))</f>
        <v>1.4500000000000001E-2</v>
      </c>
      <c r="BP90" s="10">
        <f>_xlfn.NUMBERVALUE(MID(Table1[[#This Row],[CI_95perc_FWER]],FIND(",",Table1[[#This Row],[CI_95perc_FWER]])+1,LEN(Table1[[#This Row],[CI_95perc_FWER]])-FIND(",",Table1[[#This Row],[CI_95perc_FWER]])-1))</f>
        <v>1.7999999999999999E-2</v>
      </c>
      <c r="BQ90" s="10" t="str">
        <f>_xlfn.CONCAT("(",TEXT(Table1[[#This Row],[LCL_Disj.Pow%]],"0.00%"), ", ",TEXT(Table1[[#This Row],[UCL_Disj.Pow%]],"0.00%"),")")</f>
        <v>(81.63%, 82.69%)</v>
      </c>
      <c r="BR90" s="10" t="str">
        <f>_xlfn.CONCAT("(",TEXT(Table1[[#This Row],[LCL_Conj.Pow%]],"0.00%"),", ",TEXT(Table1[[#This Row],[UCL_Conj.Pow%]],"0.00%"),")")</f>
        <v>(20.38%, 21.51%)</v>
      </c>
      <c r="BS90" s="10" t="str">
        <f>_xlfn.CONCAT("(",TEXT(Table1[[#This Row],[LCL_FWER%]],"0.00%"),", ",TEXT(Table1[[#This Row],[UCL_FWER%]],"0.00%"),")")</f>
        <v>(1.45%, 1.80%)</v>
      </c>
    </row>
    <row r="91" spans="1:71" x14ac:dyDescent="0.25">
      <c r="A91">
        <v>89</v>
      </c>
      <c r="B91" t="s">
        <v>614</v>
      </c>
      <c r="C91">
        <v>2812</v>
      </c>
      <c r="D91">
        <v>0.88735609999999998</v>
      </c>
      <c r="E91">
        <v>0.30583840000000001</v>
      </c>
      <c r="F91">
        <v>0.88735560000000002</v>
      </c>
      <c r="G91">
        <v>1.7013899999999998E-2</v>
      </c>
      <c r="H91" t="s">
        <v>509</v>
      </c>
      <c r="I91" t="s">
        <v>510</v>
      </c>
      <c r="J91" t="s">
        <v>511</v>
      </c>
      <c r="K91" t="s">
        <v>512</v>
      </c>
      <c r="L91" s="1">
        <v>433413438</v>
      </c>
      <c r="M91" t="s">
        <v>513</v>
      </c>
      <c r="N91">
        <v>1.31026702364286</v>
      </c>
      <c r="O91" t="s">
        <v>85</v>
      </c>
      <c r="P91" t="s">
        <v>41</v>
      </c>
      <c r="Q91">
        <v>800</v>
      </c>
      <c r="R91">
        <v>2.5000000000000001E-2</v>
      </c>
      <c r="S91" t="s">
        <v>42</v>
      </c>
      <c r="T91" t="s">
        <v>42</v>
      </c>
      <c r="U91" t="s">
        <v>43</v>
      </c>
      <c r="V91" t="s">
        <v>44</v>
      </c>
      <c r="W91">
        <v>5</v>
      </c>
      <c r="X91">
        <v>2</v>
      </c>
      <c r="Y91" t="s">
        <v>118</v>
      </c>
      <c r="Z91" t="s">
        <v>42</v>
      </c>
      <c r="AA91" t="s">
        <v>42</v>
      </c>
      <c r="AB91" t="s">
        <v>129</v>
      </c>
      <c r="AC91" t="s">
        <v>122</v>
      </c>
      <c r="AD91" t="s">
        <v>120</v>
      </c>
      <c r="AE91" t="s">
        <v>124</v>
      </c>
      <c r="AF91" t="s">
        <v>125</v>
      </c>
      <c r="AG91" t="s">
        <v>51</v>
      </c>
      <c r="AH91" t="s">
        <v>52</v>
      </c>
      <c r="AI91" t="s">
        <v>53</v>
      </c>
      <c r="AJ91" t="b">
        <v>1</v>
      </c>
      <c r="AK91" t="b">
        <v>0</v>
      </c>
      <c r="AL91" t="s">
        <v>42</v>
      </c>
      <c r="AM91" t="s">
        <v>42</v>
      </c>
      <c r="AN91" t="s">
        <v>42</v>
      </c>
      <c r="AO91" t="s">
        <v>42</v>
      </c>
      <c r="AP91" t="s">
        <v>42</v>
      </c>
      <c r="AQ91" t="s">
        <v>42</v>
      </c>
      <c r="AR91" t="s">
        <v>54</v>
      </c>
      <c r="AS91">
        <v>20000</v>
      </c>
      <c r="AT91">
        <v>500</v>
      </c>
      <c r="AU91" t="s">
        <v>121</v>
      </c>
      <c r="AV91" t="b">
        <v>0</v>
      </c>
      <c r="AW91" t="b">
        <v>0</v>
      </c>
      <c r="AX91" t="b">
        <v>1</v>
      </c>
      <c r="AY91" t="b">
        <v>1</v>
      </c>
      <c r="BA91">
        <f>INDEX(Inp_CER_Bin_2eps3arms!$AN$2:$AN$176,MATCH(Table1[[#This Row],[ModelID]],Inp_CER_Bin_2eps3arms!$A$2:$A$176,0))</f>
        <v>0</v>
      </c>
      <c r="BC91" t="s">
        <v>618</v>
      </c>
      <c r="BD91" t="s">
        <v>631</v>
      </c>
      <c r="BE91" s="10">
        <f>Table1[[#This Row],[Global.Power]]</f>
        <v>0.88735609999999998</v>
      </c>
      <c r="BF91" s="10">
        <f>Table1[[#This Row],[Conjunctive.Power]]</f>
        <v>0.30583840000000001</v>
      </c>
      <c r="BG91" s="10">
        <f>Table1[[#This Row],[Disjunctive.Power]]</f>
        <v>0.88735560000000002</v>
      </c>
      <c r="BH91" s="10">
        <f>Table1[[#This Row],[FWER]]</f>
        <v>1.7013899999999998E-2</v>
      </c>
      <c r="BI91" s="10">
        <f>_xlfn.NUMBERVALUE(MID(Table1[[#This Row],[CI_95perc_Global.Power]],2,FIND(",",Table1[[#This Row],[CI_95perc_Global.Power]])-2))</f>
        <v>0.88524999999999998</v>
      </c>
      <c r="BJ91" s="10">
        <f>_xlfn.NUMBERVALUE(MID(Table1[[#This Row],[CI_95perc_Global.Power]],FIND(",",Table1[[#This Row],[CI_95perc_Global.Power]])+1,LEN(Table1[[#This Row],[CI_95perc_Global.Power]])-FIND(",",Table1[[#This Row],[CI_95perc_Global.Power]])-1))</f>
        <v>0.88946999999999998</v>
      </c>
      <c r="BK91" s="10">
        <f>_xlfn.NUMBERVALUE(MID(Table1[[#This Row],[CI_95perc_Conjunctive.Power]],2,FIND(",",Table1[[#This Row],[CI_95perc_Conjunctive.Power]])-2))</f>
        <v>0.30253999999999998</v>
      </c>
      <c r="BL91" s="10">
        <f>_xlfn.NUMBERVALUE(MID(Table1[[#This Row],[CI_95perc_Conjunctive.Power]],FIND(",",Table1[[#This Row],[CI_95perc_Conjunctive.Power]])+1,LEN(Table1[[#This Row],[CI_95perc_Conjunctive.Power]])-FIND(",",Table1[[#This Row],[CI_95perc_Conjunctive.Power]])-1))</f>
        <v>0.30914000000000003</v>
      </c>
      <c r="BM91" s="10">
        <f>_xlfn.NUMBERVALUE(MID(Table1[[#This Row],[CI_95perc_Disjunctive.Power]],2,FIND(",",Table1[[#This Row],[CI_95perc_Disjunctive.Power]])-2))</f>
        <v>0.88524999999999998</v>
      </c>
      <c r="BN91" s="10">
        <f>_xlfn.NUMBERVALUE(MID(Table1[[#This Row],[CI_95perc_Disjunctive.Power]],FIND(",",Table1[[#This Row],[CI_95perc_Disjunctive.Power]])+1,LEN(Table1[[#This Row],[CI_95perc_Disjunctive.Power]])-FIND(",",Table1[[#This Row],[CI_95perc_Disjunctive.Power]])-1))</f>
        <v>0.88946000000000003</v>
      </c>
      <c r="BO91" s="10">
        <f>_xlfn.NUMBERVALUE(MID(Table1[[#This Row],[CI_95perc_FWER]],2,FIND(",",Table1[[#This Row],[CI_95perc_FWER]])-2))</f>
        <v>1.634E-2</v>
      </c>
      <c r="BP91" s="10">
        <f>_xlfn.NUMBERVALUE(MID(Table1[[#This Row],[CI_95perc_FWER]],FIND(",",Table1[[#This Row],[CI_95perc_FWER]])+1,LEN(Table1[[#This Row],[CI_95perc_FWER]])-FIND(",",Table1[[#This Row],[CI_95perc_FWER]])-1))</f>
        <v>1.7690000000000001E-2</v>
      </c>
      <c r="BQ91" s="10" t="str">
        <f>_xlfn.CONCAT("(",TEXT(Table1[[#This Row],[LCL_Disj.Pow%]],"0.00%"), ", ",TEXT(Table1[[#This Row],[UCL_Disj.Pow%]],"0.00%"),")")</f>
        <v>(88.53%, 88.95%)</v>
      </c>
      <c r="BR91" s="10" t="str">
        <f>_xlfn.CONCAT("(",TEXT(Table1[[#This Row],[LCL_Conj.Pow%]],"0.00%"),", ",TEXT(Table1[[#This Row],[UCL_Conj.Pow%]],"0.00%"),")")</f>
        <v>(30.25%, 30.91%)</v>
      </c>
      <c r="BS91" s="10" t="str">
        <f>_xlfn.CONCAT("(",TEXT(Table1[[#This Row],[LCL_FWER%]],"0.00%"),", ",TEXT(Table1[[#This Row],[UCL_FWER%]],"0.00%"),")")</f>
        <v>(1.63%, 1.77%)</v>
      </c>
    </row>
    <row r="92" spans="1:71" x14ac:dyDescent="0.25">
      <c r="A92">
        <v>90</v>
      </c>
      <c r="B92" t="s">
        <v>514</v>
      </c>
      <c r="C92">
        <v>5378</v>
      </c>
      <c r="D92">
        <v>0.84945000000000004</v>
      </c>
      <c r="E92">
        <v>0.24199999999999999</v>
      </c>
      <c r="F92">
        <v>0.84945000000000004</v>
      </c>
      <c r="G92">
        <v>1.5949999999999999E-2</v>
      </c>
      <c r="H92" t="s">
        <v>515</v>
      </c>
      <c r="I92" t="s">
        <v>516</v>
      </c>
      <c r="J92" t="s">
        <v>515</v>
      </c>
      <c r="K92" t="s">
        <v>517</v>
      </c>
      <c r="L92" s="1">
        <v>425512734</v>
      </c>
      <c r="M92" t="s">
        <v>518</v>
      </c>
      <c r="N92">
        <v>9.9586861133575399E-2</v>
      </c>
      <c r="O92" t="s">
        <v>85</v>
      </c>
      <c r="P92" t="s">
        <v>117</v>
      </c>
      <c r="Q92">
        <v>800</v>
      </c>
      <c r="R92">
        <v>2.5000000000000001E-2</v>
      </c>
      <c r="S92" t="s">
        <v>42</v>
      </c>
      <c r="T92" t="s">
        <v>42</v>
      </c>
      <c r="U92" t="s">
        <v>43</v>
      </c>
      <c r="V92" t="s">
        <v>44</v>
      </c>
      <c r="W92">
        <v>5</v>
      </c>
      <c r="X92">
        <v>2</v>
      </c>
      <c r="Y92" t="s">
        <v>118</v>
      </c>
      <c r="Z92" t="s">
        <v>42</v>
      </c>
      <c r="AA92" t="s">
        <v>42</v>
      </c>
      <c r="AB92" t="s">
        <v>129</v>
      </c>
      <c r="AC92" t="s">
        <v>122</v>
      </c>
      <c r="AD92" t="s">
        <v>123</v>
      </c>
      <c r="AE92" t="s">
        <v>124</v>
      </c>
      <c r="AF92" t="s">
        <v>125</v>
      </c>
      <c r="AG92" t="s">
        <v>51</v>
      </c>
      <c r="AH92" t="s">
        <v>126</v>
      </c>
      <c r="AI92" t="s">
        <v>53</v>
      </c>
      <c r="AJ92" t="b">
        <v>1</v>
      </c>
      <c r="AK92" t="b">
        <v>1</v>
      </c>
      <c r="AL92">
        <v>1</v>
      </c>
      <c r="AM92">
        <v>1</v>
      </c>
      <c r="AN92" t="s">
        <v>56</v>
      </c>
      <c r="AO92" t="s">
        <v>57</v>
      </c>
      <c r="AP92">
        <v>0.75</v>
      </c>
      <c r="AQ92" t="b">
        <v>1</v>
      </c>
      <c r="AR92" t="s">
        <v>23</v>
      </c>
      <c r="AS92">
        <v>20000</v>
      </c>
      <c r="AT92">
        <v>500</v>
      </c>
      <c r="AU92" t="s">
        <v>121</v>
      </c>
      <c r="AV92" t="b">
        <v>0</v>
      </c>
      <c r="AW92" t="b">
        <v>0</v>
      </c>
      <c r="AX92" t="b">
        <v>1</v>
      </c>
      <c r="AY92" t="b">
        <v>1</v>
      </c>
      <c r="BA92">
        <f>INDEX(Inp_CER_Bin_2eps3arms!$AN$2:$AN$176,MATCH(Table1[[#This Row],[ModelID]],Inp_CER_Bin_2eps3arms!$A$2:$A$176,0))</f>
        <v>0</v>
      </c>
      <c r="BC92" t="s">
        <v>619</v>
      </c>
      <c r="BD92" t="s">
        <v>631</v>
      </c>
      <c r="BE92" s="10">
        <f>Table1[[#This Row],[Global.Power]]</f>
        <v>0.84945000000000004</v>
      </c>
      <c r="BF92" s="10">
        <f>Table1[[#This Row],[Conjunctive.Power]]</f>
        <v>0.24199999999999999</v>
      </c>
      <c r="BG92" s="10">
        <f>Table1[[#This Row],[Disjunctive.Power]]</f>
        <v>0.84945000000000004</v>
      </c>
      <c r="BH92" s="10">
        <f>Table1[[#This Row],[FWER]]</f>
        <v>1.5949999999999999E-2</v>
      </c>
      <c r="BI92" s="10">
        <f>_xlfn.NUMBERVALUE(MID(Table1[[#This Row],[CI_95perc_Global.Power]],2,FIND(",",Table1[[#This Row],[CI_95perc_Global.Power]])-2))</f>
        <v>0.84448999999999996</v>
      </c>
      <c r="BJ92" s="10">
        <f>_xlfn.NUMBERVALUE(MID(Table1[[#This Row],[CI_95perc_Global.Power]],FIND(",",Table1[[#This Row],[CI_95perc_Global.Power]])+1,LEN(Table1[[#This Row],[CI_95perc_Global.Power]])-FIND(",",Table1[[#This Row],[CI_95perc_Global.Power]])-1))</f>
        <v>0.85441</v>
      </c>
      <c r="BK92" s="10">
        <f>_xlfn.NUMBERVALUE(MID(Table1[[#This Row],[CI_95perc_Conjunctive.Power]],2,FIND(",",Table1[[#This Row],[CI_95perc_Conjunctive.Power]])-2))</f>
        <v>0.23605999999999999</v>
      </c>
      <c r="BL92" s="10">
        <f>_xlfn.NUMBERVALUE(MID(Table1[[#This Row],[CI_95perc_Conjunctive.Power]],FIND(",",Table1[[#This Row],[CI_95perc_Conjunctive.Power]])+1,LEN(Table1[[#This Row],[CI_95perc_Conjunctive.Power]])-FIND(",",Table1[[#This Row],[CI_95perc_Conjunctive.Power]])-1))</f>
        <v>0.24793999999999999</v>
      </c>
      <c r="BM92" s="10">
        <f>_xlfn.NUMBERVALUE(MID(Table1[[#This Row],[CI_95perc_Disjunctive.Power]],2,FIND(",",Table1[[#This Row],[CI_95perc_Disjunctive.Power]])-2))</f>
        <v>0.84448999999999996</v>
      </c>
      <c r="BN92" s="10">
        <f>_xlfn.NUMBERVALUE(MID(Table1[[#This Row],[CI_95perc_Disjunctive.Power]],FIND(",",Table1[[#This Row],[CI_95perc_Disjunctive.Power]])+1,LEN(Table1[[#This Row],[CI_95perc_Disjunctive.Power]])-FIND(",",Table1[[#This Row],[CI_95perc_Disjunctive.Power]])-1))</f>
        <v>0.85441</v>
      </c>
      <c r="BO92" s="10">
        <f>_xlfn.NUMBERVALUE(MID(Table1[[#This Row],[CI_95perc_FWER]],2,FIND(",",Table1[[#This Row],[CI_95perc_FWER]])-2))</f>
        <v>1.421E-2</v>
      </c>
      <c r="BP92" s="10">
        <f>_xlfn.NUMBERVALUE(MID(Table1[[#This Row],[CI_95perc_FWER]],FIND(",",Table1[[#This Row],[CI_95perc_FWER]])+1,LEN(Table1[[#This Row],[CI_95perc_FWER]])-FIND(",",Table1[[#This Row],[CI_95perc_FWER]])-1))</f>
        <v>1.7690000000000001E-2</v>
      </c>
      <c r="BQ92" s="10" t="str">
        <f>_xlfn.CONCAT("(",TEXT(Table1[[#This Row],[LCL_Disj.Pow%]],"0.00%"), ", ",TEXT(Table1[[#This Row],[UCL_Disj.Pow%]],"0.00%"),")")</f>
        <v>(84.45%, 85.44%)</v>
      </c>
      <c r="BR92" s="10" t="str">
        <f>_xlfn.CONCAT("(",TEXT(Table1[[#This Row],[LCL_Conj.Pow%]],"0.00%"),", ",TEXT(Table1[[#This Row],[UCL_Conj.Pow%]],"0.00%"),")")</f>
        <v>(23.61%, 24.79%)</v>
      </c>
      <c r="BS92" s="10" t="str">
        <f>_xlfn.CONCAT("(",TEXT(Table1[[#This Row],[LCL_FWER%]],"0.00%"),", ",TEXT(Table1[[#This Row],[UCL_FWER%]],"0.00%"),")")</f>
        <v>(1.42%, 1.77%)</v>
      </c>
    </row>
    <row r="93" spans="1:71" x14ac:dyDescent="0.25">
      <c r="A93">
        <v>91</v>
      </c>
      <c r="B93" t="s">
        <v>519</v>
      </c>
      <c r="C93">
        <v>7869</v>
      </c>
      <c r="D93">
        <v>0.90393809999999997</v>
      </c>
      <c r="E93">
        <v>0.32448280000000002</v>
      </c>
      <c r="F93">
        <v>0.90393679999999998</v>
      </c>
      <c r="G93">
        <v>1.7092599999999999E-2</v>
      </c>
      <c r="H93" t="s">
        <v>520</v>
      </c>
      <c r="I93" t="s">
        <v>521</v>
      </c>
      <c r="J93" t="s">
        <v>522</v>
      </c>
      <c r="K93" t="s">
        <v>523</v>
      </c>
      <c r="L93" s="1">
        <v>425213828</v>
      </c>
      <c r="M93" t="s">
        <v>524</v>
      </c>
      <c r="N93">
        <v>1.0774901491403599</v>
      </c>
      <c r="O93" t="s">
        <v>85</v>
      </c>
      <c r="P93" t="s">
        <v>41</v>
      </c>
      <c r="Q93">
        <v>800</v>
      </c>
      <c r="R93">
        <v>2.5000000000000001E-2</v>
      </c>
      <c r="S93" t="s">
        <v>42</v>
      </c>
      <c r="T93" t="s">
        <v>42</v>
      </c>
      <c r="U93" t="s">
        <v>43</v>
      </c>
      <c r="V93" t="s">
        <v>44</v>
      </c>
      <c r="W93">
        <v>5</v>
      </c>
      <c r="X93">
        <v>2</v>
      </c>
      <c r="Y93" t="s">
        <v>118</v>
      </c>
      <c r="Z93" t="s">
        <v>42</v>
      </c>
      <c r="AA93" t="s">
        <v>42</v>
      </c>
      <c r="AB93" t="s">
        <v>129</v>
      </c>
      <c r="AC93" t="s">
        <v>122</v>
      </c>
      <c r="AD93" t="s">
        <v>123</v>
      </c>
      <c r="AE93" t="s">
        <v>124</v>
      </c>
      <c r="AF93" t="s">
        <v>125</v>
      </c>
      <c r="AG93" t="s">
        <v>51</v>
      </c>
      <c r="AH93" t="s">
        <v>126</v>
      </c>
      <c r="AI93" t="s">
        <v>53</v>
      </c>
      <c r="AJ93" t="b">
        <v>1</v>
      </c>
      <c r="AK93" t="b">
        <v>1</v>
      </c>
      <c r="AL93">
        <v>1</v>
      </c>
      <c r="AM93">
        <v>1</v>
      </c>
      <c r="AN93" t="s">
        <v>56</v>
      </c>
      <c r="AO93" t="s">
        <v>57</v>
      </c>
      <c r="AP93">
        <v>0.75</v>
      </c>
      <c r="AQ93" t="b">
        <v>1</v>
      </c>
      <c r="AR93" t="s">
        <v>23</v>
      </c>
      <c r="AS93">
        <v>20000</v>
      </c>
      <c r="AT93">
        <v>500</v>
      </c>
      <c r="AU93" t="s">
        <v>121</v>
      </c>
      <c r="AV93" t="b">
        <v>0</v>
      </c>
      <c r="AW93" t="b">
        <v>0</v>
      </c>
      <c r="AX93" t="b">
        <v>1</v>
      </c>
      <c r="AY93" t="b">
        <v>1</v>
      </c>
      <c r="BA93">
        <f>INDEX(Inp_CER_Bin_2eps3arms!$AN$2:$AN$176,MATCH(Table1[[#This Row],[ModelID]],Inp_CER_Bin_2eps3arms!$A$2:$A$176,0))</f>
        <v>0</v>
      </c>
      <c r="BC93" t="s">
        <v>619</v>
      </c>
      <c r="BD93" t="s">
        <v>631</v>
      </c>
      <c r="BE93" s="10">
        <f>Table1[[#This Row],[Global.Power]]</f>
        <v>0.90393809999999997</v>
      </c>
      <c r="BF93" s="10">
        <f>Table1[[#This Row],[Conjunctive.Power]]</f>
        <v>0.32448280000000002</v>
      </c>
      <c r="BG93" s="10">
        <f>Table1[[#This Row],[Disjunctive.Power]]</f>
        <v>0.90393679999999998</v>
      </c>
      <c r="BH93" s="10">
        <f>Table1[[#This Row],[FWER]]</f>
        <v>1.7092599999999999E-2</v>
      </c>
      <c r="BI93" s="10">
        <f>_xlfn.NUMBERVALUE(MID(Table1[[#This Row],[CI_95perc_Global.Power]],2,FIND(",",Table1[[#This Row],[CI_95perc_Global.Power]])-2))</f>
        <v>0.90212999999999999</v>
      </c>
      <c r="BJ93" s="10">
        <f>_xlfn.NUMBERVALUE(MID(Table1[[#This Row],[CI_95perc_Global.Power]],FIND(",",Table1[[#This Row],[CI_95perc_Global.Power]])+1,LEN(Table1[[#This Row],[CI_95perc_Global.Power]])-FIND(",",Table1[[#This Row],[CI_95perc_Global.Power]])-1))</f>
        <v>0.90575000000000006</v>
      </c>
      <c r="BK93" s="10">
        <f>_xlfn.NUMBERVALUE(MID(Table1[[#This Row],[CI_95perc_Conjunctive.Power]],2,FIND(",",Table1[[#This Row],[CI_95perc_Conjunctive.Power]])-2))</f>
        <v>0.32124999999999998</v>
      </c>
      <c r="BL93" s="10">
        <f>_xlfn.NUMBERVALUE(MID(Table1[[#This Row],[CI_95perc_Conjunctive.Power]],FIND(",",Table1[[#This Row],[CI_95perc_Conjunctive.Power]])+1,LEN(Table1[[#This Row],[CI_95perc_Conjunctive.Power]])-FIND(",",Table1[[#This Row],[CI_95perc_Conjunctive.Power]])-1))</f>
        <v>0.32772000000000001</v>
      </c>
      <c r="BM93" s="10">
        <f>_xlfn.NUMBERVALUE(MID(Table1[[#This Row],[CI_95perc_Disjunctive.Power]],2,FIND(",",Table1[[#This Row],[CI_95perc_Disjunctive.Power]])-2))</f>
        <v>0.90212999999999999</v>
      </c>
      <c r="BN93" s="10">
        <f>_xlfn.NUMBERVALUE(MID(Table1[[#This Row],[CI_95perc_Disjunctive.Power]],FIND(",",Table1[[#This Row],[CI_95perc_Disjunctive.Power]])+1,LEN(Table1[[#This Row],[CI_95perc_Disjunctive.Power]])-FIND(",",Table1[[#This Row],[CI_95perc_Disjunctive.Power]])-1))</f>
        <v>0.90573999999999999</v>
      </c>
      <c r="BO93" s="10">
        <f>_xlfn.NUMBERVALUE(MID(Table1[[#This Row],[CI_95perc_FWER]],2,FIND(",",Table1[[#This Row],[CI_95perc_FWER]])-2))</f>
        <v>1.6410000000000001E-2</v>
      </c>
      <c r="BP93" s="10">
        <f>_xlfn.NUMBERVALUE(MID(Table1[[#This Row],[CI_95perc_FWER]],FIND(",",Table1[[#This Row],[CI_95perc_FWER]])+1,LEN(Table1[[#This Row],[CI_95perc_FWER]])-FIND(",",Table1[[#This Row],[CI_95perc_FWER]])-1))</f>
        <v>1.7770000000000001E-2</v>
      </c>
      <c r="BQ93" s="10" t="str">
        <f>_xlfn.CONCAT("(",TEXT(Table1[[#This Row],[LCL_Disj.Pow%]],"0.00%"), ", ",TEXT(Table1[[#This Row],[UCL_Disj.Pow%]],"0.00%"),")")</f>
        <v>(90.21%, 90.57%)</v>
      </c>
      <c r="BR93" s="10" t="str">
        <f>_xlfn.CONCAT("(",TEXT(Table1[[#This Row],[LCL_Conj.Pow%]],"0.00%"),", ",TEXT(Table1[[#This Row],[UCL_Conj.Pow%]],"0.00%"),")")</f>
        <v>(32.13%, 32.77%)</v>
      </c>
      <c r="BS93" s="10" t="str">
        <f>_xlfn.CONCAT("(",TEXT(Table1[[#This Row],[LCL_FWER%]],"0.00%"),", ",TEXT(Table1[[#This Row],[UCL_FWER%]],"0.00%"),")")</f>
        <v>(1.64%, 1.78%)</v>
      </c>
    </row>
    <row r="94" spans="1:71" x14ac:dyDescent="0.25">
      <c r="A94">
        <v>92</v>
      </c>
      <c r="B94" t="s">
        <v>525</v>
      </c>
      <c r="C94">
        <v>7715</v>
      </c>
      <c r="D94">
        <v>0.87234999999999996</v>
      </c>
      <c r="E94">
        <v>0.27224999999999999</v>
      </c>
      <c r="F94">
        <v>0.87234999999999996</v>
      </c>
      <c r="G94">
        <v>1.5949999999999999E-2</v>
      </c>
      <c r="H94" t="s">
        <v>526</v>
      </c>
      <c r="I94" t="s">
        <v>527</v>
      </c>
      <c r="J94" t="s">
        <v>526</v>
      </c>
      <c r="K94" t="s">
        <v>517</v>
      </c>
      <c r="L94" s="1">
        <v>424613201</v>
      </c>
      <c r="M94" t="s">
        <v>528</v>
      </c>
      <c r="N94">
        <v>9.9315615561273399E-2</v>
      </c>
      <c r="O94" t="s">
        <v>85</v>
      </c>
      <c r="P94" t="s">
        <v>117</v>
      </c>
      <c r="Q94">
        <v>800</v>
      </c>
      <c r="R94">
        <v>2.5000000000000001E-2</v>
      </c>
      <c r="S94" t="s">
        <v>42</v>
      </c>
      <c r="T94" t="s">
        <v>42</v>
      </c>
      <c r="U94" t="s">
        <v>43</v>
      </c>
      <c r="V94" t="s">
        <v>44</v>
      </c>
      <c r="W94">
        <v>5</v>
      </c>
      <c r="X94">
        <v>2</v>
      </c>
      <c r="Y94" t="s">
        <v>118</v>
      </c>
      <c r="Z94" t="s">
        <v>42</v>
      </c>
      <c r="AA94" t="s">
        <v>42</v>
      </c>
      <c r="AB94" t="s">
        <v>129</v>
      </c>
      <c r="AC94" t="s">
        <v>122</v>
      </c>
      <c r="AD94" t="s">
        <v>123</v>
      </c>
      <c r="AE94" t="s">
        <v>124</v>
      </c>
      <c r="AF94" t="s">
        <v>125</v>
      </c>
      <c r="AG94" t="s">
        <v>51</v>
      </c>
      <c r="AH94" t="s">
        <v>126</v>
      </c>
      <c r="AI94" t="s">
        <v>53</v>
      </c>
      <c r="AJ94" t="b">
        <v>1</v>
      </c>
      <c r="AK94" t="b">
        <v>1</v>
      </c>
      <c r="AL94">
        <v>1</v>
      </c>
      <c r="AM94">
        <v>1</v>
      </c>
      <c r="AN94" t="s">
        <v>56</v>
      </c>
      <c r="AO94" t="s">
        <v>57</v>
      </c>
      <c r="AP94">
        <v>0.5</v>
      </c>
      <c r="AQ94" t="b">
        <v>1</v>
      </c>
      <c r="AR94" t="s">
        <v>23</v>
      </c>
      <c r="AS94">
        <v>20000</v>
      </c>
      <c r="AT94">
        <v>500</v>
      </c>
      <c r="AU94" t="s">
        <v>121</v>
      </c>
      <c r="AV94" t="b">
        <v>0</v>
      </c>
      <c r="AW94" t="b">
        <v>0</v>
      </c>
      <c r="AX94" t="b">
        <v>1</v>
      </c>
      <c r="AY94" t="b">
        <v>1</v>
      </c>
      <c r="BA94">
        <f>INDEX(Inp_CER_Bin_2eps3arms!$AN$2:$AN$176,MATCH(Table1[[#This Row],[ModelID]],Inp_CER_Bin_2eps3arms!$A$2:$A$176,0))</f>
        <v>0</v>
      </c>
      <c r="BC94" t="s">
        <v>622</v>
      </c>
      <c r="BD94" t="s">
        <v>631</v>
      </c>
      <c r="BE94" s="10">
        <f>Table1[[#This Row],[Global.Power]]</f>
        <v>0.87234999999999996</v>
      </c>
      <c r="BF94" s="10">
        <f>Table1[[#This Row],[Conjunctive.Power]]</f>
        <v>0.27224999999999999</v>
      </c>
      <c r="BG94" s="10">
        <f>Table1[[#This Row],[Disjunctive.Power]]</f>
        <v>0.87234999999999996</v>
      </c>
      <c r="BH94" s="10">
        <f>Table1[[#This Row],[FWER]]</f>
        <v>1.5949999999999999E-2</v>
      </c>
      <c r="BI94" s="10">
        <f>_xlfn.NUMBERVALUE(MID(Table1[[#This Row],[CI_95perc_Global.Power]],2,FIND(",",Table1[[#This Row],[CI_95perc_Global.Power]])-2))</f>
        <v>0.86773</v>
      </c>
      <c r="BJ94" s="10">
        <f>_xlfn.NUMBERVALUE(MID(Table1[[#This Row],[CI_95perc_Global.Power]],FIND(",",Table1[[#This Row],[CI_95perc_Global.Power]])+1,LEN(Table1[[#This Row],[CI_95perc_Global.Power]])-FIND(",",Table1[[#This Row],[CI_95perc_Global.Power]])-1))</f>
        <v>0.87697000000000003</v>
      </c>
      <c r="BK94" s="10">
        <f>_xlfn.NUMBERVALUE(MID(Table1[[#This Row],[CI_95perc_Conjunctive.Power]],2,FIND(",",Table1[[#This Row],[CI_95perc_Conjunctive.Power]])-2))</f>
        <v>0.26607999999999998</v>
      </c>
      <c r="BL94" s="10">
        <f>_xlfn.NUMBERVALUE(MID(Table1[[#This Row],[CI_95perc_Conjunctive.Power]],FIND(",",Table1[[#This Row],[CI_95perc_Conjunctive.Power]])+1,LEN(Table1[[#This Row],[CI_95perc_Conjunctive.Power]])-FIND(",",Table1[[#This Row],[CI_95perc_Conjunctive.Power]])-1))</f>
        <v>0.27842</v>
      </c>
      <c r="BM94" s="10">
        <f>_xlfn.NUMBERVALUE(MID(Table1[[#This Row],[CI_95perc_Disjunctive.Power]],2,FIND(",",Table1[[#This Row],[CI_95perc_Disjunctive.Power]])-2))</f>
        <v>0.86773</v>
      </c>
      <c r="BN94" s="10">
        <f>_xlfn.NUMBERVALUE(MID(Table1[[#This Row],[CI_95perc_Disjunctive.Power]],FIND(",",Table1[[#This Row],[CI_95perc_Disjunctive.Power]])+1,LEN(Table1[[#This Row],[CI_95perc_Disjunctive.Power]])-FIND(",",Table1[[#This Row],[CI_95perc_Disjunctive.Power]])-1))</f>
        <v>0.87697000000000003</v>
      </c>
      <c r="BO94" s="10">
        <f>_xlfn.NUMBERVALUE(MID(Table1[[#This Row],[CI_95perc_FWER]],2,FIND(",",Table1[[#This Row],[CI_95perc_FWER]])-2))</f>
        <v>1.421E-2</v>
      </c>
      <c r="BP94" s="10">
        <f>_xlfn.NUMBERVALUE(MID(Table1[[#This Row],[CI_95perc_FWER]],FIND(",",Table1[[#This Row],[CI_95perc_FWER]])+1,LEN(Table1[[#This Row],[CI_95perc_FWER]])-FIND(",",Table1[[#This Row],[CI_95perc_FWER]])-1))</f>
        <v>1.7690000000000001E-2</v>
      </c>
      <c r="BQ94" s="10" t="str">
        <f>_xlfn.CONCAT("(",TEXT(Table1[[#This Row],[LCL_Disj.Pow%]],"0.00%"), ", ",TEXT(Table1[[#This Row],[UCL_Disj.Pow%]],"0.00%"),")")</f>
        <v>(86.77%, 87.70%)</v>
      </c>
      <c r="BR94" s="10" t="str">
        <f>_xlfn.CONCAT("(",TEXT(Table1[[#This Row],[LCL_Conj.Pow%]],"0.00%"),", ",TEXT(Table1[[#This Row],[UCL_Conj.Pow%]],"0.00%"),")")</f>
        <v>(26.61%, 27.84%)</v>
      </c>
      <c r="BS94" s="10" t="str">
        <f>_xlfn.CONCAT("(",TEXT(Table1[[#This Row],[LCL_FWER%]],"0.00%"),", ",TEXT(Table1[[#This Row],[UCL_FWER%]],"0.00%"),")")</f>
        <v>(1.42%, 1.77%)</v>
      </c>
    </row>
    <row r="95" spans="1:71" x14ac:dyDescent="0.25">
      <c r="A95">
        <v>93</v>
      </c>
      <c r="B95" t="s">
        <v>529</v>
      </c>
      <c r="C95">
        <v>2133</v>
      </c>
      <c r="D95">
        <v>0.91601319999999997</v>
      </c>
      <c r="E95">
        <v>0.34104849999999998</v>
      </c>
      <c r="F95">
        <v>0.91601270000000001</v>
      </c>
      <c r="G95">
        <v>1.6855499999999999E-2</v>
      </c>
      <c r="H95" t="s">
        <v>530</v>
      </c>
      <c r="I95" t="s">
        <v>531</v>
      </c>
      <c r="J95" t="s">
        <v>530</v>
      </c>
      <c r="K95" t="s">
        <v>532</v>
      </c>
      <c r="L95" s="1">
        <v>433613995</v>
      </c>
      <c r="M95" t="s">
        <v>533</v>
      </c>
      <c r="N95">
        <v>1.0498072889116099</v>
      </c>
      <c r="O95" t="s">
        <v>85</v>
      </c>
      <c r="P95" t="s">
        <v>41</v>
      </c>
      <c r="Q95">
        <v>800</v>
      </c>
      <c r="R95">
        <v>2.5000000000000001E-2</v>
      </c>
      <c r="S95" t="s">
        <v>42</v>
      </c>
      <c r="T95" t="s">
        <v>42</v>
      </c>
      <c r="U95" t="s">
        <v>43</v>
      </c>
      <c r="V95" t="s">
        <v>44</v>
      </c>
      <c r="W95">
        <v>5</v>
      </c>
      <c r="X95">
        <v>2</v>
      </c>
      <c r="Y95" t="s">
        <v>118</v>
      </c>
      <c r="Z95" t="s">
        <v>42</v>
      </c>
      <c r="AA95" t="s">
        <v>42</v>
      </c>
      <c r="AB95" t="s">
        <v>129</v>
      </c>
      <c r="AC95" t="s">
        <v>122</v>
      </c>
      <c r="AD95" t="s">
        <v>123</v>
      </c>
      <c r="AE95" t="s">
        <v>124</v>
      </c>
      <c r="AF95" t="s">
        <v>125</v>
      </c>
      <c r="AG95" t="s">
        <v>51</v>
      </c>
      <c r="AH95" t="s">
        <v>126</v>
      </c>
      <c r="AI95" t="s">
        <v>53</v>
      </c>
      <c r="AJ95" t="b">
        <v>1</v>
      </c>
      <c r="AK95" t="b">
        <v>1</v>
      </c>
      <c r="AL95">
        <v>1</v>
      </c>
      <c r="AM95">
        <v>1</v>
      </c>
      <c r="AN95" t="s">
        <v>56</v>
      </c>
      <c r="AO95" t="s">
        <v>57</v>
      </c>
      <c r="AP95">
        <v>0.5</v>
      </c>
      <c r="AQ95" t="b">
        <v>1</v>
      </c>
      <c r="AR95" t="s">
        <v>23</v>
      </c>
      <c r="AS95">
        <v>20000</v>
      </c>
      <c r="AT95">
        <v>500</v>
      </c>
      <c r="AU95" t="s">
        <v>121</v>
      </c>
      <c r="AV95" t="b">
        <v>0</v>
      </c>
      <c r="AW95" t="b">
        <v>0</v>
      </c>
      <c r="AX95" t="b">
        <v>1</v>
      </c>
      <c r="AY95" t="b">
        <v>1</v>
      </c>
      <c r="BA95">
        <f>INDEX(Inp_CER_Bin_2eps3arms!$AN$2:$AN$176,MATCH(Table1[[#This Row],[ModelID]],Inp_CER_Bin_2eps3arms!$A$2:$A$176,0))</f>
        <v>0</v>
      </c>
      <c r="BC95" t="s">
        <v>622</v>
      </c>
      <c r="BD95" t="s">
        <v>631</v>
      </c>
      <c r="BE95" s="10">
        <f>Table1[[#This Row],[Global.Power]]</f>
        <v>0.91601319999999997</v>
      </c>
      <c r="BF95" s="10">
        <f>Table1[[#This Row],[Conjunctive.Power]]</f>
        <v>0.34104849999999998</v>
      </c>
      <c r="BG95" s="10">
        <f>Table1[[#This Row],[Disjunctive.Power]]</f>
        <v>0.91601270000000001</v>
      </c>
      <c r="BH95" s="10">
        <f>Table1[[#This Row],[FWER]]</f>
        <v>1.6855499999999999E-2</v>
      </c>
      <c r="BI95" s="10">
        <f>_xlfn.NUMBERVALUE(MID(Table1[[#This Row],[CI_95perc_Global.Power]],2,FIND(",",Table1[[#This Row],[CI_95perc_Global.Power]])-2))</f>
        <v>0.91442999999999997</v>
      </c>
      <c r="BJ95" s="10">
        <f>_xlfn.NUMBERVALUE(MID(Table1[[#This Row],[CI_95perc_Global.Power]],FIND(",",Table1[[#This Row],[CI_95perc_Global.Power]])+1,LEN(Table1[[#This Row],[CI_95perc_Global.Power]])-FIND(",",Table1[[#This Row],[CI_95perc_Global.Power]])-1))</f>
        <v>0.91759999999999997</v>
      </c>
      <c r="BK95" s="10">
        <f>_xlfn.NUMBERVALUE(MID(Table1[[#This Row],[CI_95perc_Conjunctive.Power]],2,FIND(",",Table1[[#This Row],[CI_95perc_Conjunctive.Power]])-2))</f>
        <v>0.33774999999999999</v>
      </c>
      <c r="BL95" s="10">
        <f>_xlfn.NUMBERVALUE(MID(Table1[[#This Row],[CI_95perc_Conjunctive.Power]],FIND(",",Table1[[#This Row],[CI_95perc_Conjunctive.Power]])+1,LEN(Table1[[#This Row],[CI_95perc_Conjunctive.Power]])-FIND(",",Table1[[#This Row],[CI_95perc_Conjunctive.Power]])-1))</f>
        <v>0.34433999999999998</v>
      </c>
      <c r="BM95" s="10">
        <f>_xlfn.NUMBERVALUE(MID(Table1[[#This Row],[CI_95perc_Disjunctive.Power]],2,FIND(",",Table1[[#This Row],[CI_95perc_Disjunctive.Power]])-2))</f>
        <v>0.91442999999999997</v>
      </c>
      <c r="BN95" s="10">
        <f>_xlfn.NUMBERVALUE(MID(Table1[[#This Row],[CI_95perc_Disjunctive.Power]],FIND(",",Table1[[#This Row],[CI_95perc_Disjunctive.Power]])+1,LEN(Table1[[#This Row],[CI_95perc_Disjunctive.Power]])-FIND(",",Table1[[#This Row],[CI_95perc_Disjunctive.Power]])-1))</f>
        <v>0.91759999999999997</v>
      </c>
      <c r="BO95" s="10">
        <f>_xlfn.NUMBERVALUE(MID(Table1[[#This Row],[CI_95perc_FWER]],2,FIND(",",Table1[[#This Row],[CI_95perc_FWER]])-2))</f>
        <v>1.618E-2</v>
      </c>
      <c r="BP95" s="10">
        <f>_xlfn.NUMBERVALUE(MID(Table1[[#This Row],[CI_95perc_FWER]],FIND(",",Table1[[#This Row],[CI_95perc_FWER]])+1,LEN(Table1[[#This Row],[CI_95perc_FWER]])-FIND(",",Table1[[#This Row],[CI_95perc_FWER]])-1))</f>
        <v>1.753E-2</v>
      </c>
      <c r="BQ95" s="10" t="str">
        <f>_xlfn.CONCAT("(",TEXT(Table1[[#This Row],[LCL_Disj.Pow%]],"0.00%"), ", ",TEXT(Table1[[#This Row],[UCL_Disj.Pow%]],"0.00%"),")")</f>
        <v>(91.44%, 91.76%)</v>
      </c>
      <c r="BR95" s="10" t="str">
        <f>_xlfn.CONCAT("(",TEXT(Table1[[#This Row],[LCL_Conj.Pow%]],"0.00%"),", ",TEXT(Table1[[#This Row],[UCL_Conj.Pow%]],"0.00%"),")")</f>
        <v>(33.78%, 34.43%)</v>
      </c>
      <c r="BS95" s="10" t="str">
        <f>_xlfn.CONCAT("(",TEXT(Table1[[#This Row],[LCL_FWER%]],"0.00%"),", ",TEXT(Table1[[#This Row],[UCL_FWER%]],"0.00%"),")")</f>
        <v>(1.62%, 1.75%)</v>
      </c>
    </row>
    <row r="96" spans="1:71" x14ac:dyDescent="0.25">
      <c r="A96">
        <v>94</v>
      </c>
      <c r="B96" t="s">
        <v>534</v>
      </c>
      <c r="C96">
        <v>9153</v>
      </c>
      <c r="D96">
        <v>0.91034999999999999</v>
      </c>
      <c r="E96">
        <v>0.31535000000000002</v>
      </c>
      <c r="F96">
        <v>0.91034999999999999</v>
      </c>
      <c r="G96">
        <v>1.5599999999999999E-2</v>
      </c>
      <c r="H96" t="s">
        <v>535</v>
      </c>
      <c r="I96" t="s">
        <v>536</v>
      </c>
      <c r="J96" t="s">
        <v>535</v>
      </c>
      <c r="K96" t="s">
        <v>537</v>
      </c>
      <c r="L96" s="1">
        <v>426513942</v>
      </c>
      <c r="M96" t="s">
        <v>538</v>
      </c>
      <c r="N96">
        <v>9.5487910840246396E-2</v>
      </c>
      <c r="O96" t="s">
        <v>85</v>
      </c>
      <c r="P96" t="s">
        <v>117</v>
      </c>
      <c r="Q96">
        <v>800</v>
      </c>
      <c r="R96">
        <v>2.5000000000000001E-2</v>
      </c>
      <c r="S96" t="s">
        <v>42</v>
      </c>
      <c r="T96" t="s">
        <v>42</v>
      </c>
      <c r="U96" t="s">
        <v>43</v>
      </c>
      <c r="V96" t="s">
        <v>44</v>
      </c>
      <c r="W96">
        <v>5</v>
      </c>
      <c r="X96">
        <v>2</v>
      </c>
      <c r="Y96" t="s">
        <v>118</v>
      </c>
      <c r="Z96" t="s">
        <v>42</v>
      </c>
      <c r="AA96" t="s">
        <v>42</v>
      </c>
      <c r="AB96" t="s">
        <v>129</v>
      </c>
      <c r="AC96" t="s">
        <v>122</v>
      </c>
      <c r="AD96" t="s">
        <v>123</v>
      </c>
      <c r="AE96" t="s">
        <v>124</v>
      </c>
      <c r="AF96" t="s">
        <v>125</v>
      </c>
      <c r="AG96" t="s">
        <v>51</v>
      </c>
      <c r="AH96" t="s">
        <v>126</v>
      </c>
      <c r="AI96" t="s">
        <v>53</v>
      </c>
      <c r="AJ96" t="b">
        <v>1</v>
      </c>
      <c r="AK96" t="b">
        <v>1</v>
      </c>
      <c r="AL96">
        <v>1</v>
      </c>
      <c r="AM96">
        <v>1</v>
      </c>
      <c r="AN96" t="s">
        <v>56</v>
      </c>
      <c r="AO96" t="s">
        <v>57</v>
      </c>
      <c r="AP96">
        <v>0.25</v>
      </c>
      <c r="AQ96" t="b">
        <v>1</v>
      </c>
      <c r="AR96" t="s">
        <v>23</v>
      </c>
      <c r="AS96">
        <v>20000</v>
      </c>
      <c r="AT96">
        <v>500</v>
      </c>
      <c r="AU96" t="s">
        <v>121</v>
      </c>
      <c r="AV96" t="b">
        <v>0</v>
      </c>
      <c r="AW96" t="b">
        <v>0</v>
      </c>
      <c r="AX96" t="b">
        <v>1</v>
      </c>
      <c r="AY96" t="b">
        <v>1</v>
      </c>
      <c r="BA96">
        <f>INDEX(Inp_CER_Bin_2eps3arms!$AN$2:$AN$176,MATCH(Table1[[#This Row],[ModelID]],Inp_CER_Bin_2eps3arms!$A$2:$A$176,0))</f>
        <v>0</v>
      </c>
      <c r="BC96" t="s">
        <v>621</v>
      </c>
      <c r="BD96" t="s">
        <v>631</v>
      </c>
      <c r="BE96" s="10">
        <f>Table1[[#This Row],[Global.Power]]</f>
        <v>0.91034999999999999</v>
      </c>
      <c r="BF96" s="10">
        <f>Table1[[#This Row],[Conjunctive.Power]]</f>
        <v>0.31535000000000002</v>
      </c>
      <c r="BG96" s="10">
        <f>Table1[[#This Row],[Disjunctive.Power]]</f>
        <v>0.91034999999999999</v>
      </c>
      <c r="BH96" s="10">
        <f>Table1[[#This Row],[FWER]]</f>
        <v>1.5599999999999999E-2</v>
      </c>
      <c r="BI96" s="10">
        <f>_xlfn.NUMBERVALUE(MID(Table1[[#This Row],[CI_95perc_Global.Power]],2,FIND(",",Table1[[#This Row],[CI_95perc_Global.Power]])-2))</f>
        <v>0.90639000000000003</v>
      </c>
      <c r="BJ96" s="10">
        <f>_xlfn.NUMBERVALUE(MID(Table1[[#This Row],[CI_95perc_Global.Power]],FIND(",",Table1[[#This Row],[CI_95perc_Global.Power]])+1,LEN(Table1[[#This Row],[CI_95perc_Global.Power]])-FIND(",",Table1[[#This Row],[CI_95perc_Global.Power]])-1))</f>
        <v>0.91430999999999996</v>
      </c>
      <c r="BK96" s="10">
        <f>_xlfn.NUMBERVALUE(MID(Table1[[#This Row],[CI_95perc_Conjunctive.Power]],2,FIND(",",Table1[[#This Row],[CI_95perc_Conjunctive.Power]])-2))</f>
        <v>0.30891000000000002</v>
      </c>
      <c r="BL96" s="10">
        <f>_xlfn.NUMBERVALUE(MID(Table1[[#This Row],[CI_95perc_Conjunctive.Power]],FIND(",",Table1[[#This Row],[CI_95perc_Conjunctive.Power]])+1,LEN(Table1[[#This Row],[CI_95perc_Conjunctive.Power]])-FIND(",",Table1[[#This Row],[CI_95perc_Conjunctive.Power]])-1))</f>
        <v>0.32179000000000002</v>
      </c>
      <c r="BM96" s="10">
        <f>_xlfn.NUMBERVALUE(MID(Table1[[#This Row],[CI_95perc_Disjunctive.Power]],2,FIND(",",Table1[[#This Row],[CI_95perc_Disjunctive.Power]])-2))</f>
        <v>0.90639000000000003</v>
      </c>
      <c r="BN96" s="10">
        <f>_xlfn.NUMBERVALUE(MID(Table1[[#This Row],[CI_95perc_Disjunctive.Power]],FIND(",",Table1[[#This Row],[CI_95perc_Disjunctive.Power]])+1,LEN(Table1[[#This Row],[CI_95perc_Disjunctive.Power]])-FIND(",",Table1[[#This Row],[CI_95perc_Disjunctive.Power]])-1))</f>
        <v>0.91430999999999996</v>
      </c>
      <c r="BO96" s="10">
        <f>_xlfn.NUMBERVALUE(MID(Table1[[#This Row],[CI_95perc_FWER]],2,FIND(",",Table1[[#This Row],[CI_95perc_FWER]])-2))</f>
        <v>1.388E-2</v>
      </c>
      <c r="BP96" s="10">
        <f>_xlfn.NUMBERVALUE(MID(Table1[[#This Row],[CI_95perc_FWER]],FIND(",",Table1[[#This Row],[CI_95perc_FWER]])+1,LEN(Table1[[#This Row],[CI_95perc_FWER]])-FIND(",",Table1[[#This Row],[CI_95perc_FWER]])-1))</f>
        <v>1.7319999999999999E-2</v>
      </c>
      <c r="BQ96" s="10" t="str">
        <f>_xlfn.CONCAT("(",TEXT(Table1[[#This Row],[LCL_Disj.Pow%]],"0.00%"), ", ",TEXT(Table1[[#This Row],[UCL_Disj.Pow%]],"0.00%"),")")</f>
        <v>(90.64%, 91.43%)</v>
      </c>
      <c r="BR96" s="10" t="str">
        <f>_xlfn.CONCAT("(",TEXT(Table1[[#This Row],[LCL_Conj.Pow%]],"0.00%"),", ",TEXT(Table1[[#This Row],[UCL_Conj.Pow%]],"0.00%"),")")</f>
        <v>(30.89%, 32.18%)</v>
      </c>
      <c r="BS96" s="10" t="str">
        <f>_xlfn.CONCAT("(",TEXT(Table1[[#This Row],[LCL_FWER%]],"0.00%"),", ",TEXT(Table1[[#This Row],[UCL_FWER%]],"0.00%"),")")</f>
        <v>(1.39%, 1.73%)</v>
      </c>
    </row>
    <row r="97" spans="1:71" x14ac:dyDescent="0.25">
      <c r="A97">
        <v>95</v>
      </c>
      <c r="B97" t="s">
        <v>539</v>
      </c>
      <c r="C97">
        <v>6265</v>
      </c>
      <c r="D97">
        <v>0.93578430000000001</v>
      </c>
      <c r="E97">
        <v>0.35455320000000001</v>
      </c>
      <c r="F97">
        <v>0.93578229999999996</v>
      </c>
      <c r="G97">
        <v>1.5834000000000001E-2</v>
      </c>
      <c r="H97" t="s">
        <v>540</v>
      </c>
      <c r="I97" t="s">
        <v>541</v>
      </c>
      <c r="J97" t="s">
        <v>540</v>
      </c>
      <c r="K97" t="s">
        <v>542</v>
      </c>
      <c r="L97" s="1">
        <v>423714460</v>
      </c>
      <c r="M97" t="s">
        <v>543</v>
      </c>
      <c r="N97">
        <v>0.97842515581183997</v>
      </c>
      <c r="O97" t="s">
        <v>85</v>
      </c>
      <c r="P97" t="s">
        <v>41</v>
      </c>
      <c r="Q97">
        <v>800</v>
      </c>
      <c r="R97">
        <v>2.5000000000000001E-2</v>
      </c>
      <c r="S97" t="s">
        <v>42</v>
      </c>
      <c r="T97" t="s">
        <v>42</v>
      </c>
      <c r="U97" t="s">
        <v>43</v>
      </c>
      <c r="V97" t="s">
        <v>44</v>
      </c>
      <c r="W97">
        <v>5</v>
      </c>
      <c r="X97">
        <v>2</v>
      </c>
      <c r="Y97" t="s">
        <v>118</v>
      </c>
      <c r="Z97" t="s">
        <v>42</v>
      </c>
      <c r="AA97" t="s">
        <v>42</v>
      </c>
      <c r="AB97" t="s">
        <v>129</v>
      </c>
      <c r="AC97" t="s">
        <v>122</v>
      </c>
      <c r="AD97" t="s">
        <v>123</v>
      </c>
      <c r="AE97" t="s">
        <v>124</v>
      </c>
      <c r="AF97" t="s">
        <v>125</v>
      </c>
      <c r="AG97" t="s">
        <v>51</v>
      </c>
      <c r="AH97" t="s">
        <v>126</v>
      </c>
      <c r="AI97" t="s">
        <v>53</v>
      </c>
      <c r="AJ97" t="b">
        <v>1</v>
      </c>
      <c r="AK97" t="b">
        <v>1</v>
      </c>
      <c r="AL97">
        <v>1</v>
      </c>
      <c r="AM97">
        <v>1</v>
      </c>
      <c r="AN97" t="s">
        <v>56</v>
      </c>
      <c r="AO97" t="s">
        <v>57</v>
      </c>
      <c r="AP97">
        <v>0.25</v>
      </c>
      <c r="AQ97" t="b">
        <v>1</v>
      </c>
      <c r="AR97" t="s">
        <v>23</v>
      </c>
      <c r="AS97">
        <v>20000</v>
      </c>
      <c r="AT97">
        <v>500</v>
      </c>
      <c r="AU97" t="s">
        <v>121</v>
      </c>
      <c r="AV97" t="b">
        <v>0</v>
      </c>
      <c r="AW97" t="b">
        <v>0</v>
      </c>
      <c r="AX97" t="b">
        <v>1</v>
      </c>
      <c r="AY97" t="b">
        <v>1</v>
      </c>
      <c r="BA97">
        <f>INDEX(Inp_CER_Bin_2eps3arms!$AN$2:$AN$176,MATCH(Table1[[#This Row],[ModelID]],Inp_CER_Bin_2eps3arms!$A$2:$A$176,0))</f>
        <v>0</v>
      </c>
      <c r="BC97" t="s">
        <v>621</v>
      </c>
      <c r="BD97" t="s">
        <v>631</v>
      </c>
      <c r="BE97" s="10">
        <f>Table1[[#This Row],[Global.Power]]</f>
        <v>0.93578430000000001</v>
      </c>
      <c r="BF97" s="10">
        <f>Table1[[#This Row],[Conjunctive.Power]]</f>
        <v>0.35455320000000001</v>
      </c>
      <c r="BG97" s="10">
        <f>Table1[[#This Row],[Disjunctive.Power]]</f>
        <v>0.93578229999999996</v>
      </c>
      <c r="BH97" s="10">
        <f>Table1[[#This Row],[FWER]]</f>
        <v>1.5834000000000001E-2</v>
      </c>
      <c r="BI97" s="10">
        <f>_xlfn.NUMBERVALUE(MID(Table1[[#This Row],[CI_95perc_Global.Power]],2,FIND(",",Table1[[#This Row],[CI_95perc_Global.Power]])-2))</f>
        <v>0.93420999999999998</v>
      </c>
      <c r="BJ97" s="10">
        <f>_xlfn.NUMBERVALUE(MID(Table1[[#This Row],[CI_95perc_Global.Power]],FIND(",",Table1[[#This Row],[CI_95perc_Global.Power]])+1,LEN(Table1[[#This Row],[CI_95perc_Global.Power]])-FIND(",",Table1[[#This Row],[CI_95perc_Global.Power]])-1))</f>
        <v>0.93735000000000002</v>
      </c>
      <c r="BK97" s="10">
        <f>_xlfn.NUMBERVALUE(MID(Table1[[#This Row],[CI_95perc_Conjunctive.Power]],2,FIND(",",Table1[[#This Row],[CI_95perc_Conjunctive.Power]])-2))</f>
        <v>0.35085</v>
      </c>
      <c r="BL97" s="10">
        <f>_xlfn.NUMBERVALUE(MID(Table1[[#This Row],[CI_95perc_Conjunctive.Power]],FIND(",",Table1[[#This Row],[CI_95perc_Conjunctive.Power]])+1,LEN(Table1[[#This Row],[CI_95perc_Conjunctive.Power]])-FIND(",",Table1[[#This Row],[CI_95perc_Conjunctive.Power]])-1))</f>
        <v>0.35826000000000002</v>
      </c>
      <c r="BM97" s="10">
        <f>_xlfn.NUMBERVALUE(MID(Table1[[#This Row],[CI_95perc_Disjunctive.Power]],2,FIND(",",Table1[[#This Row],[CI_95perc_Disjunctive.Power]])-2))</f>
        <v>0.93420999999999998</v>
      </c>
      <c r="BN97" s="10">
        <f>_xlfn.NUMBERVALUE(MID(Table1[[#This Row],[CI_95perc_Disjunctive.Power]],FIND(",",Table1[[#This Row],[CI_95perc_Disjunctive.Power]])+1,LEN(Table1[[#This Row],[CI_95perc_Disjunctive.Power]])-FIND(",",Table1[[#This Row],[CI_95perc_Disjunctive.Power]])-1))</f>
        <v>0.93735000000000002</v>
      </c>
      <c r="BO97" s="10">
        <f>_xlfn.NUMBERVALUE(MID(Table1[[#This Row],[CI_95perc_FWER]],2,FIND(",",Table1[[#This Row],[CI_95perc_FWER]])-2))</f>
        <v>1.515E-2</v>
      </c>
      <c r="BP97" s="10">
        <f>_xlfn.NUMBERVALUE(MID(Table1[[#This Row],[CI_95perc_FWER]],FIND(",",Table1[[#This Row],[CI_95perc_FWER]])+1,LEN(Table1[[#This Row],[CI_95perc_FWER]])-FIND(",",Table1[[#This Row],[CI_95perc_FWER]])-1))</f>
        <v>1.652E-2</v>
      </c>
      <c r="BQ97" s="10" t="str">
        <f>_xlfn.CONCAT("(",TEXT(Table1[[#This Row],[LCL_Disj.Pow%]],"0.00%"), ", ",TEXT(Table1[[#This Row],[UCL_Disj.Pow%]],"0.00%"),")")</f>
        <v>(93.42%, 93.74%)</v>
      </c>
      <c r="BR97" s="10" t="str">
        <f>_xlfn.CONCAT("(",TEXT(Table1[[#This Row],[LCL_Conj.Pow%]],"0.00%"),", ",TEXT(Table1[[#This Row],[UCL_Conj.Pow%]],"0.00%"),")")</f>
        <v>(35.09%, 35.83%)</v>
      </c>
      <c r="BS97" s="10" t="str">
        <f>_xlfn.CONCAT("(",TEXT(Table1[[#This Row],[LCL_FWER%]],"0.00%"),", ",TEXT(Table1[[#This Row],[UCL_FWER%]],"0.00%"),")")</f>
        <v>(1.52%, 1.65%)</v>
      </c>
    </row>
    <row r="98" spans="1:71" x14ac:dyDescent="0.25">
      <c r="A98">
        <v>96</v>
      </c>
      <c r="B98" t="s">
        <v>544</v>
      </c>
      <c r="C98">
        <v>7799</v>
      </c>
      <c r="D98">
        <v>0.96584999999999999</v>
      </c>
      <c r="E98">
        <v>6.1999999999999998E-3</v>
      </c>
      <c r="F98">
        <v>0.96579999999999999</v>
      </c>
      <c r="G98" s="8">
        <v>5.9999999999999995E-4</v>
      </c>
      <c r="H98" t="s">
        <v>545</v>
      </c>
      <c r="I98" t="s">
        <v>546</v>
      </c>
      <c r="J98" t="s">
        <v>547</v>
      </c>
      <c r="K98" t="s">
        <v>548</v>
      </c>
      <c r="L98" s="1">
        <v>425615061</v>
      </c>
      <c r="M98" t="s">
        <v>549</v>
      </c>
      <c r="N98">
        <v>8.0085907777150495E-2</v>
      </c>
      <c r="O98" t="s">
        <v>85</v>
      </c>
      <c r="P98" t="s">
        <v>117</v>
      </c>
      <c r="Q98">
        <v>800</v>
      </c>
      <c r="R98">
        <v>2.5000000000000001E-2</v>
      </c>
      <c r="S98" t="s">
        <v>42</v>
      </c>
      <c r="T98" t="s">
        <v>42</v>
      </c>
      <c r="U98" t="s">
        <v>43</v>
      </c>
      <c r="V98" t="s">
        <v>44</v>
      </c>
      <c r="W98">
        <v>5</v>
      </c>
      <c r="X98">
        <v>2</v>
      </c>
      <c r="Y98" t="s">
        <v>118</v>
      </c>
      <c r="Z98" t="s">
        <v>42</v>
      </c>
      <c r="AA98" t="s">
        <v>42</v>
      </c>
      <c r="AB98" t="s">
        <v>129</v>
      </c>
      <c r="AC98" t="s">
        <v>122</v>
      </c>
      <c r="AD98" t="s">
        <v>123</v>
      </c>
      <c r="AE98" t="s">
        <v>124</v>
      </c>
      <c r="AF98" t="s">
        <v>125</v>
      </c>
      <c r="AG98" t="s">
        <v>51</v>
      </c>
      <c r="AH98" t="s">
        <v>126</v>
      </c>
      <c r="AI98" t="s">
        <v>53</v>
      </c>
      <c r="AJ98" t="b">
        <v>1</v>
      </c>
      <c r="AK98" t="b">
        <v>1</v>
      </c>
      <c r="AL98">
        <v>1</v>
      </c>
      <c r="AM98">
        <v>1</v>
      </c>
      <c r="AN98" t="s">
        <v>56</v>
      </c>
      <c r="AO98" t="s">
        <v>60</v>
      </c>
      <c r="AP98">
        <v>1</v>
      </c>
      <c r="AQ98" t="b">
        <v>1</v>
      </c>
      <c r="AR98" t="s">
        <v>23</v>
      </c>
      <c r="AS98">
        <v>20000</v>
      </c>
      <c r="AT98">
        <v>500</v>
      </c>
      <c r="AU98" t="s">
        <v>121</v>
      </c>
      <c r="AV98" t="b">
        <v>0</v>
      </c>
      <c r="AW98" t="b">
        <v>0</v>
      </c>
      <c r="AX98" t="b">
        <v>1</v>
      </c>
      <c r="AY98" t="b">
        <v>1</v>
      </c>
      <c r="BA98">
        <f>INDEX(Inp_CER_Bin_2eps3arms!$AN$2:$AN$176,MATCH(Table1[[#This Row],[ModelID]],Inp_CER_Bin_2eps3arms!$A$2:$A$176,0))</f>
        <v>0</v>
      </c>
      <c r="BC98" t="s">
        <v>620</v>
      </c>
      <c r="BD98" t="s">
        <v>631</v>
      </c>
      <c r="BE98" s="10">
        <f>Table1[[#This Row],[Global.Power]]</f>
        <v>0.96584999999999999</v>
      </c>
      <c r="BF98" s="10">
        <f>Table1[[#This Row],[Conjunctive.Power]]</f>
        <v>6.1999999999999998E-3</v>
      </c>
      <c r="BG98" s="10">
        <f>Table1[[#This Row],[Disjunctive.Power]]</f>
        <v>0.96579999999999999</v>
      </c>
      <c r="BH98" s="10">
        <f>Table1[[#This Row],[FWER]]</f>
        <v>5.9999999999999995E-4</v>
      </c>
      <c r="BI98" s="10">
        <f>_xlfn.NUMBERVALUE(MID(Table1[[#This Row],[CI_95perc_Global.Power]],2,FIND(",",Table1[[#This Row],[CI_95perc_Global.Power]])-2))</f>
        <v>0.96333000000000002</v>
      </c>
      <c r="BJ98" s="10">
        <f>_xlfn.NUMBERVALUE(MID(Table1[[#This Row],[CI_95perc_Global.Power]],FIND(",",Table1[[#This Row],[CI_95perc_Global.Power]])+1,LEN(Table1[[#This Row],[CI_95perc_Global.Power]])-FIND(",",Table1[[#This Row],[CI_95perc_Global.Power]])-1))</f>
        <v>0.96836999999999995</v>
      </c>
      <c r="BK98" s="10">
        <f>_xlfn.NUMBERVALUE(MID(Table1[[#This Row],[CI_95perc_Conjunctive.Power]],2,FIND(",",Table1[[#This Row],[CI_95perc_Conjunctive.Power]])-2))</f>
        <v>5.11E-3</v>
      </c>
      <c r="BL98" s="10">
        <f>_xlfn.NUMBERVALUE(MID(Table1[[#This Row],[CI_95perc_Conjunctive.Power]],FIND(",",Table1[[#This Row],[CI_95perc_Conjunctive.Power]])+1,LEN(Table1[[#This Row],[CI_95perc_Conjunctive.Power]])-FIND(",",Table1[[#This Row],[CI_95perc_Conjunctive.Power]])-1))</f>
        <v>7.2899999999999996E-3</v>
      </c>
      <c r="BM98" s="10">
        <f>_xlfn.NUMBERVALUE(MID(Table1[[#This Row],[CI_95perc_Disjunctive.Power]],2,FIND(",",Table1[[#This Row],[CI_95perc_Disjunctive.Power]])-2))</f>
        <v>0.96328000000000003</v>
      </c>
      <c r="BN98" s="10">
        <f>_xlfn.NUMBERVALUE(MID(Table1[[#This Row],[CI_95perc_Disjunctive.Power]],FIND(",",Table1[[#This Row],[CI_95perc_Disjunctive.Power]])+1,LEN(Table1[[#This Row],[CI_95perc_Disjunctive.Power]])-FIND(",",Table1[[#This Row],[CI_95perc_Disjunctive.Power]])-1))</f>
        <v>0.96831999999999996</v>
      </c>
      <c r="BO98" s="10">
        <f>_xlfn.NUMBERVALUE(MID(Table1[[#This Row],[CI_95perc_FWER]],2,FIND(",",Table1[[#This Row],[CI_95perc_FWER]])-2))</f>
        <v>2.5999999999999998E-4</v>
      </c>
      <c r="BP98" s="10">
        <f>_xlfn.NUMBERVALUE(MID(Table1[[#This Row],[CI_95perc_FWER]],FIND(",",Table1[[#This Row],[CI_95perc_FWER]])+1,LEN(Table1[[#This Row],[CI_95perc_FWER]])-FIND(",",Table1[[#This Row],[CI_95perc_FWER]])-1))</f>
        <v>9.3999999999999997E-4</v>
      </c>
      <c r="BQ98" s="10" t="str">
        <f>_xlfn.CONCAT("(",TEXT(Table1[[#This Row],[LCL_Disj.Pow%]],"0.00%"), ", ",TEXT(Table1[[#This Row],[UCL_Disj.Pow%]],"0.00%"),")")</f>
        <v>(96.33%, 96.83%)</v>
      </c>
      <c r="BR98" s="10" t="str">
        <f>_xlfn.CONCAT("(",TEXT(Table1[[#This Row],[LCL_Conj.Pow%]],"0.00%"),", ",TEXT(Table1[[#This Row],[UCL_Conj.Pow%]],"0.00%"),")")</f>
        <v>(0.51%, 0.73%)</v>
      </c>
      <c r="BS98" s="10" t="str">
        <f>_xlfn.CONCAT("(",TEXT(Table1[[#This Row],[LCL_FWER%]],"0.00%"),", ",TEXT(Table1[[#This Row],[UCL_FWER%]],"0.00%"),")")</f>
        <v>(0.03%, 0.09%)</v>
      </c>
    </row>
    <row r="99" spans="1:71" x14ac:dyDescent="0.25">
      <c r="A99">
        <v>97</v>
      </c>
      <c r="B99" t="s">
        <v>550</v>
      </c>
      <c r="C99">
        <v>76</v>
      </c>
      <c r="D99">
        <v>0.97662660000000001</v>
      </c>
      <c r="E99">
        <v>6.3344999999999999E-3</v>
      </c>
      <c r="F99">
        <v>0.97657439999999995</v>
      </c>
      <c r="G99">
        <v>6.1450000000000003E-4</v>
      </c>
      <c r="H99" t="s">
        <v>551</v>
      </c>
      <c r="I99" t="s">
        <v>552</v>
      </c>
      <c r="J99" t="s">
        <v>553</v>
      </c>
      <c r="K99" t="s">
        <v>554</v>
      </c>
      <c r="L99" s="1">
        <v>430515226</v>
      </c>
      <c r="M99" t="s">
        <v>555</v>
      </c>
      <c r="N99">
        <v>0.66879462447431304</v>
      </c>
      <c r="O99" t="s">
        <v>85</v>
      </c>
      <c r="P99" t="s">
        <v>41</v>
      </c>
      <c r="Q99">
        <v>800</v>
      </c>
      <c r="R99">
        <v>2.5000000000000001E-2</v>
      </c>
      <c r="S99" t="s">
        <v>42</v>
      </c>
      <c r="T99" t="s">
        <v>42</v>
      </c>
      <c r="U99" t="s">
        <v>43</v>
      </c>
      <c r="V99" t="s">
        <v>44</v>
      </c>
      <c r="W99">
        <v>5</v>
      </c>
      <c r="X99">
        <v>2</v>
      </c>
      <c r="Y99" t="s">
        <v>118</v>
      </c>
      <c r="Z99" t="s">
        <v>42</v>
      </c>
      <c r="AA99" t="s">
        <v>42</v>
      </c>
      <c r="AB99" t="s">
        <v>129</v>
      </c>
      <c r="AC99" t="s">
        <v>122</v>
      </c>
      <c r="AD99" t="s">
        <v>123</v>
      </c>
      <c r="AE99" t="s">
        <v>124</v>
      </c>
      <c r="AF99" t="s">
        <v>125</v>
      </c>
      <c r="AG99" t="s">
        <v>51</v>
      </c>
      <c r="AH99" t="s">
        <v>126</v>
      </c>
      <c r="AI99" t="s">
        <v>53</v>
      </c>
      <c r="AJ99" t="b">
        <v>1</v>
      </c>
      <c r="AK99" t="b">
        <v>1</v>
      </c>
      <c r="AL99">
        <v>1</v>
      </c>
      <c r="AM99">
        <v>1</v>
      </c>
      <c r="AN99" t="s">
        <v>56</v>
      </c>
      <c r="AO99" t="s">
        <v>60</v>
      </c>
      <c r="AP99">
        <v>1</v>
      </c>
      <c r="AQ99" t="b">
        <v>1</v>
      </c>
      <c r="AR99" t="s">
        <v>23</v>
      </c>
      <c r="AS99">
        <v>20000</v>
      </c>
      <c r="AT99">
        <v>500</v>
      </c>
      <c r="AU99" t="s">
        <v>121</v>
      </c>
      <c r="AV99" t="b">
        <v>0</v>
      </c>
      <c r="AW99" t="b">
        <v>0</v>
      </c>
      <c r="AX99" t="b">
        <v>1</v>
      </c>
      <c r="AY99" t="b">
        <v>1</v>
      </c>
      <c r="BA99">
        <f>INDEX(Inp_CER_Bin_2eps3arms!$AN$2:$AN$176,MATCH(Table1[[#This Row],[ModelID]],Inp_CER_Bin_2eps3arms!$A$2:$A$176,0))</f>
        <v>0</v>
      </c>
      <c r="BC99" t="s">
        <v>620</v>
      </c>
      <c r="BD99" t="s">
        <v>631</v>
      </c>
      <c r="BE99" s="10">
        <f>Table1[[#This Row],[Global.Power]]</f>
        <v>0.97662660000000001</v>
      </c>
      <c r="BF99" s="10">
        <f>Table1[[#This Row],[Conjunctive.Power]]</f>
        <v>6.3344999999999999E-3</v>
      </c>
      <c r="BG99" s="10">
        <f>Table1[[#This Row],[Disjunctive.Power]]</f>
        <v>0.97657439999999995</v>
      </c>
      <c r="BH99" s="10">
        <f>Table1[[#This Row],[FWER]]</f>
        <v>6.1450000000000003E-4</v>
      </c>
      <c r="BI99" s="10">
        <f>_xlfn.NUMBERVALUE(MID(Table1[[#This Row],[CI_95perc_Global.Power]],2,FIND(",",Table1[[#This Row],[CI_95perc_Global.Power]])-2))</f>
        <v>0.97587000000000002</v>
      </c>
      <c r="BJ99" s="10">
        <f>_xlfn.NUMBERVALUE(MID(Table1[[#This Row],[CI_95perc_Global.Power]],FIND(",",Table1[[#This Row],[CI_95perc_Global.Power]])+1,LEN(Table1[[#This Row],[CI_95perc_Global.Power]])-FIND(",",Table1[[#This Row],[CI_95perc_Global.Power]])-1))</f>
        <v>0.97738999999999998</v>
      </c>
      <c r="BK99" s="10">
        <f>_xlfn.NUMBERVALUE(MID(Table1[[#This Row],[CI_95perc_Conjunctive.Power]],2,FIND(",",Table1[[#This Row],[CI_95perc_Conjunctive.Power]])-2))</f>
        <v>5.2599999999999999E-3</v>
      </c>
      <c r="BL99" s="10">
        <f>_xlfn.NUMBERVALUE(MID(Table1[[#This Row],[CI_95perc_Conjunctive.Power]],FIND(",",Table1[[#This Row],[CI_95perc_Conjunctive.Power]])+1,LEN(Table1[[#This Row],[CI_95perc_Conjunctive.Power]])-FIND(",",Table1[[#This Row],[CI_95perc_Conjunctive.Power]])-1))</f>
        <v>7.4099999999999999E-3</v>
      </c>
      <c r="BM99" s="10">
        <f>_xlfn.NUMBERVALUE(MID(Table1[[#This Row],[CI_95perc_Disjunctive.Power]],2,FIND(",",Table1[[#This Row],[CI_95perc_Disjunctive.Power]])-2))</f>
        <v>0.9758</v>
      </c>
      <c r="BN99" s="10">
        <f>_xlfn.NUMBERVALUE(MID(Table1[[#This Row],[CI_95perc_Disjunctive.Power]],FIND(",",Table1[[#This Row],[CI_95perc_Disjunctive.Power]])+1,LEN(Table1[[#This Row],[CI_95perc_Disjunctive.Power]])-FIND(",",Table1[[#This Row],[CI_95perc_Disjunctive.Power]])-1))</f>
        <v>0.97735000000000005</v>
      </c>
      <c r="BO99" s="10">
        <f>_xlfn.NUMBERVALUE(MID(Table1[[#This Row],[CI_95perc_FWER]],2,FIND(",",Table1[[#This Row],[CI_95perc_FWER]])-2))</f>
        <v>3.4000000000000002E-4</v>
      </c>
      <c r="BP99" s="10">
        <f>_xlfn.NUMBERVALUE(MID(Table1[[#This Row],[CI_95perc_FWER]],FIND(",",Table1[[#This Row],[CI_95perc_FWER]])+1,LEN(Table1[[#This Row],[CI_95perc_FWER]])-FIND(",",Table1[[#This Row],[CI_95perc_FWER]])-1))</f>
        <v>8.8999999999999995E-4</v>
      </c>
      <c r="BQ99" s="10" t="str">
        <f>_xlfn.CONCAT("(",TEXT(Table1[[#This Row],[LCL_Disj.Pow%]],"0.00%"), ", ",TEXT(Table1[[#This Row],[UCL_Disj.Pow%]],"0.00%"),")")</f>
        <v>(97.58%, 97.74%)</v>
      </c>
      <c r="BR99" s="10" t="str">
        <f>_xlfn.CONCAT("(",TEXT(Table1[[#This Row],[LCL_Conj.Pow%]],"0.00%"),", ",TEXT(Table1[[#This Row],[UCL_Conj.Pow%]],"0.00%"),")")</f>
        <v>(0.53%, 0.74%)</v>
      </c>
      <c r="BS99" s="10" t="str">
        <f>_xlfn.CONCAT("(",TEXT(Table1[[#This Row],[LCL_FWER%]],"0.00%"),", ",TEXT(Table1[[#This Row],[UCL_FWER%]],"0.00%"),")")</f>
        <v>(0.03%, 0.09%)</v>
      </c>
    </row>
    <row r="100" spans="1:71" x14ac:dyDescent="0.25">
      <c r="A100">
        <v>98</v>
      </c>
      <c r="B100" t="s">
        <v>615</v>
      </c>
      <c r="C100">
        <v>4725</v>
      </c>
      <c r="D100">
        <v>0.88034999999999997</v>
      </c>
      <c r="E100">
        <v>0.35580000000000001</v>
      </c>
      <c r="F100">
        <v>0.88034999999999997</v>
      </c>
      <c r="G100">
        <v>0</v>
      </c>
      <c r="H100" t="s">
        <v>556</v>
      </c>
      <c r="I100" t="s">
        <v>557</v>
      </c>
      <c r="J100" t="s">
        <v>556</v>
      </c>
      <c r="K100" t="s">
        <v>83</v>
      </c>
      <c r="L100" s="1">
        <v>507512532</v>
      </c>
      <c r="M100" t="s">
        <v>558</v>
      </c>
      <c r="N100">
        <v>9.8132335543632501E-2</v>
      </c>
      <c r="O100" t="s">
        <v>85</v>
      </c>
      <c r="P100" t="s">
        <v>117</v>
      </c>
      <c r="Q100">
        <v>800</v>
      </c>
      <c r="R100">
        <v>2.5000000000000001E-2</v>
      </c>
      <c r="S100" t="s">
        <v>42</v>
      </c>
      <c r="T100" t="s">
        <v>42</v>
      </c>
      <c r="U100" t="s">
        <v>43</v>
      </c>
      <c r="V100" t="s">
        <v>44</v>
      </c>
      <c r="W100">
        <v>5</v>
      </c>
      <c r="X100">
        <v>2</v>
      </c>
      <c r="Y100" t="s">
        <v>118</v>
      </c>
      <c r="Z100" t="s">
        <v>42</v>
      </c>
      <c r="AA100" t="s">
        <v>42</v>
      </c>
      <c r="AB100" t="s">
        <v>130</v>
      </c>
      <c r="AC100" t="s">
        <v>122</v>
      </c>
      <c r="AD100" t="s">
        <v>120</v>
      </c>
      <c r="AE100" t="s">
        <v>124</v>
      </c>
      <c r="AF100" t="s">
        <v>125</v>
      </c>
      <c r="AG100" t="s">
        <v>51</v>
      </c>
      <c r="AH100" t="s">
        <v>52</v>
      </c>
      <c r="AI100" t="s">
        <v>53</v>
      </c>
      <c r="AJ100" t="b">
        <v>1</v>
      </c>
      <c r="AK100" t="b">
        <v>0</v>
      </c>
      <c r="AL100" t="s">
        <v>42</v>
      </c>
      <c r="AM100" t="s">
        <v>42</v>
      </c>
      <c r="AN100" t="s">
        <v>42</v>
      </c>
      <c r="AO100" t="s">
        <v>42</v>
      </c>
      <c r="AP100" t="s">
        <v>42</v>
      </c>
      <c r="AQ100" t="s">
        <v>42</v>
      </c>
      <c r="AR100" t="s">
        <v>54</v>
      </c>
      <c r="AS100">
        <v>20000</v>
      </c>
      <c r="AT100">
        <v>500</v>
      </c>
      <c r="AU100" t="s">
        <v>121</v>
      </c>
      <c r="AV100" t="b">
        <v>0</v>
      </c>
      <c r="AW100" t="b">
        <v>0</v>
      </c>
      <c r="AX100" t="b">
        <v>1</v>
      </c>
      <c r="AY100" t="b">
        <v>1</v>
      </c>
      <c r="BA100">
        <f>INDEX(Inp_CER_Bin_2eps3arms!$AN$2:$AN$176,MATCH(Table1[[#This Row],[ModelID]],Inp_CER_Bin_2eps3arms!$A$2:$A$176,0))</f>
        <v>0</v>
      </c>
      <c r="BC100" t="s">
        <v>618</v>
      </c>
      <c r="BD100" t="s">
        <v>632</v>
      </c>
      <c r="BE100" s="10">
        <f>Table1[[#This Row],[Global.Power]]</f>
        <v>0.88034999999999997</v>
      </c>
      <c r="BF100" s="10">
        <f>Table1[[#This Row],[Conjunctive.Power]]</f>
        <v>0.35580000000000001</v>
      </c>
      <c r="BG100" s="10">
        <f>Table1[[#This Row],[Disjunctive.Power]]</f>
        <v>0.88034999999999997</v>
      </c>
      <c r="BH100" s="10">
        <f>Table1[[#This Row],[FWER]]</f>
        <v>0</v>
      </c>
      <c r="BI100" s="10">
        <f>_xlfn.NUMBERVALUE(MID(Table1[[#This Row],[CI_95perc_Global.Power]],2,FIND(",",Table1[[#This Row],[CI_95perc_Global.Power]])-2))</f>
        <v>0.87585000000000002</v>
      </c>
      <c r="BJ100" s="10">
        <f>_xlfn.NUMBERVALUE(MID(Table1[[#This Row],[CI_95perc_Global.Power]],FIND(",",Table1[[#This Row],[CI_95perc_Global.Power]])+1,LEN(Table1[[#This Row],[CI_95perc_Global.Power]])-FIND(",",Table1[[#This Row],[CI_95perc_Global.Power]])-1))</f>
        <v>0.88485000000000003</v>
      </c>
      <c r="BK100" s="10">
        <f>_xlfn.NUMBERVALUE(MID(Table1[[#This Row],[CI_95perc_Conjunctive.Power]],2,FIND(",",Table1[[#This Row],[CI_95perc_Conjunctive.Power]])-2))</f>
        <v>0.34916000000000003</v>
      </c>
      <c r="BL100" s="10">
        <f>_xlfn.NUMBERVALUE(MID(Table1[[#This Row],[CI_95perc_Conjunctive.Power]],FIND(",",Table1[[#This Row],[CI_95perc_Conjunctive.Power]])+1,LEN(Table1[[#This Row],[CI_95perc_Conjunctive.Power]])-FIND(",",Table1[[#This Row],[CI_95perc_Conjunctive.Power]])-1))</f>
        <v>0.36243999999999998</v>
      </c>
      <c r="BM100" s="10">
        <f>_xlfn.NUMBERVALUE(MID(Table1[[#This Row],[CI_95perc_Disjunctive.Power]],2,FIND(",",Table1[[#This Row],[CI_95perc_Disjunctive.Power]])-2))</f>
        <v>0.87585000000000002</v>
      </c>
      <c r="BN100" s="10">
        <f>_xlfn.NUMBERVALUE(MID(Table1[[#This Row],[CI_95perc_Disjunctive.Power]],FIND(",",Table1[[#This Row],[CI_95perc_Disjunctive.Power]])+1,LEN(Table1[[#This Row],[CI_95perc_Disjunctive.Power]])-FIND(",",Table1[[#This Row],[CI_95perc_Disjunctive.Power]])-1))</f>
        <v>0.88485000000000003</v>
      </c>
      <c r="BO100" s="10">
        <f>_xlfn.NUMBERVALUE(MID(Table1[[#This Row],[CI_95perc_FWER]],2,FIND(",",Table1[[#This Row],[CI_95perc_FWER]])-2))</f>
        <v>0</v>
      </c>
      <c r="BP100" s="10">
        <f>_xlfn.NUMBERVALUE(MID(Table1[[#This Row],[CI_95perc_FWER]],FIND(",",Table1[[#This Row],[CI_95perc_FWER]])+1,LEN(Table1[[#This Row],[CI_95perc_FWER]])-FIND(",",Table1[[#This Row],[CI_95perc_FWER]])-1))</f>
        <v>0</v>
      </c>
      <c r="BQ100" s="10" t="str">
        <f>_xlfn.CONCAT("(",TEXT(Table1[[#This Row],[LCL_Disj.Pow%]],"0.00%"), ", ",TEXT(Table1[[#This Row],[UCL_Disj.Pow%]],"0.00%"),")")</f>
        <v>(87.59%, 88.49%)</v>
      </c>
      <c r="BR100" s="10" t="str">
        <f>_xlfn.CONCAT("(",TEXT(Table1[[#This Row],[LCL_Conj.Pow%]],"0.00%"),", ",TEXT(Table1[[#This Row],[UCL_Conj.Pow%]],"0.00%"),")")</f>
        <v>(34.92%, 36.24%)</v>
      </c>
      <c r="BS100" s="10" t="str">
        <f>_xlfn.CONCAT("(",TEXT(Table1[[#This Row],[LCL_FWER%]],"0.00%"),", ",TEXT(Table1[[#This Row],[UCL_FWER%]],"0.00%"),")")</f>
        <v>(0.00%, 0.00%)</v>
      </c>
    </row>
    <row r="101" spans="1:71" x14ac:dyDescent="0.25">
      <c r="A101">
        <v>99</v>
      </c>
      <c r="B101" t="s">
        <v>616</v>
      </c>
      <c r="C101">
        <v>2882</v>
      </c>
      <c r="D101">
        <v>0.91933719999999997</v>
      </c>
      <c r="E101">
        <v>0.3700039</v>
      </c>
      <c r="F101">
        <v>0.91933719999999997</v>
      </c>
      <c r="G101">
        <v>0</v>
      </c>
      <c r="H101" t="s">
        <v>559</v>
      </c>
      <c r="I101" t="s">
        <v>560</v>
      </c>
      <c r="J101" t="s">
        <v>559</v>
      </c>
      <c r="K101" t="s">
        <v>83</v>
      </c>
      <c r="L101" s="1">
        <v>513013275</v>
      </c>
      <c r="M101" t="s">
        <v>561</v>
      </c>
      <c r="N101">
        <v>1.27636106749376</v>
      </c>
      <c r="O101" t="s">
        <v>85</v>
      </c>
      <c r="P101" t="s">
        <v>41</v>
      </c>
      <c r="Q101">
        <v>800</v>
      </c>
      <c r="R101">
        <v>2.5000000000000001E-2</v>
      </c>
      <c r="S101" t="s">
        <v>42</v>
      </c>
      <c r="T101" t="s">
        <v>42</v>
      </c>
      <c r="U101" t="s">
        <v>43</v>
      </c>
      <c r="V101" t="s">
        <v>44</v>
      </c>
      <c r="W101">
        <v>5</v>
      </c>
      <c r="X101">
        <v>2</v>
      </c>
      <c r="Y101" t="s">
        <v>118</v>
      </c>
      <c r="Z101" t="s">
        <v>42</v>
      </c>
      <c r="AA101" t="s">
        <v>42</v>
      </c>
      <c r="AB101" t="s">
        <v>130</v>
      </c>
      <c r="AC101" t="s">
        <v>122</v>
      </c>
      <c r="AD101" t="s">
        <v>120</v>
      </c>
      <c r="AE101" t="s">
        <v>124</v>
      </c>
      <c r="AF101" t="s">
        <v>125</v>
      </c>
      <c r="AG101" t="s">
        <v>51</v>
      </c>
      <c r="AH101" t="s">
        <v>52</v>
      </c>
      <c r="AI101" t="s">
        <v>53</v>
      </c>
      <c r="AJ101" t="b">
        <v>1</v>
      </c>
      <c r="AK101" t="b">
        <v>0</v>
      </c>
      <c r="AL101" t="s">
        <v>42</v>
      </c>
      <c r="AM101" t="s">
        <v>42</v>
      </c>
      <c r="AN101" t="s">
        <v>42</v>
      </c>
      <c r="AO101" t="s">
        <v>42</v>
      </c>
      <c r="AP101" t="s">
        <v>42</v>
      </c>
      <c r="AQ101" t="s">
        <v>42</v>
      </c>
      <c r="AR101" t="s">
        <v>54</v>
      </c>
      <c r="AS101">
        <v>20000</v>
      </c>
      <c r="AT101">
        <v>500</v>
      </c>
      <c r="AU101" t="s">
        <v>121</v>
      </c>
      <c r="AV101" t="b">
        <v>0</v>
      </c>
      <c r="AW101" t="b">
        <v>0</v>
      </c>
      <c r="AX101" t="b">
        <v>1</v>
      </c>
      <c r="AY101" t="b">
        <v>1</v>
      </c>
      <c r="BA101">
        <f>INDEX(Inp_CER_Bin_2eps3arms!$AN$2:$AN$176,MATCH(Table1[[#This Row],[ModelID]],Inp_CER_Bin_2eps3arms!$A$2:$A$176,0))</f>
        <v>0</v>
      </c>
      <c r="BC101" t="s">
        <v>618</v>
      </c>
      <c r="BD101" t="s">
        <v>632</v>
      </c>
      <c r="BE101" s="10">
        <f>Table1[[#This Row],[Global.Power]]</f>
        <v>0.91933719999999997</v>
      </c>
      <c r="BF101" s="10">
        <f>Table1[[#This Row],[Conjunctive.Power]]</f>
        <v>0.3700039</v>
      </c>
      <c r="BG101" s="10">
        <f>Table1[[#This Row],[Disjunctive.Power]]</f>
        <v>0.91933719999999997</v>
      </c>
      <c r="BH101" s="10">
        <f>Table1[[#This Row],[FWER]]</f>
        <v>0</v>
      </c>
      <c r="BI101" s="10">
        <f>_xlfn.NUMBERVALUE(MID(Table1[[#This Row],[CI_95perc_Global.Power]],2,FIND(",",Table1[[#This Row],[CI_95perc_Global.Power]])-2))</f>
        <v>0.91761999999999999</v>
      </c>
      <c r="BJ101" s="10">
        <f>_xlfn.NUMBERVALUE(MID(Table1[[#This Row],[CI_95perc_Global.Power]],FIND(",",Table1[[#This Row],[CI_95perc_Global.Power]])+1,LEN(Table1[[#This Row],[CI_95perc_Global.Power]])-FIND(",",Table1[[#This Row],[CI_95perc_Global.Power]])-1))</f>
        <v>0.92105000000000004</v>
      </c>
      <c r="BK101" s="10">
        <f>_xlfn.NUMBERVALUE(MID(Table1[[#This Row],[CI_95perc_Conjunctive.Power]],2,FIND(",",Table1[[#This Row],[CI_95perc_Conjunctive.Power]])-2))</f>
        <v>0.36647999999999997</v>
      </c>
      <c r="BL101" s="10">
        <f>_xlfn.NUMBERVALUE(MID(Table1[[#This Row],[CI_95perc_Conjunctive.Power]],FIND(",",Table1[[#This Row],[CI_95perc_Conjunctive.Power]])+1,LEN(Table1[[#This Row],[CI_95perc_Conjunctive.Power]])-FIND(",",Table1[[#This Row],[CI_95perc_Conjunctive.Power]])-1))</f>
        <v>0.37352999999999997</v>
      </c>
      <c r="BM101" s="10">
        <f>_xlfn.NUMBERVALUE(MID(Table1[[#This Row],[CI_95perc_Disjunctive.Power]],2,FIND(",",Table1[[#This Row],[CI_95perc_Disjunctive.Power]])-2))</f>
        <v>0.91761999999999999</v>
      </c>
      <c r="BN101" s="10">
        <f>_xlfn.NUMBERVALUE(MID(Table1[[#This Row],[CI_95perc_Disjunctive.Power]],FIND(",",Table1[[#This Row],[CI_95perc_Disjunctive.Power]])+1,LEN(Table1[[#This Row],[CI_95perc_Disjunctive.Power]])-FIND(",",Table1[[#This Row],[CI_95perc_Disjunctive.Power]])-1))</f>
        <v>0.92105000000000004</v>
      </c>
      <c r="BO101" s="10">
        <f>_xlfn.NUMBERVALUE(MID(Table1[[#This Row],[CI_95perc_FWER]],2,FIND(",",Table1[[#This Row],[CI_95perc_FWER]])-2))</f>
        <v>0</v>
      </c>
      <c r="BP101" s="10">
        <f>_xlfn.NUMBERVALUE(MID(Table1[[#This Row],[CI_95perc_FWER]],FIND(",",Table1[[#This Row],[CI_95perc_FWER]])+1,LEN(Table1[[#This Row],[CI_95perc_FWER]])-FIND(",",Table1[[#This Row],[CI_95perc_FWER]])-1))</f>
        <v>0</v>
      </c>
      <c r="BQ101" s="10" t="str">
        <f>_xlfn.CONCAT("(",TEXT(Table1[[#This Row],[LCL_Disj.Pow%]],"0.00%"), ", ",TEXT(Table1[[#This Row],[UCL_Disj.Pow%]],"0.00%"),")")</f>
        <v>(91.76%, 92.11%)</v>
      </c>
      <c r="BR101" s="10" t="str">
        <f>_xlfn.CONCAT("(",TEXT(Table1[[#This Row],[LCL_Conj.Pow%]],"0.00%"),", ",TEXT(Table1[[#This Row],[UCL_Conj.Pow%]],"0.00%"),")")</f>
        <v>(36.65%, 37.35%)</v>
      </c>
      <c r="BS101" s="10" t="str">
        <f>_xlfn.CONCAT("(",TEXT(Table1[[#This Row],[LCL_FWER%]],"0.00%"),", ",TEXT(Table1[[#This Row],[UCL_FWER%]],"0.00%"),")")</f>
        <v>(0.00%, 0.00%)</v>
      </c>
    </row>
    <row r="102" spans="1:71" x14ac:dyDescent="0.25">
      <c r="A102">
        <v>100</v>
      </c>
      <c r="B102" t="s">
        <v>562</v>
      </c>
      <c r="C102">
        <v>4273</v>
      </c>
      <c r="D102">
        <v>0.88160000000000005</v>
      </c>
      <c r="E102">
        <v>0.35575000000000001</v>
      </c>
      <c r="F102">
        <v>0.88160000000000005</v>
      </c>
      <c r="G102">
        <v>0</v>
      </c>
      <c r="H102" t="s">
        <v>563</v>
      </c>
      <c r="I102" t="s">
        <v>564</v>
      </c>
      <c r="J102" t="s">
        <v>563</v>
      </c>
      <c r="K102" t="s">
        <v>83</v>
      </c>
      <c r="L102" s="1">
        <v>508512547</v>
      </c>
      <c r="M102" t="s">
        <v>565</v>
      </c>
      <c r="N102">
        <v>9.8245539466539994E-2</v>
      </c>
      <c r="O102" t="s">
        <v>85</v>
      </c>
      <c r="P102" t="s">
        <v>117</v>
      </c>
      <c r="Q102">
        <v>800</v>
      </c>
      <c r="R102">
        <v>2.5000000000000001E-2</v>
      </c>
      <c r="S102" t="s">
        <v>42</v>
      </c>
      <c r="T102" t="s">
        <v>42</v>
      </c>
      <c r="U102" t="s">
        <v>43</v>
      </c>
      <c r="V102" t="s">
        <v>44</v>
      </c>
      <c r="W102">
        <v>5</v>
      </c>
      <c r="X102">
        <v>2</v>
      </c>
      <c r="Y102" t="s">
        <v>118</v>
      </c>
      <c r="Z102" t="s">
        <v>42</v>
      </c>
      <c r="AA102" t="s">
        <v>42</v>
      </c>
      <c r="AB102" t="s">
        <v>130</v>
      </c>
      <c r="AC102" t="s">
        <v>122</v>
      </c>
      <c r="AD102" t="s">
        <v>123</v>
      </c>
      <c r="AE102" t="s">
        <v>124</v>
      </c>
      <c r="AF102" t="s">
        <v>125</v>
      </c>
      <c r="AG102" t="s">
        <v>51</v>
      </c>
      <c r="AH102" t="s">
        <v>126</v>
      </c>
      <c r="AI102" t="s">
        <v>53</v>
      </c>
      <c r="AJ102" t="b">
        <v>1</v>
      </c>
      <c r="AK102" t="b">
        <v>1</v>
      </c>
      <c r="AL102">
        <v>1</v>
      </c>
      <c r="AM102">
        <v>1</v>
      </c>
      <c r="AN102" t="s">
        <v>56</v>
      </c>
      <c r="AO102" t="s">
        <v>57</v>
      </c>
      <c r="AP102">
        <v>0.75</v>
      </c>
      <c r="AQ102" t="b">
        <v>1</v>
      </c>
      <c r="AR102" t="s">
        <v>23</v>
      </c>
      <c r="AS102">
        <v>20000</v>
      </c>
      <c r="AT102">
        <v>500</v>
      </c>
      <c r="AU102" t="s">
        <v>121</v>
      </c>
      <c r="AV102" t="b">
        <v>0</v>
      </c>
      <c r="AW102" t="b">
        <v>0</v>
      </c>
      <c r="AX102" t="b">
        <v>1</v>
      </c>
      <c r="AY102" t="b">
        <v>1</v>
      </c>
      <c r="BA102">
        <f>INDEX(Inp_CER_Bin_2eps3arms!$AN$2:$AN$176,MATCH(Table1[[#This Row],[ModelID]],Inp_CER_Bin_2eps3arms!$A$2:$A$176,0))</f>
        <v>0</v>
      </c>
      <c r="BC102" t="s">
        <v>619</v>
      </c>
      <c r="BD102" t="s">
        <v>632</v>
      </c>
      <c r="BE102" s="10">
        <f>Table1[[#This Row],[Global.Power]]</f>
        <v>0.88160000000000005</v>
      </c>
      <c r="BF102" s="10">
        <f>Table1[[#This Row],[Conjunctive.Power]]</f>
        <v>0.35575000000000001</v>
      </c>
      <c r="BG102" s="10">
        <f>Table1[[#This Row],[Disjunctive.Power]]</f>
        <v>0.88160000000000005</v>
      </c>
      <c r="BH102" s="10">
        <f>Table1[[#This Row],[FWER]]</f>
        <v>0</v>
      </c>
      <c r="BI102" s="10">
        <f>_xlfn.NUMBERVALUE(MID(Table1[[#This Row],[CI_95perc_Global.Power]],2,FIND(",",Table1[[#This Row],[CI_95perc_Global.Power]])-2))</f>
        <v>0.87712000000000001</v>
      </c>
      <c r="BJ102" s="10">
        <f>_xlfn.NUMBERVALUE(MID(Table1[[#This Row],[CI_95perc_Global.Power]],FIND(",",Table1[[#This Row],[CI_95perc_Global.Power]])+1,LEN(Table1[[#This Row],[CI_95perc_Global.Power]])-FIND(",",Table1[[#This Row],[CI_95perc_Global.Power]])-1))</f>
        <v>0.88607999999999998</v>
      </c>
      <c r="BK102" s="10">
        <f>_xlfn.NUMBERVALUE(MID(Table1[[#This Row],[CI_95perc_Conjunctive.Power]],2,FIND(",",Table1[[#This Row],[CI_95perc_Conjunctive.Power]])-2))</f>
        <v>0.34911999999999999</v>
      </c>
      <c r="BL102" s="10">
        <f>_xlfn.NUMBERVALUE(MID(Table1[[#This Row],[CI_95perc_Conjunctive.Power]],FIND(",",Table1[[#This Row],[CI_95perc_Conjunctive.Power]])+1,LEN(Table1[[#This Row],[CI_95perc_Conjunctive.Power]])-FIND(",",Table1[[#This Row],[CI_95perc_Conjunctive.Power]])-1))</f>
        <v>0.36237999999999998</v>
      </c>
      <c r="BM102" s="10">
        <f>_xlfn.NUMBERVALUE(MID(Table1[[#This Row],[CI_95perc_Disjunctive.Power]],2,FIND(",",Table1[[#This Row],[CI_95perc_Disjunctive.Power]])-2))</f>
        <v>0.87712000000000001</v>
      </c>
      <c r="BN102" s="10">
        <f>_xlfn.NUMBERVALUE(MID(Table1[[#This Row],[CI_95perc_Disjunctive.Power]],FIND(",",Table1[[#This Row],[CI_95perc_Disjunctive.Power]])+1,LEN(Table1[[#This Row],[CI_95perc_Disjunctive.Power]])-FIND(",",Table1[[#This Row],[CI_95perc_Disjunctive.Power]])-1))</f>
        <v>0.88607999999999998</v>
      </c>
      <c r="BO102" s="10">
        <f>_xlfn.NUMBERVALUE(MID(Table1[[#This Row],[CI_95perc_FWER]],2,FIND(",",Table1[[#This Row],[CI_95perc_FWER]])-2))</f>
        <v>0</v>
      </c>
      <c r="BP102" s="10">
        <f>_xlfn.NUMBERVALUE(MID(Table1[[#This Row],[CI_95perc_FWER]],FIND(",",Table1[[#This Row],[CI_95perc_FWER]])+1,LEN(Table1[[#This Row],[CI_95perc_FWER]])-FIND(",",Table1[[#This Row],[CI_95perc_FWER]])-1))</f>
        <v>0</v>
      </c>
      <c r="BQ102" s="10" t="str">
        <f>_xlfn.CONCAT("(",TEXT(Table1[[#This Row],[LCL_Disj.Pow%]],"0.00%"), ", ",TEXT(Table1[[#This Row],[UCL_Disj.Pow%]],"0.00%"),")")</f>
        <v>(87.71%, 88.61%)</v>
      </c>
      <c r="BR102" s="10" t="str">
        <f>_xlfn.CONCAT("(",TEXT(Table1[[#This Row],[LCL_Conj.Pow%]],"0.00%"),", ",TEXT(Table1[[#This Row],[UCL_Conj.Pow%]],"0.00%"),")")</f>
        <v>(34.91%, 36.24%)</v>
      </c>
      <c r="BS102" s="10" t="str">
        <f>_xlfn.CONCAT("(",TEXT(Table1[[#This Row],[LCL_FWER%]],"0.00%"),", ",TEXT(Table1[[#This Row],[UCL_FWER%]],"0.00%"),")")</f>
        <v>(0.00%, 0.00%)</v>
      </c>
    </row>
    <row r="103" spans="1:71" x14ac:dyDescent="0.25">
      <c r="A103">
        <v>101</v>
      </c>
      <c r="B103" t="s">
        <v>566</v>
      </c>
      <c r="C103">
        <v>7777</v>
      </c>
      <c r="D103">
        <v>0.91982929999999996</v>
      </c>
      <c r="E103">
        <v>0.37047409999999997</v>
      </c>
      <c r="F103">
        <v>0.91982929999999996</v>
      </c>
      <c r="G103">
        <v>0</v>
      </c>
      <c r="H103" t="s">
        <v>567</v>
      </c>
      <c r="I103" t="s">
        <v>568</v>
      </c>
      <c r="J103" t="s">
        <v>567</v>
      </c>
      <c r="K103" t="s">
        <v>83</v>
      </c>
      <c r="L103" s="1">
        <v>504113379</v>
      </c>
      <c r="M103" t="s">
        <v>569</v>
      </c>
      <c r="N103">
        <v>1.12114445779059</v>
      </c>
      <c r="O103" t="s">
        <v>85</v>
      </c>
      <c r="P103" t="s">
        <v>41</v>
      </c>
      <c r="Q103">
        <v>800</v>
      </c>
      <c r="R103">
        <v>2.5000000000000001E-2</v>
      </c>
      <c r="S103" t="s">
        <v>42</v>
      </c>
      <c r="T103" t="s">
        <v>42</v>
      </c>
      <c r="U103" t="s">
        <v>43</v>
      </c>
      <c r="V103" t="s">
        <v>44</v>
      </c>
      <c r="W103">
        <v>5</v>
      </c>
      <c r="X103">
        <v>2</v>
      </c>
      <c r="Y103" t="s">
        <v>118</v>
      </c>
      <c r="Z103" t="s">
        <v>42</v>
      </c>
      <c r="AA103" t="s">
        <v>42</v>
      </c>
      <c r="AB103" t="s">
        <v>130</v>
      </c>
      <c r="AC103" t="s">
        <v>122</v>
      </c>
      <c r="AD103" t="s">
        <v>123</v>
      </c>
      <c r="AE103" t="s">
        <v>124</v>
      </c>
      <c r="AF103" t="s">
        <v>125</v>
      </c>
      <c r="AG103" t="s">
        <v>51</v>
      </c>
      <c r="AH103" t="s">
        <v>126</v>
      </c>
      <c r="AI103" t="s">
        <v>53</v>
      </c>
      <c r="AJ103" t="b">
        <v>1</v>
      </c>
      <c r="AK103" t="b">
        <v>1</v>
      </c>
      <c r="AL103">
        <v>1</v>
      </c>
      <c r="AM103">
        <v>1</v>
      </c>
      <c r="AN103" t="s">
        <v>56</v>
      </c>
      <c r="AO103" t="s">
        <v>57</v>
      </c>
      <c r="AP103">
        <v>0.75</v>
      </c>
      <c r="AQ103" t="b">
        <v>1</v>
      </c>
      <c r="AR103" t="s">
        <v>23</v>
      </c>
      <c r="AS103">
        <v>20000</v>
      </c>
      <c r="AT103">
        <v>500</v>
      </c>
      <c r="AU103" t="s">
        <v>121</v>
      </c>
      <c r="AV103" t="b">
        <v>0</v>
      </c>
      <c r="AW103" t="b">
        <v>0</v>
      </c>
      <c r="AX103" t="b">
        <v>1</v>
      </c>
      <c r="AY103" t="b">
        <v>1</v>
      </c>
      <c r="BA103">
        <f>INDEX(Inp_CER_Bin_2eps3arms!$AN$2:$AN$176,MATCH(Table1[[#This Row],[ModelID]],Inp_CER_Bin_2eps3arms!$A$2:$A$176,0))</f>
        <v>0</v>
      </c>
      <c r="BC103" t="s">
        <v>619</v>
      </c>
      <c r="BD103" t="s">
        <v>632</v>
      </c>
      <c r="BE103" s="10">
        <f>Table1[[#This Row],[Global.Power]]</f>
        <v>0.91982929999999996</v>
      </c>
      <c r="BF103" s="10">
        <f>Table1[[#This Row],[Conjunctive.Power]]</f>
        <v>0.37047409999999997</v>
      </c>
      <c r="BG103" s="10">
        <f>Table1[[#This Row],[Disjunctive.Power]]</f>
        <v>0.91982929999999996</v>
      </c>
      <c r="BH103" s="10">
        <f>Table1[[#This Row],[FWER]]</f>
        <v>0</v>
      </c>
      <c r="BI103" s="10">
        <f>_xlfn.NUMBERVALUE(MID(Table1[[#This Row],[CI_95perc_Global.Power]],2,FIND(",",Table1[[#This Row],[CI_95perc_Global.Power]])-2))</f>
        <v>0.91813999999999996</v>
      </c>
      <c r="BJ103" s="10">
        <f>_xlfn.NUMBERVALUE(MID(Table1[[#This Row],[CI_95perc_Global.Power]],FIND(",",Table1[[#This Row],[CI_95perc_Global.Power]])+1,LEN(Table1[[#This Row],[CI_95perc_Global.Power]])-FIND(",",Table1[[#This Row],[CI_95perc_Global.Power]])-1))</f>
        <v>0.92152000000000001</v>
      </c>
      <c r="BK103" s="10">
        <f>_xlfn.NUMBERVALUE(MID(Table1[[#This Row],[CI_95perc_Conjunctive.Power]],2,FIND(",",Table1[[#This Row],[CI_95perc_Conjunctive.Power]])-2))</f>
        <v>0.36697000000000002</v>
      </c>
      <c r="BL103" s="10">
        <f>_xlfn.NUMBERVALUE(MID(Table1[[#This Row],[CI_95perc_Conjunctive.Power]],FIND(",",Table1[[#This Row],[CI_95perc_Conjunctive.Power]])+1,LEN(Table1[[#This Row],[CI_95perc_Conjunctive.Power]])-FIND(",",Table1[[#This Row],[CI_95perc_Conjunctive.Power]])-1))</f>
        <v>0.37397000000000002</v>
      </c>
      <c r="BM103" s="10">
        <f>_xlfn.NUMBERVALUE(MID(Table1[[#This Row],[CI_95perc_Disjunctive.Power]],2,FIND(",",Table1[[#This Row],[CI_95perc_Disjunctive.Power]])-2))</f>
        <v>0.91813999999999996</v>
      </c>
      <c r="BN103" s="10">
        <f>_xlfn.NUMBERVALUE(MID(Table1[[#This Row],[CI_95perc_Disjunctive.Power]],FIND(",",Table1[[#This Row],[CI_95perc_Disjunctive.Power]])+1,LEN(Table1[[#This Row],[CI_95perc_Disjunctive.Power]])-FIND(",",Table1[[#This Row],[CI_95perc_Disjunctive.Power]])-1))</f>
        <v>0.92152000000000001</v>
      </c>
      <c r="BO103" s="10">
        <f>_xlfn.NUMBERVALUE(MID(Table1[[#This Row],[CI_95perc_FWER]],2,FIND(",",Table1[[#This Row],[CI_95perc_FWER]])-2))</f>
        <v>0</v>
      </c>
      <c r="BP103" s="10">
        <f>_xlfn.NUMBERVALUE(MID(Table1[[#This Row],[CI_95perc_FWER]],FIND(",",Table1[[#This Row],[CI_95perc_FWER]])+1,LEN(Table1[[#This Row],[CI_95perc_FWER]])-FIND(",",Table1[[#This Row],[CI_95perc_FWER]])-1))</f>
        <v>0</v>
      </c>
      <c r="BQ103" s="10" t="str">
        <f>_xlfn.CONCAT("(",TEXT(Table1[[#This Row],[LCL_Disj.Pow%]],"0.00%"), ", ",TEXT(Table1[[#This Row],[UCL_Disj.Pow%]],"0.00%"),")")</f>
        <v>(91.81%, 92.15%)</v>
      </c>
      <c r="BR103" s="10" t="str">
        <f>_xlfn.CONCAT("(",TEXT(Table1[[#This Row],[LCL_Conj.Pow%]],"0.00%"),", ",TEXT(Table1[[#This Row],[UCL_Conj.Pow%]],"0.00%"),")")</f>
        <v>(36.70%, 37.40%)</v>
      </c>
      <c r="BS103" s="10" t="str">
        <f>_xlfn.CONCAT("(",TEXT(Table1[[#This Row],[LCL_FWER%]],"0.00%"),", ",TEXT(Table1[[#This Row],[UCL_FWER%]],"0.00%"),")")</f>
        <v>(0.00%, 0.00%)</v>
      </c>
    </row>
    <row r="104" spans="1:71" x14ac:dyDescent="0.25">
      <c r="A104">
        <v>102</v>
      </c>
      <c r="B104" t="s">
        <v>570</v>
      </c>
      <c r="C104">
        <v>8114</v>
      </c>
      <c r="D104">
        <v>0.88660000000000005</v>
      </c>
      <c r="E104">
        <v>0.35620000000000002</v>
      </c>
      <c r="F104">
        <v>0.88660000000000005</v>
      </c>
      <c r="G104">
        <v>0</v>
      </c>
      <c r="H104" t="s">
        <v>571</v>
      </c>
      <c r="I104" t="s">
        <v>572</v>
      </c>
      <c r="J104" t="s">
        <v>571</v>
      </c>
      <c r="K104" t="s">
        <v>83</v>
      </c>
      <c r="L104" s="1">
        <v>504412688</v>
      </c>
      <c r="M104" t="s">
        <v>573</v>
      </c>
      <c r="N104">
        <v>0.105067814721002</v>
      </c>
      <c r="O104" t="s">
        <v>85</v>
      </c>
      <c r="P104" t="s">
        <v>117</v>
      </c>
      <c r="Q104">
        <v>800</v>
      </c>
      <c r="R104">
        <v>2.5000000000000001E-2</v>
      </c>
      <c r="S104" t="s">
        <v>42</v>
      </c>
      <c r="T104" t="s">
        <v>42</v>
      </c>
      <c r="U104" t="s">
        <v>43</v>
      </c>
      <c r="V104" t="s">
        <v>44</v>
      </c>
      <c r="W104">
        <v>5</v>
      </c>
      <c r="X104">
        <v>2</v>
      </c>
      <c r="Y104" t="s">
        <v>118</v>
      </c>
      <c r="Z104" t="s">
        <v>42</v>
      </c>
      <c r="AA104" t="s">
        <v>42</v>
      </c>
      <c r="AB104" t="s">
        <v>130</v>
      </c>
      <c r="AC104" t="s">
        <v>122</v>
      </c>
      <c r="AD104" t="s">
        <v>123</v>
      </c>
      <c r="AE104" t="s">
        <v>124</v>
      </c>
      <c r="AF104" t="s">
        <v>125</v>
      </c>
      <c r="AG104" t="s">
        <v>51</v>
      </c>
      <c r="AH104" t="s">
        <v>126</v>
      </c>
      <c r="AI104" t="s">
        <v>53</v>
      </c>
      <c r="AJ104" t="b">
        <v>1</v>
      </c>
      <c r="AK104" t="b">
        <v>1</v>
      </c>
      <c r="AL104">
        <v>1</v>
      </c>
      <c r="AM104">
        <v>1</v>
      </c>
      <c r="AN104" t="s">
        <v>56</v>
      </c>
      <c r="AO104" t="s">
        <v>57</v>
      </c>
      <c r="AP104">
        <v>0.5</v>
      </c>
      <c r="AQ104" t="b">
        <v>1</v>
      </c>
      <c r="AR104" t="s">
        <v>23</v>
      </c>
      <c r="AS104">
        <v>20000</v>
      </c>
      <c r="AT104">
        <v>500</v>
      </c>
      <c r="AU104" t="s">
        <v>121</v>
      </c>
      <c r="AV104" t="b">
        <v>0</v>
      </c>
      <c r="AW104" t="b">
        <v>0</v>
      </c>
      <c r="AX104" t="b">
        <v>1</v>
      </c>
      <c r="AY104" t="b">
        <v>1</v>
      </c>
      <c r="BA104">
        <f>INDEX(Inp_CER_Bin_2eps3arms!$AN$2:$AN$176,MATCH(Table1[[#This Row],[ModelID]],Inp_CER_Bin_2eps3arms!$A$2:$A$176,0))</f>
        <v>0</v>
      </c>
      <c r="BC104" t="s">
        <v>622</v>
      </c>
      <c r="BD104" t="s">
        <v>632</v>
      </c>
      <c r="BE104" s="10">
        <f>Table1[[#This Row],[Global.Power]]</f>
        <v>0.88660000000000005</v>
      </c>
      <c r="BF104" s="10">
        <f>Table1[[#This Row],[Conjunctive.Power]]</f>
        <v>0.35620000000000002</v>
      </c>
      <c r="BG104" s="10">
        <f>Table1[[#This Row],[Disjunctive.Power]]</f>
        <v>0.88660000000000005</v>
      </c>
      <c r="BH104" s="10">
        <f>Table1[[#This Row],[FWER]]</f>
        <v>0</v>
      </c>
      <c r="BI104" s="10">
        <f>_xlfn.NUMBERVALUE(MID(Table1[[#This Row],[CI_95perc_Global.Power]],2,FIND(",",Table1[[#This Row],[CI_95perc_Global.Power]])-2))</f>
        <v>0.88221000000000005</v>
      </c>
      <c r="BJ104" s="10">
        <f>_xlfn.NUMBERVALUE(MID(Table1[[#This Row],[CI_95perc_Global.Power]],FIND(",",Table1[[#This Row],[CI_95perc_Global.Power]])+1,LEN(Table1[[#This Row],[CI_95perc_Global.Power]])-FIND(",",Table1[[#This Row],[CI_95perc_Global.Power]])-1))</f>
        <v>0.89098999999999995</v>
      </c>
      <c r="BK104" s="10">
        <f>_xlfn.NUMBERVALUE(MID(Table1[[#This Row],[CI_95perc_Conjunctive.Power]],2,FIND(",",Table1[[#This Row],[CI_95perc_Conjunctive.Power]])-2))</f>
        <v>0.34955999999999998</v>
      </c>
      <c r="BL104" s="10">
        <f>_xlfn.NUMBERVALUE(MID(Table1[[#This Row],[CI_95perc_Conjunctive.Power]],FIND(",",Table1[[#This Row],[CI_95perc_Conjunctive.Power]])+1,LEN(Table1[[#This Row],[CI_95perc_Conjunctive.Power]])-FIND(",",Table1[[#This Row],[CI_95perc_Conjunctive.Power]])-1))</f>
        <v>0.36284</v>
      </c>
      <c r="BM104" s="10">
        <f>_xlfn.NUMBERVALUE(MID(Table1[[#This Row],[CI_95perc_Disjunctive.Power]],2,FIND(",",Table1[[#This Row],[CI_95perc_Disjunctive.Power]])-2))</f>
        <v>0.88221000000000005</v>
      </c>
      <c r="BN104" s="10">
        <f>_xlfn.NUMBERVALUE(MID(Table1[[#This Row],[CI_95perc_Disjunctive.Power]],FIND(",",Table1[[#This Row],[CI_95perc_Disjunctive.Power]])+1,LEN(Table1[[#This Row],[CI_95perc_Disjunctive.Power]])-FIND(",",Table1[[#This Row],[CI_95perc_Disjunctive.Power]])-1))</f>
        <v>0.89098999999999995</v>
      </c>
      <c r="BO104" s="10">
        <f>_xlfn.NUMBERVALUE(MID(Table1[[#This Row],[CI_95perc_FWER]],2,FIND(",",Table1[[#This Row],[CI_95perc_FWER]])-2))</f>
        <v>0</v>
      </c>
      <c r="BP104" s="10">
        <f>_xlfn.NUMBERVALUE(MID(Table1[[#This Row],[CI_95perc_FWER]],FIND(",",Table1[[#This Row],[CI_95perc_FWER]])+1,LEN(Table1[[#This Row],[CI_95perc_FWER]])-FIND(",",Table1[[#This Row],[CI_95perc_FWER]])-1))</f>
        <v>0</v>
      </c>
      <c r="BQ104" s="10" t="str">
        <f>_xlfn.CONCAT("(",TEXT(Table1[[#This Row],[LCL_Disj.Pow%]],"0.00%"), ", ",TEXT(Table1[[#This Row],[UCL_Disj.Pow%]],"0.00%"),")")</f>
        <v>(88.22%, 89.10%)</v>
      </c>
      <c r="BR104" s="10" t="str">
        <f>_xlfn.CONCAT("(",TEXT(Table1[[#This Row],[LCL_Conj.Pow%]],"0.00%"),", ",TEXT(Table1[[#This Row],[UCL_Conj.Pow%]],"0.00%"),")")</f>
        <v>(34.96%, 36.28%)</v>
      </c>
      <c r="BS104" s="10" t="str">
        <f>_xlfn.CONCAT("(",TEXT(Table1[[#This Row],[LCL_FWER%]],"0.00%"),", ",TEXT(Table1[[#This Row],[UCL_FWER%]],"0.00%"),")")</f>
        <v>(0.00%, 0.00%)</v>
      </c>
    </row>
    <row r="105" spans="1:71" x14ac:dyDescent="0.25">
      <c r="A105">
        <v>103</v>
      </c>
      <c r="B105" t="s">
        <v>574</v>
      </c>
      <c r="C105">
        <v>2129</v>
      </c>
      <c r="D105">
        <v>0.92400499999999997</v>
      </c>
      <c r="E105">
        <v>0.36783929999999998</v>
      </c>
      <c r="F105">
        <v>0.92400499999999997</v>
      </c>
      <c r="G105">
        <v>0</v>
      </c>
      <c r="H105" t="s">
        <v>575</v>
      </c>
      <c r="I105" t="s">
        <v>576</v>
      </c>
      <c r="J105" t="s">
        <v>575</v>
      </c>
      <c r="K105" t="s">
        <v>83</v>
      </c>
      <c r="L105" s="1">
        <v>512713370</v>
      </c>
      <c r="M105" t="s">
        <v>577</v>
      </c>
      <c r="N105">
        <v>1.0715988314151801</v>
      </c>
      <c r="O105" t="s">
        <v>85</v>
      </c>
      <c r="P105" t="s">
        <v>41</v>
      </c>
      <c r="Q105">
        <v>800</v>
      </c>
      <c r="R105">
        <v>2.5000000000000001E-2</v>
      </c>
      <c r="S105" t="s">
        <v>42</v>
      </c>
      <c r="T105" t="s">
        <v>42</v>
      </c>
      <c r="U105" t="s">
        <v>43</v>
      </c>
      <c r="V105" t="s">
        <v>44</v>
      </c>
      <c r="W105">
        <v>5</v>
      </c>
      <c r="X105">
        <v>2</v>
      </c>
      <c r="Y105" t="s">
        <v>118</v>
      </c>
      <c r="Z105" t="s">
        <v>42</v>
      </c>
      <c r="AA105" t="s">
        <v>42</v>
      </c>
      <c r="AB105" t="s">
        <v>130</v>
      </c>
      <c r="AC105" t="s">
        <v>122</v>
      </c>
      <c r="AD105" t="s">
        <v>123</v>
      </c>
      <c r="AE105" t="s">
        <v>124</v>
      </c>
      <c r="AF105" t="s">
        <v>125</v>
      </c>
      <c r="AG105" t="s">
        <v>51</v>
      </c>
      <c r="AH105" t="s">
        <v>126</v>
      </c>
      <c r="AI105" t="s">
        <v>53</v>
      </c>
      <c r="AJ105" t="b">
        <v>1</v>
      </c>
      <c r="AK105" t="b">
        <v>1</v>
      </c>
      <c r="AL105">
        <v>1</v>
      </c>
      <c r="AM105">
        <v>1</v>
      </c>
      <c r="AN105" t="s">
        <v>56</v>
      </c>
      <c r="AO105" t="s">
        <v>57</v>
      </c>
      <c r="AP105">
        <v>0.5</v>
      </c>
      <c r="AQ105" t="b">
        <v>1</v>
      </c>
      <c r="AR105" t="s">
        <v>23</v>
      </c>
      <c r="AS105">
        <v>20000</v>
      </c>
      <c r="AT105">
        <v>500</v>
      </c>
      <c r="AU105" t="s">
        <v>121</v>
      </c>
      <c r="AV105" t="b">
        <v>0</v>
      </c>
      <c r="AW105" t="b">
        <v>0</v>
      </c>
      <c r="AX105" t="b">
        <v>1</v>
      </c>
      <c r="AY105" t="b">
        <v>1</v>
      </c>
      <c r="BA105">
        <f>INDEX(Inp_CER_Bin_2eps3arms!$AN$2:$AN$176,MATCH(Table1[[#This Row],[ModelID]],Inp_CER_Bin_2eps3arms!$A$2:$A$176,0))</f>
        <v>0</v>
      </c>
      <c r="BC105" t="s">
        <v>622</v>
      </c>
      <c r="BD105" t="s">
        <v>632</v>
      </c>
      <c r="BE105" s="10">
        <f>Table1[[#This Row],[Global.Power]]</f>
        <v>0.92400499999999997</v>
      </c>
      <c r="BF105" s="10">
        <f>Table1[[#This Row],[Conjunctive.Power]]</f>
        <v>0.36783929999999998</v>
      </c>
      <c r="BG105" s="10">
        <f>Table1[[#This Row],[Disjunctive.Power]]</f>
        <v>0.92400499999999997</v>
      </c>
      <c r="BH105" s="10">
        <f>Table1[[#This Row],[FWER]]</f>
        <v>0</v>
      </c>
      <c r="BI105" s="10">
        <f>_xlfn.NUMBERVALUE(MID(Table1[[#This Row],[CI_95perc_Global.Power]],2,FIND(",",Table1[[#This Row],[CI_95perc_Global.Power]])-2))</f>
        <v>0.92244999999999999</v>
      </c>
      <c r="BJ105" s="10">
        <f>_xlfn.NUMBERVALUE(MID(Table1[[#This Row],[CI_95perc_Global.Power]],FIND(",",Table1[[#This Row],[CI_95perc_Global.Power]])+1,LEN(Table1[[#This Row],[CI_95perc_Global.Power]])-FIND(",",Table1[[#This Row],[CI_95perc_Global.Power]])-1))</f>
        <v>0.92556000000000005</v>
      </c>
      <c r="BK105" s="10">
        <f>_xlfn.NUMBERVALUE(MID(Table1[[#This Row],[CI_95perc_Conjunctive.Power]],2,FIND(",",Table1[[#This Row],[CI_95perc_Conjunctive.Power]])-2))</f>
        <v>0.36430000000000001</v>
      </c>
      <c r="BL105" s="10">
        <f>_xlfn.NUMBERVALUE(MID(Table1[[#This Row],[CI_95perc_Conjunctive.Power]],FIND(",",Table1[[#This Row],[CI_95perc_Conjunctive.Power]])+1,LEN(Table1[[#This Row],[CI_95perc_Conjunctive.Power]])-FIND(",",Table1[[#This Row],[CI_95perc_Conjunctive.Power]])-1))</f>
        <v>0.37136999999999998</v>
      </c>
      <c r="BM105" s="10">
        <f>_xlfn.NUMBERVALUE(MID(Table1[[#This Row],[CI_95perc_Disjunctive.Power]],2,FIND(",",Table1[[#This Row],[CI_95perc_Disjunctive.Power]])-2))</f>
        <v>0.92244999999999999</v>
      </c>
      <c r="BN105" s="10">
        <f>_xlfn.NUMBERVALUE(MID(Table1[[#This Row],[CI_95perc_Disjunctive.Power]],FIND(",",Table1[[#This Row],[CI_95perc_Disjunctive.Power]])+1,LEN(Table1[[#This Row],[CI_95perc_Disjunctive.Power]])-FIND(",",Table1[[#This Row],[CI_95perc_Disjunctive.Power]])-1))</f>
        <v>0.92556000000000005</v>
      </c>
      <c r="BO105" s="10">
        <f>_xlfn.NUMBERVALUE(MID(Table1[[#This Row],[CI_95perc_FWER]],2,FIND(",",Table1[[#This Row],[CI_95perc_FWER]])-2))</f>
        <v>0</v>
      </c>
      <c r="BP105" s="10">
        <f>_xlfn.NUMBERVALUE(MID(Table1[[#This Row],[CI_95perc_FWER]],FIND(",",Table1[[#This Row],[CI_95perc_FWER]])+1,LEN(Table1[[#This Row],[CI_95perc_FWER]])-FIND(",",Table1[[#This Row],[CI_95perc_FWER]])-1))</f>
        <v>0</v>
      </c>
      <c r="BQ105" s="10" t="str">
        <f>_xlfn.CONCAT("(",TEXT(Table1[[#This Row],[LCL_Disj.Pow%]],"0.00%"), ", ",TEXT(Table1[[#This Row],[UCL_Disj.Pow%]],"0.00%"),")")</f>
        <v>(92.25%, 92.56%)</v>
      </c>
      <c r="BR105" s="10" t="str">
        <f>_xlfn.CONCAT("(",TEXT(Table1[[#This Row],[LCL_Conj.Pow%]],"0.00%"),", ",TEXT(Table1[[#This Row],[UCL_Conj.Pow%]],"0.00%"),")")</f>
        <v>(36.43%, 37.14%)</v>
      </c>
      <c r="BS105" s="10" t="str">
        <f>_xlfn.CONCAT("(",TEXT(Table1[[#This Row],[LCL_FWER%]],"0.00%"),", ",TEXT(Table1[[#This Row],[UCL_FWER%]],"0.00%"),")")</f>
        <v>(0.00%, 0.00%)</v>
      </c>
    </row>
    <row r="106" spans="1:71" x14ac:dyDescent="0.25">
      <c r="A106">
        <v>104</v>
      </c>
      <c r="B106" t="s">
        <v>578</v>
      </c>
      <c r="C106">
        <v>560</v>
      </c>
      <c r="D106">
        <v>0.91300000000000003</v>
      </c>
      <c r="E106">
        <v>0.33150000000000002</v>
      </c>
      <c r="F106">
        <v>0.91300000000000003</v>
      </c>
      <c r="G106">
        <v>0</v>
      </c>
      <c r="H106" t="s">
        <v>579</v>
      </c>
      <c r="I106" t="s">
        <v>580</v>
      </c>
      <c r="J106" t="s">
        <v>579</v>
      </c>
      <c r="K106" t="s">
        <v>83</v>
      </c>
      <c r="L106" s="1">
        <v>510813152</v>
      </c>
      <c r="M106" t="s">
        <v>581</v>
      </c>
      <c r="N106">
        <v>9.7733571728070595E-2</v>
      </c>
      <c r="O106" t="s">
        <v>85</v>
      </c>
      <c r="P106" t="s">
        <v>117</v>
      </c>
      <c r="Q106">
        <v>800</v>
      </c>
      <c r="R106">
        <v>2.5000000000000001E-2</v>
      </c>
      <c r="S106" t="s">
        <v>42</v>
      </c>
      <c r="T106" t="s">
        <v>42</v>
      </c>
      <c r="U106" t="s">
        <v>43</v>
      </c>
      <c r="V106" t="s">
        <v>44</v>
      </c>
      <c r="W106">
        <v>5</v>
      </c>
      <c r="X106">
        <v>2</v>
      </c>
      <c r="Y106" t="s">
        <v>118</v>
      </c>
      <c r="Z106" t="s">
        <v>42</v>
      </c>
      <c r="AA106" t="s">
        <v>42</v>
      </c>
      <c r="AB106" t="s">
        <v>130</v>
      </c>
      <c r="AC106" t="s">
        <v>122</v>
      </c>
      <c r="AD106" t="s">
        <v>123</v>
      </c>
      <c r="AE106" t="s">
        <v>124</v>
      </c>
      <c r="AF106" t="s">
        <v>125</v>
      </c>
      <c r="AG106" t="s">
        <v>51</v>
      </c>
      <c r="AH106" t="s">
        <v>126</v>
      </c>
      <c r="AI106" t="s">
        <v>53</v>
      </c>
      <c r="AJ106" t="b">
        <v>1</v>
      </c>
      <c r="AK106" t="b">
        <v>1</v>
      </c>
      <c r="AL106">
        <v>1</v>
      </c>
      <c r="AM106">
        <v>1</v>
      </c>
      <c r="AN106" t="s">
        <v>56</v>
      </c>
      <c r="AO106" t="s">
        <v>57</v>
      </c>
      <c r="AP106">
        <v>0.25</v>
      </c>
      <c r="AQ106" t="b">
        <v>1</v>
      </c>
      <c r="AR106" t="s">
        <v>23</v>
      </c>
      <c r="AS106">
        <v>20000</v>
      </c>
      <c r="AT106">
        <v>500</v>
      </c>
      <c r="AU106" t="s">
        <v>121</v>
      </c>
      <c r="AV106" t="b">
        <v>0</v>
      </c>
      <c r="AW106" t="b">
        <v>0</v>
      </c>
      <c r="AX106" t="b">
        <v>1</v>
      </c>
      <c r="AY106" t="b">
        <v>1</v>
      </c>
      <c r="BA106">
        <f>INDEX(Inp_CER_Bin_2eps3arms!$AN$2:$AN$176,MATCH(Table1[[#This Row],[ModelID]],Inp_CER_Bin_2eps3arms!$A$2:$A$176,0))</f>
        <v>0</v>
      </c>
      <c r="BC106" t="s">
        <v>621</v>
      </c>
      <c r="BD106" t="s">
        <v>632</v>
      </c>
      <c r="BE106" s="10">
        <f>Table1[[#This Row],[Global.Power]]</f>
        <v>0.91300000000000003</v>
      </c>
      <c r="BF106" s="10">
        <f>Table1[[#This Row],[Conjunctive.Power]]</f>
        <v>0.33150000000000002</v>
      </c>
      <c r="BG106" s="10">
        <f>Table1[[#This Row],[Disjunctive.Power]]</f>
        <v>0.91300000000000003</v>
      </c>
      <c r="BH106" s="10">
        <f>Table1[[#This Row],[FWER]]</f>
        <v>0</v>
      </c>
      <c r="BI106" s="10">
        <f>_xlfn.NUMBERVALUE(MID(Table1[[#This Row],[CI_95perc_Global.Power]],2,FIND(",",Table1[[#This Row],[CI_95perc_Global.Power]])-2))</f>
        <v>0.90908999999999995</v>
      </c>
      <c r="BJ106" s="10">
        <f>_xlfn.NUMBERVALUE(MID(Table1[[#This Row],[CI_95perc_Global.Power]],FIND(",",Table1[[#This Row],[CI_95perc_Global.Power]])+1,LEN(Table1[[#This Row],[CI_95perc_Global.Power]])-FIND(",",Table1[[#This Row],[CI_95perc_Global.Power]])-1))</f>
        <v>0.91691</v>
      </c>
      <c r="BK106" s="10">
        <f>_xlfn.NUMBERVALUE(MID(Table1[[#This Row],[CI_95perc_Conjunctive.Power]],2,FIND(",",Table1[[#This Row],[CI_95perc_Conjunctive.Power]])-2))</f>
        <v>0.32497999999999999</v>
      </c>
      <c r="BL106" s="10">
        <f>_xlfn.NUMBERVALUE(MID(Table1[[#This Row],[CI_95perc_Conjunctive.Power]],FIND(",",Table1[[#This Row],[CI_95perc_Conjunctive.Power]])+1,LEN(Table1[[#This Row],[CI_95perc_Conjunctive.Power]])-FIND(",",Table1[[#This Row],[CI_95perc_Conjunctive.Power]])-1))</f>
        <v>0.33801999999999999</v>
      </c>
      <c r="BM106" s="10">
        <f>_xlfn.NUMBERVALUE(MID(Table1[[#This Row],[CI_95perc_Disjunctive.Power]],2,FIND(",",Table1[[#This Row],[CI_95perc_Disjunctive.Power]])-2))</f>
        <v>0.90908999999999995</v>
      </c>
      <c r="BN106" s="10">
        <f>_xlfn.NUMBERVALUE(MID(Table1[[#This Row],[CI_95perc_Disjunctive.Power]],FIND(",",Table1[[#This Row],[CI_95perc_Disjunctive.Power]])+1,LEN(Table1[[#This Row],[CI_95perc_Disjunctive.Power]])-FIND(",",Table1[[#This Row],[CI_95perc_Disjunctive.Power]])-1))</f>
        <v>0.91691</v>
      </c>
      <c r="BO106" s="10">
        <f>_xlfn.NUMBERVALUE(MID(Table1[[#This Row],[CI_95perc_FWER]],2,FIND(",",Table1[[#This Row],[CI_95perc_FWER]])-2))</f>
        <v>0</v>
      </c>
      <c r="BP106" s="10">
        <f>_xlfn.NUMBERVALUE(MID(Table1[[#This Row],[CI_95perc_FWER]],FIND(",",Table1[[#This Row],[CI_95perc_FWER]])+1,LEN(Table1[[#This Row],[CI_95perc_FWER]])-FIND(",",Table1[[#This Row],[CI_95perc_FWER]])-1))</f>
        <v>0</v>
      </c>
      <c r="BQ106" s="10" t="str">
        <f>_xlfn.CONCAT("(",TEXT(Table1[[#This Row],[LCL_Disj.Pow%]],"0.00%"), ", ",TEXT(Table1[[#This Row],[UCL_Disj.Pow%]],"0.00%"),")")</f>
        <v>(90.91%, 91.69%)</v>
      </c>
      <c r="BR106" s="10" t="str">
        <f>_xlfn.CONCAT("(",TEXT(Table1[[#This Row],[LCL_Conj.Pow%]],"0.00%"),", ",TEXT(Table1[[#This Row],[UCL_Conj.Pow%]],"0.00%"),")")</f>
        <v>(32.50%, 33.80%)</v>
      </c>
      <c r="BS106" s="10" t="str">
        <f>_xlfn.CONCAT("(",TEXT(Table1[[#This Row],[LCL_FWER%]],"0.00%"),", ",TEXT(Table1[[#This Row],[UCL_FWER%]],"0.00%"),")")</f>
        <v>(0.00%, 0.00%)</v>
      </c>
    </row>
    <row r="107" spans="1:71" x14ac:dyDescent="0.25">
      <c r="A107">
        <v>105</v>
      </c>
      <c r="B107" t="s">
        <v>582</v>
      </c>
      <c r="C107">
        <v>6420</v>
      </c>
      <c r="D107">
        <v>0.94027720000000004</v>
      </c>
      <c r="E107">
        <v>0.34641949999999999</v>
      </c>
      <c r="F107">
        <v>0.94027720000000004</v>
      </c>
      <c r="G107">
        <v>0</v>
      </c>
      <c r="H107" t="s">
        <v>583</v>
      </c>
      <c r="I107" t="s">
        <v>584</v>
      </c>
      <c r="J107" t="s">
        <v>583</v>
      </c>
      <c r="K107" t="s">
        <v>83</v>
      </c>
      <c r="L107" s="1">
        <v>502113805</v>
      </c>
      <c r="M107" t="s">
        <v>585</v>
      </c>
      <c r="N107">
        <v>1.05964807914363</v>
      </c>
      <c r="O107" t="s">
        <v>85</v>
      </c>
      <c r="P107" t="s">
        <v>41</v>
      </c>
      <c r="Q107">
        <v>800</v>
      </c>
      <c r="R107">
        <v>2.5000000000000001E-2</v>
      </c>
      <c r="S107" t="s">
        <v>42</v>
      </c>
      <c r="T107" t="s">
        <v>42</v>
      </c>
      <c r="U107" t="s">
        <v>43</v>
      </c>
      <c r="V107" t="s">
        <v>44</v>
      </c>
      <c r="W107">
        <v>5</v>
      </c>
      <c r="X107">
        <v>2</v>
      </c>
      <c r="Y107" t="s">
        <v>118</v>
      </c>
      <c r="Z107" t="s">
        <v>42</v>
      </c>
      <c r="AA107" t="s">
        <v>42</v>
      </c>
      <c r="AB107" t="s">
        <v>130</v>
      </c>
      <c r="AC107" t="s">
        <v>122</v>
      </c>
      <c r="AD107" t="s">
        <v>123</v>
      </c>
      <c r="AE107" t="s">
        <v>124</v>
      </c>
      <c r="AF107" t="s">
        <v>125</v>
      </c>
      <c r="AG107" t="s">
        <v>51</v>
      </c>
      <c r="AH107" t="s">
        <v>126</v>
      </c>
      <c r="AI107" t="s">
        <v>53</v>
      </c>
      <c r="AJ107" t="b">
        <v>1</v>
      </c>
      <c r="AK107" t="b">
        <v>1</v>
      </c>
      <c r="AL107">
        <v>1</v>
      </c>
      <c r="AM107">
        <v>1</v>
      </c>
      <c r="AN107" t="s">
        <v>56</v>
      </c>
      <c r="AO107" t="s">
        <v>57</v>
      </c>
      <c r="AP107">
        <v>0.25</v>
      </c>
      <c r="AQ107" t="b">
        <v>1</v>
      </c>
      <c r="AR107" t="s">
        <v>23</v>
      </c>
      <c r="AS107">
        <v>20000</v>
      </c>
      <c r="AT107">
        <v>500</v>
      </c>
      <c r="AU107" t="s">
        <v>121</v>
      </c>
      <c r="AV107" t="b">
        <v>0</v>
      </c>
      <c r="AW107" t="b">
        <v>0</v>
      </c>
      <c r="AX107" t="b">
        <v>1</v>
      </c>
      <c r="AY107" t="b">
        <v>1</v>
      </c>
      <c r="BA107">
        <f>INDEX(Inp_CER_Bin_2eps3arms!$AN$2:$AN$176,MATCH(Table1[[#This Row],[ModelID]],Inp_CER_Bin_2eps3arms!$A$2:$A$176,0))</f>
        <v>0</v>
      </c>
      <c r="BC107" t="s">
        <v>621</v>
      </c>
      <c r="BD107" t="s">
        <v>632</v>
      </c>
      <c r="BE107" s="10">
        <f>Table1[[#This Row],[Global.Power]]</f>
        <v>0.94027720000000004</v>
      </c>
      <c r="BF107" s="10">
        <f>Table1[[#This Row],[Conjunctive.Power]]</f>
        <v>0.34641949999999999</v>
      </c>
      <c r="BG107" s="10">
        <f>Table1[[#This Row],[Disjunctive.Power]]</f>
        <v>0.94027720000000004</v>
      </c>
      <c r="BH107" s="10">
        <f>Table1[[#This Row],[FWER]]</f>
        <v>0</v>
      </c>
      <c r="BI107" s="10">
        <f>_xlfn.NUMBERVALUE(MID(Table1[[#This Row],[CI_95perc_Global.Power]],2,FIND(",",Table1[[#This Row],[CI_95perc_Global.Power]])-2))</f>
        <v>0.93894</v>
      </c>
      <c r="BJ107" s="10">
        <f>_xlfn.NUMBERVALUE(MID(Table1[[#This Row],[CI_95perc_Global.Power]],FIND(",",Table1[[#This Row],[CI_95perc_Global.Power]])+1,LEN(Table1[[#This Row],[CI_95perc_Global.Power]])-FIND(",",Table1[[#This Row],[CI_95perc_Global.Power]])-1))</f>
        <v>0.94160999999999995</v>
      </c>
      <c r="BK107" s="10">
        <f>_xlfn.NUMBERVALUE(MID(Table1[[#This Row],[CI_95perc_Conjunctive.Power]],2,FIND(",",Table1[[#This Row],[CI_95perc_Conjunctive.Power]])-2))</f>
        <v>0.34256999999999999</v>
      </c>
      <c r="BL107" s="10">
        <f>_xlfn.NUMBERVALUE(MID(Table1[[#This Row],[CI_95perc_Conjunctive.Power]],FIND(",",Table1[[#This Row],[CI_95perc_Conjunctive.Power]])+1,LEN(Table1[[#This Row],[CI_95perc_Conjunctive.Power]])-FIND(",",Table1[[#This Row],[CI_95perc_Conjunctive.Power]])-1))</f>
        <v>0.35027000000000003</v>
      </c>
      <c r="BM107" s="10">
        <f>_xlfn.NUMBERVALUE(MID(Table1[[#This Row],[CI_95perc_Disjunctive.Power]],2,FIND(",",Table1[[#This Row],[CI_95perc_Disjunctive.Power]])-2))</f>
        <v>0.93894</v>
      </c>
      <c r="BN107" s="10">
        <f>_xlfn.NUMBERVALUE(MID(Table1[[#This Row],[CI_95perc_Disjunctive.Power]],FIND(",",Table1[[#This Row],[CI_95perc_Disjunctive.Power]])+1,LEN(Table1[[#This Row],[CI_95perc_Disjunctive.Power]])-FIND(",",Table1[[#This Row],[CI_95perc_Disjunctive.Power]])-1))</f>
        <v>0.94160999999999995</v>
      </c>
      <c r="BO107" s="10">
        <f>_xlfn.NUMBERVALUE(MID(Table1[[#This Row],[CI_95perc_FWER]],2,FIND(",",Table1[[#This Row],[CI_95perc_FWER]])-2))</f>
        <v>0</v>
      </c>
      <c r="BP107" s="10">
        <f>_xlfn.NUMBERVALUE(MID(Table1[[#This Row],[CI_95perc_FWER]],FIND(",",Table1[[#This Row],[CI_95perc_FWER]])+1,LEN(Table1[[#This Row],[CI_95perc_FWER]])-FIND(",",Table1[[#This Row],[CI_95perc_FWER]])-1))</f>
        <v>0</v>
      </c>
      <c r="BQ107" s="10" t="str">
        <f>_xlfn.CONCAT("(",TEXT(Table1[[#This Row],[LCL_Disj.Pow%]],"0.00%"), ", ",TEXT(Table1[[#This Row],[UCL_Disj.Pow%]],"0.00%"),")")</f>
        <v>(93.89%, 94.16%)</v>
      </c>
      <c r="BR107" s="10" t="str">
        <f>_xlfn.CONCAT("(",TEXT(Table1[[#This Row],[LCL_Conj.Pow%]],"0.00%"),", ",TEXT(Table1[[#This Row],[UCL_Conj.Pow%]],"0.00%"),")")</f>
        <v>(34.26%, 35.03%)</v>
      </c>
      <c r="BS107" s="10" t="str">
        <f>_xlfn.CONCAT("(",TEXT(Table1[[#This Row],[LCL_FWER%]],"0.00%"),", ",TEXT(Table1[[#This Row],[UCL_FWER%]],"0.00%"),")")</f>
        <v>(0.00%, 0.00%)</v>
      </c>
    </row>
    <row r="108" spans="1:71" x14ac:dyDescent="0.25">
      <c r="A108">
        <v>106</v>
      </c>
      <c r="B108" t="s">
        <v>586</v>
      </c>
      <c r="C108">
        <v>2107</v>
      </c>
      <c r="D108">
        <v>0.97735000000000005</v>
      </c>
      <c r="E108">
        <v>3.8E-3</v>
      </c>
      <c r="F108">
        <v>0.97735000000000005</v>
      </c>
      <c r="G108">
        <v>0</v>
      </c>
      <c r="H108" t="s">
        <v>587</v>
      </c>
      <c r="I108" t="s">
        <v>588</v>
      </c>
      <c r="J108" t="s">
        <v>587</v>
      </c>
      <c r="K108" t="s">
        <v>83</v>
      </c>
      <c r="L108" s="1">
        <v>512314424</v>
      </c>
      <c r="M108" t="s">
        <v>589</v>
      </c>
      <c r="N108">
        <v>8.0574673877821995E-2</v>
      </c>
      <c r="O108" t="s">
        <v>85</v>
      </c>
      <c r="P108" t="s">
        <v>117</v>
      </c>
      <c r="Q108">
        <v>800</v>
      </c>
      <c r="R108">
        <v>2.5000000000000001E-2</v>
      </c>
      <c r="S108" t="s">
        <v>42</v>
      </c>
      <c r="T108" t="s">
        <v>42</v>
      </c>
      <c r="U108" t="s">
        <v>43</v>
      </c>
      <c r="V108" t="s">
        <v>44</v>
      </c>
      <c r="W108">
        <v>5</v>
      </c>
      <c r="X108">
        <v>2</v>
      </c>
      <c r="Y108" t="s">
        <v>118</v>
      </c>
      <c r="Z108" t="s">
        <v>42</v>
      </c>
      <c r="AA108" t="s">
        <v>42</v>
      </c>
      <c r="AB108" t="s">
        <v>130</v>
      </c>
      <c r="AC108" t="s">
        <v>122</v>
      </c>
      <c r="AD108" t="s">
        <v>123</v>
      </c>
      <c r="AE108" t="s">
        <v>124</v>
      </c>
      <c r="AF108" t="s">
        <v>125</v>
      </c>
      <c r="AG108" t="s">
        <v>51</v>
      </c>
      <c r="AH108" t="s">
        <v>126</v>
      </c>
      <c r="AI108" t="s">
        <v>53</v>
      </c>
      <c r="AJ108" t="b">
        <v>1</v>
      </c>
      <c r="AK108" t="b">
        <v>1</v>
      </c>
      <c r="AL108">
        <v>1</v>
      </c>
      <c r="AM108">
        <v>1</v>
      </c>
      <c r="AN108" t="s">
        <v>56</v>
      </c>
      <c r="AO108" t="s">
        <v>60</v>
      </c>
      <c r="AP108">
        <v>1</v>
      </c>
      <c r="AQ108" t="b">
        <v>1</v>
      </c>
      <c r="AR108" t="s">
        <v>23</v>
      </c>
      <c r="AS108">
        <v>20000</v>
      </c>
      <c r="AT108">
        <v>500</v>
      </c>
      <c r="AU108" t="s">
        <v>121</v>
      </c>
      <c r="AV108" t="b">
        <v>0</v>
      </c>
      <c r="AW108" t="b">
        <v>0</v>
      </c>
      <c r="AX108" t="b">
        <v>1</v>
      </c>
      <c r="AY108" t="b">
        <v>1</v>
      </c>
      <c r="BA108">
        <f>INDEX(Inp_CER_Bin_2eps3arms!$AN$2:$AN$176,MATCH(Table1[[#This Row],[ModelID]],Inp_CER_Bin_2eps3arms!$A$2:$A$176,0))</f>
        <v>0</v>
      </c>
      <c r="BC108" t="s">
        <v>620</v>
      </c>
      <c r="BD108" t="s">
        <v>632</v>
      </c>
      <c r="BE108" s="10">
        <f>Table1[[#This Row],[Global.Power]]</f>
        <v>0.97735000000000005</v>
      </c>
      <c r="BF108" s="10">
        <f>Table1[[#This Row],[Conjunctive.Power]]</f>
        <v>3.8E-3</v>
      </c>
      <c r="BG108" s="10">
        <f>Table1[[#This Row],[Disjunctive.Power]]</f>
        <v>0.97735000000000005</v>
      </c>
      <c r="BH108" s="10">
        <f>Table1[[#This Row],[FWER]]</f>
        <v>0</v>
      </c>
      <c r="BI108" s="10">
        <f>_xlfn.NUMBERVALUE(MID(Table1[[#This Row],[CI_95perc_Global.Power]],2,FIND(",",Table1[[#This Row],[CI_95perc_Global.Power]])-2))</f>
        <v>0.97528999999999999</v>
      </c>
      <c r="BJ108" s="10">
        <f>_xlfn.NUMBERVALUE(MID(Table1[[#This Row],[CI_95perc_Global.Power]],FIND(",",Table1[[#This Row],[CI_95perc_Global.Power]])+1,LEN(Table1[[#This Row],[CI_95perc_Global.Power]])-FIND(",",Table1[[#This Row],[CI_95perc_Global.Power]])-1))</f>
        <v>0.97941</v>
      </c>
      <c r="BK108" s="10">
        <f>_xlfn.NUMBERVALUE(MID(Table1[[#This Row],[CI_95perc_Conjunctive.Power]],2,FIND(",",Table1[[#This Row],[CI_95perc_Conjunctive.Power]])-2))</f>
        <v>2.9499999999999999E-3</v>
      </c>
      <c r="BL108" s="10">
        <f>_xlfn.NUMBERVALUE(MID(Table1[[#This Row],[CI_95perc_Conjunctive.Power]],FIND(",",Table1[[#This Row],[CI_95perc_Conjunctive.Power]])+1,LEN(Table1[[#This Row],[CI_95perc_Conjunctive.Power]])-FIND(",",Table1[[#This Row],[CI_95perc_Conjunctive.Power]])-1))</f>
        <v>4.6499999999999996E-3</v>
      </c>
      <c r="BM108" s="10">
        <f>_xlfn.NUMBERVALUE(MID(Table1[[#This Row],[CI_95perc_Disjunctive.Power]],2,FIND(",",Table1[[#This Row],[CI_95perc_Disjunctive.Power]])-2))</f>
        <v>0.97528999999999999</v>
      </c>
      <c r="BN108" s="10">
        <f>_xlfn.NUMBERVALUE(MID(Table1[[#This Row],[CI_95perc_Disjunctive.Power]],FIND(",",Table1[[#This Row],[CI_95perc_Disjunctive.Power]])+1,LEN(Table1[[#This Row],[CI_95perc_Disjunctive.Power]])-FIND(",",Table1[[#This Row],[CI_95perc_Disjunctive.Power]])-1))</f>
        <v>0.97941</v>
      </c>
      <c r="BO108" s="10">
        <f>_xlfn.NUMBERVALUE(MID(Table1[[#This Row],[CI_95perc_FWER]],2,FIND(",",Table1[[#This Row],[CI_95perc_FWER]])-2))</f>
        <v>0</v>
      </c>
      <c r="BP108" s="10">
        <f>_xlfn.NUMBERVALUE(MID(Table1[[#This Row],[CI_95perc_FWER]],FIND(",",Table1[[#This Row],[CI_95perc_FWER]])+1,LEN(Table1[[#This Row],[CI_95perc_FWER]])-FIND(",",Table1[[#This Row],[CI_95perc_FWER]])-1))</f>
        <v>0</v>
      </c>
      <c r="BQ108" s="10" t="str">
        <f>_xlfn.CONCAT("(",TEXT(Table1[[#This Row],[LCL_Disj.Pow%]],"0.00%"), ", ",TEXT(Table1[[#This Row],[UCL_Disj.Pow%]],"0.00%"),")")</f>
        <v>(97.53%, 97.94%)</v>
      </c>
      <c r="BR108" s="10" t="str">
        <f>_xlfn.CONCAT("(",TEXT(Table1[[#This Row],[LCL_Conj.Pow%]],"0.00%"),", ",TEXT(Table1[[#This Row],[UCL_Conj.Pow%]],"0.00%"),")")</f>
        <v>(0.30%, 0.47%)</v>
      </c>
      <c r="BS108" s="10" t="str">
        <f>_xlfn.CONCAT("(",TEXT(Table1[[#This Row],[LCL_FWER%]],"0.00%"),", ",TEXT(Table1[[#This Row],[UCL_FWER%]],"0.00%"),")")</f>
        <v>(0.00%, 0.00%)</v>
      </c>
    </row>
    <row r="109" spans="1:71" x14ac:dyDescent="0.25">
      <c r="A109">
        <v>107</v>
      </c>
      <c r="B109" t="s">
        <v>590</v>
      </c>
      <c r="C109">
        <v>570</v>
      </c>
      <c r="D109">
        <v>0.98453000000000002</v>
      </c>
      <c r="E109">
        <v>3.2545999999999999E-3</v>
      </c>
      <c r="F109">
        <v>0.98453000000000002</v>
      </c>
      <c r="G109">
        <v>0</v>
      </c>
      <c r="H109" t="s">
        <v>591</v>
      </c>
      <c r="I109" t="s">
        <v>592</v>
      </c>
      <c r="J109" t="s">
        <v>591</v>
      </c>
      <c r="K109" t="s">
        <v>83</v>
      </c>
      <c r="L109" s="1">
        <v>510714599</v>
      </c>
      <c r="M109" t="s">
        <v>593</v>
      </c>
      <c r="N109">
        <v>0.65054834140671602</v>
      </c>
      <c r="O109" t="s">
        <v>85</v>
      </c>
      <c r="P109" t="s">
        <v>41</v>
      </c>
      <c r="Q109">
        <v>800</v>
      </c>
      <c r="R109">
        <v>2.5000000000000001E-2</v>
      </c>
      <c r="S109" t="s">
        <v>42</v>
      </c>
      <c r="T109" t="s">
        <v>42</v>
      </c>
      <c r="U109" t="s">
        <v>43</v>
      </c>
      <c r="V109" t="s">
        <v>44</v>
      </c>
      <c r="W109">
        <v>5</v>
      </c>
      <c r="X109">
        <v>2</v>
      </c>
      <c r="Y109" t="s">
        <v>118</v>
      </c>
      <c r="Z109" t="s">
        <v>42</v>
      </c>
      <c r="AA109" t="s">
        <v>42</v>
      </c>
      <c r="AB109" t="s">
        <v>130</v>
      </c>
      <c r="AC109" t="s">
        <v>122</v>
      </c>
      <c r="AD109" t="s">
        <v>123</v>
      </c>
      <c r="AE109" t="s">
        <v>124</v>
      </c>
      <c r="AF109" t="s">
        <v>125</v>
      </c>
      <c r="AG109" t="s">
        <v>51</v>
      </c>
      <c r="AH109" t="s">
        <v>126</v>
      </c>
      <c r="AI109" t="s">
        <v>53</v>
      </c>
      <c r="AJ109" t="b">
        <v>1</v>
      </c>
      <c r="AK109" t="b">
        <v>1</v>
      </c>
      <c r="AL109">
        <v>1</v>
      </c>
      <c r="AM109">
        <v>1</v>
      </c>
      <c r="AN109" t="s">
        <v>56</v>
      </c>
      <c r="AO109" t="s">
        <v>60</v>
      </c>
      <c r="AP109">
        <v>1</v>
      </c>
      <c r="AQ109" t="b">
        <v>1</v>
      </c>
      <c r="AR109" t="s">
        <v>23</v>
      </c>
      <c r="AS109">
        <v>20000</v>
      </c>
      <c r="AT109">
        <v>500</v>
      </c>
      <c r="AU109" t="s">
        <v>121</v>
      </c>
      <c r="AV109" t="b">
        <v>0</v>
      </c>
      <c r="AW109" t="b">
        <v>0</v>
      </c>
      <c r="AX109" t="b">
        <v>1</v>
      </c>
      <c r="AY109" t="b">
        <v>1</v>
      </c>
      <c r="BA109">
        <f>INDEX(Inp_CER_Bin_2eps3arms!$AN$2:$AN$176,MATCH(Table1[[#This Row],[ModelID]],Inp_CER_Bin_2eps3arms!$A$2:$A$176,0))</f>
        <v>0</v>
      </c>
      <c r="BC109" t="s">
        <v>620</v>
      </c>
      <c r="BD109" t="s">
        <v>632</v>
      </c>
      <c r="BE109" s="10">
        <f>Table1[[#This Row],[Global.Power]]</f>
        <v>0.98453000000000002</v>
      </c>
      <c r="BF109" s="10">
        <f>Table1[[#This Row],[Conjunctive.Power]]</f>
        <v>3.2545999999999999E-3</v>
      </c>
      <c r="BG109" s="10">
        <f>Table1[[#This Row],[Disjunctive.Power]]</f>
        <v>0.98453000000000002</v>
      </c>
      <c r="BH109" s="10">
        <f>Table1[[#This Row],[FWER]]</f>
        <v>0</v>
      </c>
      <c r="BI109" s="10">
        <f>_xlfn.NUMBERVALUE(MID(Table1[[#This Row],[CI_95perc_Global.Power]],2,FIND(",",Table1[[#This Row],[CI_95perc_Global.Power]])-2))</f>
        <v>0.98399999999999999</v>
      </c>
      <c r="BJ109" s="10">
        <f>_xlfn.NUMBERVALUE(MID(Table1[[#This Row],[CI_95perc_Global.Power]],FIND(",",Table1[[#This Row],[CI_95perc_Global.Power]])+1,LEN(Table1[[#This Row],[CI_95perc_Global.Power]])-FIND(",",Table1[[#This Row],[CI_95perc_Global.Power]])-1))</f>
        <v>0.98506000000000005</v>
      </c>
      <c r="BK109" s="10">
        <f>_xlfn.NUMBERVALUE(MID(Table1[[#This Row],[CI_95perc_Conjunctive.Power]],2,FIND(",",Table1[[#This Row],[CI_95perc_Conjunctive.Power]])-2))</f>
        <v>2.48E-3</v>
      </c>
      <c r="BL109" s="10">
        <f>_xlfn.NUMBERVALUE(MID(Table1[[#This Row],[CI_95perc_Conjunctive.Power]],FIND(",",Table1[[#This Row],[CI_95perc_Conjunctive.Power]])+1,LEN(Table1[[#This Row],[CI_95perc_Conjunctive.Power]])-FIND(",",Table1[[#This Row],[CI_95perc_Conjunctive.Power]])-1))</f>
        <v>4.0299999999999997E-3</v>
      </c>
      <c r="BM109" s="10">
        <f>_xlfn.NUMBERVALUE(MID(Table1[[#This Row],[CI_95perc_Disjunctive.Power]],2,FIND(",",Table1[[#This Row],[CI_95perc_Disjunctive.Power]])-2))</f>
        <v>0.98399999999999999</v>
      </c>
      <c r="BN109" s="10">
        <f>_xlfn.NUMBERVALUE(MID(Table1[[#This Row],[CI_95perc_Disjunctive.Power]],FIND(",",Table1[[#This Row],[CI_95perc_Disjunctive.Power]])+1,LEN(Table1[[#This Row],[CI_95perc_Disjunctive.Power]])-FIND(",",Table1[[#This Row],[CI_95perc_Disjunctive.Power]])-1))</f>
        <v>0.98506000000000005</v>
      </c>
      <c r="BO109" s="10">
        <f>_xlfn.NUMBERVALUE(MID(Table1[[#This Row],[CI_95perc_FWER]],2,FIND(",",Table1[[#This Row],[CI_95perc_FWER]])-2))</f>
        <v>0</v>
      </c>
      <c r="BP109" s="10">
        <f>_xlfn.NUMBERVALUE(MID(Table1[[#This Row],[CI_95perc_FWER]],FIND(",",Table1[[#This Row],[CI_95perc_FWER]])+1,LEN(Table1[[#This Row],[CI_95perc_FWER]])-FIND(",",Table1[[#This Row],[CI_95perc_FWER]])-1))</f>
        <v>0</v>
      </c>
      <c r="BQ109" s="10" t="str">
        <f>_xlfn.CONCAT("(",TEXT(Table1[[#This Row],[LCL_Disj.Pow%]],"0.00%"), ", ",TEXT(Table1[[#This Row],[UCL_Disj.Pow%]],"0.00%"),")")</f>
        <v>(98.40%, 98.51%)</v>
      </c>
      <c r="BR109" s="10" t="str">
        <f>_xlfn.CONCAT("(",TEXT(Table1[[#This Row],[LCL_Conj.Pow%]],"0.00%"),", ",TEXT(Table1[[#This Row],[UCL_Conj.Pow%]],"0.00%"),")")</f>
        <v>(0.25%, 0.40%)</v>
      </c>
      <c r="BS109" s="10" t="str">
        <f>_xlfn.CONCAT("(",TEXT(Table1[[#This Row],[LCL_FWER%]],"0.00%"),", ",TEXT(Table1[[#This Row],[UCL_FWER%]],"0.00%"),")")</f>
        <v>(0.00%, 0.00%)</v>
      </c>
    </row>
    <row r="110" spans="1:71" x14ac:dyDescent="0.25">
      <c r="A110" s="3">
        <v>108</v>
      </c>
      <c r="B110" t="s">
        <v>659</v>
      </c>
      <c r="C110">
        <v>7481</v>
      </c>
      <c r="D110">
        <v>2.18748937446872E-2</v>
      </c>
      <c r="E110">
        <v>0</v>
      </c>
      <c r="F110">
        <v>0</v>
      </c>
      <c r="G110">
        <v>2.18748937446872E-2</v>
      </c>
      <c r="H110" t="s">
        <v>674</v>
      </c>
      <c r="I110" t="s">
        <v>83</v>
      </c>
      <c r="J110" t="s">
        <v>83</v>
      </c>
      <c r="K110" t="s">
        <v>674</v>
      </c>
      <c r="L110" s="1">
        <v>23439</v>
      </c>
      <c r="M110" t="s">
        <v>675</v>
      </c>
      <c r="N110">
        <v>1.01315535744031</v>
      </c>
      <c r="O110" t="s">
        <v>85</v>
      </c>
      <c r="P110" t="s">
        <v>41</v>
      </c>
      <c r="Q110">
        <v>500</v>
      </c>
      <c r="R110">
        <v>2.5000000000000001E-2</v>
      </c>
      <c r="S110" t="s">
        <v>654</v>
      </c>
      <c r="T110" t="s">
        <v>42</v>
      </c>
      <c r="U110" t="s">
        <v>64</v>
      </c>
      <c r="V110" t="s">
        <v>44</v>
      </c>
      <c r="W110">
        <v>5</v>
      </c>
      <c r="X110">
        <v>2</v>
      </c>
      <c r="Y110" t="s">
        <v>650</v>
      </c>
      <c r="Z110" t="s">
        <v>652</v>
      </c>
      <c r="AA110" t="s">
        <v>651</v>
      </c>
      <c r="AB110" t="s">
        <v>653</v>
      </c>
      <c r="AC110" t="s">
        <v>122</v>
      </c>
      <c r="AD110" t="s">
        <v>663</v>
      </c>
      <c r="AE110" t="s">
        <v>124</v>
      </c>
      <c r="AF110" t="s">
        <v>125</v>
      </c>
      <c r="AG110" t="s">
        <v>51</v>
      </c>
      <c r="AH110" t="s">
        <v>126</v>
      </c>
      <c r="AI110" t="s">
        <v>53</v>
      </c>
      <c r="AJ110" t="b">
        <v>1</v>
      </c>
      <c r="AK110" t="b">
        <v>1</v>
      </c>
      <c r="AL110">
        <v>1</v>
      </c>
      <c r="AM110">
        <v>1</v>
      </c>
      <c r="AN110" t="s">
        <v>56</v>
      </c>
      <c r="AO110" t="s">
        <v>57</v>
      </c>
      <c r="AP110">
        <v>0.75</v>
      </c>
      <c r="AQ110" t="b">
        <v>1</v>
      </c>
      <c r="AR110" t="s">
        <v>23</v>
      </c>
      <c r="AS110">
        <v>20000</v>
      </c>
      <c r="AT110">
        <v>500</v>
      </c>
      <c r="AU110" t="s">
        <v>121</v>
      </c>
      <c r="AV110" t="b">
        <v>0</v>
      </c>
      <c r="AW110" t="b">
        <v>0</v>
      </c>
      <c r="AX110" t="b">
        <v>1</v>
      </c>
      <c r="AY110" t="b">
        <v>0</v>
      </c>
      <c r="AZ110" t="b">
        <v>0</v>
      </c>
      <c r="BA110" t="str">
        <f>INDEX(Inp_CER_Bin_2eps3arms!$AN$2:$AN$176,MATCH(Table1[[#This Row],[ModelID]],Inp_CER_Bin_2eps3arms!$A$2:$A$176,0))</f>
        <v>Compare.FWER.vs.Martin</v>
      </c>
      <c r="BB110" t="s">
        <v>42</v>
      </c>
      <c r="BC110" t="s">
        <v>619</v>
      </c>
      <c r="BD110" t="s">
        <v>628</v>
      </c>
      <c r="BE110" s="10">
        <f>Table1[[#This Row],[Global.Power]]</f>
        <v>2.18748937446872E-2</v>
      </c>
      <c r="BF110" s="10">
        <f>Table1[[#This Row],[Conjunctive.Power]]</f>
        <v>0</v>
      </c>
      <c r="BG110" s="10">
        <f>Table1[[#This Row],[Disjunctive.Power]]</f>
        <v>0</v>
      </c>
      <c r="BH110" s="10">
        <f>Table1[[#This Row],[FWER]]</f>
        <v>2.18748937446872E-2</v>
      </c>
      <c r="BI110" s="10">
        <f>_xlfn.NUMBERVALUE(MID(Table1[[#This Row],[CI_95perc_Global.Power]],2,FIND(",",Table1[[#This Row],[CI_95perc_Global.Power]])-2))</f>
        <v>2.1069999999999998E-2</v>
      </c>
      <c r="BJ110" s="10">
        <f>_xlfn.NUMBERVALUE(MID(Table1[[#This Row],[CI_95perc_Global.Power]],FIND(",",Table1[[#This Row],[CI_95perc_Global.Power]])+1,LEN(Table1[[#This Row],[CI_95perc_Global.Power]])-FIND(",",Table1[[#This Row],[CI_95perc_Global.Power]])-1))</f>
        <v>2.2679999999999999E-2</v>
      </c>
      <c r="BK110" s="10">
        <f>_xlfn.NUMBERVALUE(MID(Table1[[#This Row],[CI_95perc_Conjunctive.Power]],2,FIND(",",Table1[[#This Row],[CI_95perc_Conjunctive.Power]])-2))</f>
        <v>0</v>
      </c>
      <c r="BL110" s="10">
        <f>_xlfn.NUMBERVALUE(MID(Table1[[#This Row],[CI_95perc_Conjunctive.Power]],FIND(",",Table1[[#This Row],[CI_95perc_Conjunctive.Power]])+1,LEN(Table1[[#This Row],[CI_95perc_Conjunctive.Power]])-FIND(",",Table1[[#This Row],[CI_95perc_Conjunctive.Power]])-1))</f>
        <v>0</v>
      </c>
      <c r="BM110" s="10">
        <f>_xlfn.NUMBERVALUE(MID(Table1[[#This Row],[CI_95perc_Disjunctive.Power]],2,FIND(",",Table1[[#This Row],[CI_95perc_Disjunctive.Power]])-2))</f>
        <v>0</v>
      </c>
      <c r="BN110" s="10">
        <f>_xlfn.NUMBERVALUE(MID(Table1[[#This Row],[CI_95perc_Disjunctive.Power]],FIND(",",Table1[[#This Row],[CI_95perc_Disjunctive.Power]])+1,LEN(Table1[[#This Row],[CI_95perc_Disjunctive.Power]])-FIND(",",Table1[[#This Row],[CI_95perc_Disjunctive.Power]])-1))</f>
        <v>0</v>
      </c>
      <c r="BO110" s="10">
        <f>_xlfn.NUMBERVALUE(MID(Table1[[#This Row],[CI_95perc_FWER]],2,FIND(",",Table1[[#This Row],[CI_95perc_FWER]])-2))</f>
        <v>2.1069999999999998E-2</v>
      </c>
      <c r="BP110" s="10">
        <f>_xlfn.NUMBERVALUE(MID(Table1[[#This Row],[CI_95perc_FWER]],FIND(",",Table1[[#This Row],[CI_95perc_FWER]])+1,LEN(Table1[[#This Row],[CI_95perc_FWER]])-FIND(",",Table1[[#This Row],[CI_95perc_FWER]])-1))</f>
        <v>2.2679999999999999E-2</v>
      </c>
      <c r="BQ110" s="10" t="str">
        <f>_xlfn.CONCAT("(",TEXT(Table1[[#This Row],[LCL_Disj.Pow%]],"0.00%"), ", ",TEXT(Table1[[#This Row],[UCL_Disj.Pow%]],"0.00%"),")")</f>
        <v>(0.00%, 0.00%)</v>
      </c>
      <c r="BR110" s="10" t="str">
        <f>_xlfn.CONCAT("(",TEXT(Table1[[#This Row],[LCL_Conj.Pow%]],"0.00%"),", ",TEXT(Table1[[#This Row],[UCL_Conj.Pow%]],"0.00%"),")")</f>
        <v>(0.00%, 0.00%)</v>
      </c>
      <c r="BS110" s="10" t="str">
        <f>_xlfn.CONCAT("(",TEXT(Table1[[#This Row],[LCL_FWER%]],"0.00%"),", ",TEXT(Table1[[#This Row],[UCL_FWER%]],"0.00%"),")")</f>
        <v>(2.11%, 2.27%)</v>
      </c>
    </row>
    <row r="111" spans="1:71" x14ac:dyDescent="0.25">
      <c r="A111">
        <v>109</v>
      </c>
      <c r="B111" t="s">
        <v>660</v>
      </c>
      <c r="C111">
        <v>8212</v>
      </c>
      <c r="D111">
        <v>2.1733599999999999E-2</v>
      </c>
      <c r="E111">
        <v>0</v>
      </c>
      <c r="F111">
        <v>0</v>
      </c>
      <c r="G111">
        <v>2.1733599999999999E-2</v>
      </c>
      <c r="H111" t="s">
        <v>676</v>
      </c>
      <c r="I111" t="s">
        <v>83</v>
      </c>
      <c r="J111" t="s">
        <v>83</v>
      </c>
      <c r="K111" t="s">
        <v>676</v>
      </c>
      <c r="L111" s="1">
        <v>25447</v>
      </c>
      <c r="M111" t="s">
        <v>677</v>
      </c>
      <c r="N111">
        <v>0.75054243836138002</v>
      </c>
      <c r="O111" t="s">
        <v>85</v>
      </c>
      <c r="P111" t="s">
        <v>41</v>
      </c>
      <c r="Q111">
        <v>500</v>
      </c>
      <c r="R111">
        <v>2.5000000000000001E-2</v>
      </c>
      <c r="S111" t="s">
        <v>654</v>
      </c>
      <c r="T111" t="s">
        <v>42</v>
      </c>
      <c r="U111" t="s">
        <v>64</v>
      </c>
      <c r="V111" t="s">
        <v>44</v>
      </c>
      <c r="W111">
        <v>5</v>
      </c>
      <c r="X111">
        <v>2</v>
      </c>
      <c r="Y111" t="s">
        <v>650</v>
      </c>
      <c r="Z111" t="s">
        <v>652</v>
      </c>
      <c r="AA111" t="s">
        <v>651</v>
      </c>
      <c r="AB111" t="s">
        <v>653</v>
      </c>
      <c r="AC111" t="s">
        <v>122</v>
      </c>
      <c r="AD111" t="s">
        <v>663</v>
      </c>
      <c r="AE111" t="s">
        <v>124</v>
      </c>
      <c r="AF111" t="s">
        <v>125</v>
      </c>
      <c r="AG111" t="s">
        <v>51</v>
      </c>
      <c r="AH111" t="s">
        <v>126</v>
      </c>
      <c r="AI111" t="s">
        <v>53</v>
      </c>
      <c r="AJ111" t="b">
        <v>1</v>
      </c>
      <c r="AK111" t="b">
        <v>1</v>
      </c>
      <c r="AL111">
        <v>1</v>
      </c>
      <c r="AM111">
        <v>1</v>
      </c>
      <c r="AN111" t="s">
        <v>56</v>
      </c>
      <c r="AO111" t="s">
        <v>57</v>
      </c>
      <c r="AP111">
        <v>0.5</v>
      </c>
      <c r="AQ111" t="b">
        <v>1</v>
      </c>
      <c r="AR111" t="s">
        <v>23</v>
      </c>
      <c r="AS111">
        <v>20000</v>
      </c>
      <c r="AT111">
        <v>500</v>
      </c>
      <c r="AU111" t="s">
        <v>121</v>
      </c>
      <c r="AV111" t="b">
        <v>0</v>
      </c>
      <c r="AW111" t="b">
        <v>0</v>
      </c>
      <c r="AX111" t="b">
        <v>1</v>
      </c>
      <c r="AY111" t="b">
        <v>0</v>
      </c>
      <c r="AZ111" t="b">
        <v>0</v>
      </c>
      <c r="BA111" t="str">
        <f>INDEX(Inp_CER_Bin_2eps3arms!$AN$2:$AN$176,MATCH(Table1[[#This Row],[ModelID]],Inp_CER_Bin_2eps3arms!$A$2:$A$176,0))</f>
        <v>Compare.FWER.vs.Martin</v>
      </c>
      <c r="BB111" t="s">
        <v>42</v>
      </c>
      <c r="BC111" t="s">
        <v>622</v>
      </c>
      <c r="BD111" t="s">
        <v>628</v>
      </c>
      <c r="BE111" s="10">
        <f>Table1[[#This Row],[Global.Power]]</f>
        <v>2.1733599999999999E-2</v>
      </c>
      <c r="BF111" s="10">
        <f>Table1[[#This Row],[Conjunctive.Power]]</f>
        <v>0</v>
      </c>
      <c r="BG111" s="10">
        <f>Table1[[#This Row],[Disjunctive.Power]]</f>
        <v>0</v>
      </c>
      <c r="BH111" s="10">
        <f>Table1[[#This Row],[FWER]]</f>
        <v>2.1733599999999999E-2</v>
      </c>
      <c r="BI111" s="10">
        <f>_xlfn.NUMBERVALUE(MID(Table1[[#This Row],[CI_95perc_Global.Power]],2,FIND(",",Table1[[#This Row],[CI_95perc_Global.Power]])-2))</f>
        <v>2.0920000000000001E-2</v>
      </c>
      <c r="BJ111" s="10">
        <f>_xlfn.NUMBERVALUE(MID(Table1[[#This Row],[CI_95perc_Global.Power]],FIND(",",Table1[[#This Row],[CI_95perc_Global.Power]])+1,LEN(Table1[[#This Row],[CI_95perc_Global.Power]])-FIND(",",Table1[[#This Row],[CI_95perc_Global.Power]])-1))</f>
        <v>2.2550000000000001E-2</v>
      </c>
      <c r="BK111" s="10">
        <f>_xlfn.NUMBERVALUE(MID(Table1[[#This Row],[CI_95perc_Conjunctive.Power]],2,FIND(",",Table1[[#This Row],[CI_95perc_Conjunctive.Power]])-2))</f>
        <v>0</v>
      </c>
      <c r="BL111" s="10">
        <f>_xlfn.NUMBERVALUE(MID(Table1[[#This Row],[CI_95perc_Conjunctive.Power]],FIND(",",Table1[[#This Row],[CI_95perc_Conjunctive.Power]])+1,LEN(Table1[[#This Row],[CI_95perc_Conjunctive.Power]])-FIND(",",Table1[[#This Row],[CI_95perc_Conjunctive.Power]])-1))</f>
        <v>0</v>
      </c>
      <c r="BM111" s="10">
        <f>_xlfn.NUMBERVALUE(MID(Table1[[#This Row],[CI_95perc_Disjunctive.Power]],2,FIND(",",Table1[[#This Row],[CI_95perc_Disjunctive.Power]])-2))</f>
        <v>0</v>
      </c>
      <c r="BN111" s="10">
        <f>_xlfn.NUMBERVALUE(MID(Table1[[#This Row],[CI_95perc_Disjunctive.Power]],FIND(",",Table1[[#This Row],[CI_95perc_Disjunctive.Power]])+1,LEN(Table1[[#This Row],[CI_95perc_Disjunctive.Power]])-FIND(",",Table1[[#This Row],[CI_95perc_Disjunctive.Power]])-1))</f>
        <v>0</v>
      </c>
      <c r="BO111" s="10">
        <f>_xlfn.NUMBERVALUE(MID(Table1[[#This Row],[CI_95perc_FWER]],2,FIND(",",Table1[[#This Row],[CI_95perc_FWER]])-2))</f>
        <v>2.0920000000000001E-2</v>
      </c>
      <c r="BP111" s="10">
        <f>_xlfn.NUMBERVALUE(MID(Table1[[#This Row],[CI_95perc_FWER]],FIND(",",Table1[[#This Row],[CI_95perc_FWER]])+1,LEN(Table1[[#This Row],[CI_95perc_FWER]])-FIND(",",Table1[[#This Row],[CI_95perc_FWER]])-1))</f>
        <v>2.2550000000000001E-2</v>
      </c>
      <c r="BQ111" s="10" t="str">
        <f>_xlfn.CONCAT("(",TEXT(Table1[[#This Row],[LCL_Disj.Pow%]],"0.00%"), ", ",TEXT(Table1[[#This Row],[UCL_Disj.Pow%]],"0.00%"),")")</f>
        <v>(0.00%, 0.00%)</v>
      </c>
      <c r="BR111" s="10" t="str">
        <f>_xlfn.CONCAT("(",TEXT(Table1[[#This Row],[LCL_Conj.Pow%]],"0.00%"),", ",TEXT(Table1[[#This Row],[UCL_Conj.Pow%]],"0.00%"),")")</f>
        <v>(0.00%, 0.00%)</v>
      </c>
      <c r="BS111" s="10" t="str">
        <f>_xlfn.CONCAT("(",TEXT(Table1[[#This Row],[LCL_FWER%]],"0.00%"),", ",TEXT(Table1[[#This Row],[UCL_FWER%]],"0.00%"),")")</f>
        <v>(2.09%, 2.26%)</v>
      </c>
    </row>
    <row r="112" spans="1:71" x14ac:dyDescent="0.25">
      <c r="A112">
        <v>110</v>
      </c>
      <c r="B112" t="s">
        <v>661</v>
      </c>
      <c r="C112">
        <v>5244</v>
      </c>
      <c r="D112">
        <v>2.1485299999999999E-2</v>
      </c>
      <c r="E112">
        <v>0</v>
      </c>
      <c r="F112">
        <v>0</v>
      </c>
      <c r="G112">
        <v>2.1485299999999999E-2</v>
      </c>
      <c r="H112" t="s">
        <v>678</v>
      </c>
      <c r="I112" t="s">
        <v>83</v>
      </c>
      <c r="J112" t="s">
        <v>83</v>
      </c>
      <c r="K112" t="s">
        <v>678</v>
      </c>
      <c r="L112" s="1">
        <v>24427</v>
      </c>
      <c r="M112" t="s">
        <v>679</v>
      </c>
      <c r="N112">
        <v>0.47034627914428701</v>
      </c>
      <c r="O112" t="s">
        <v>85</v>
      </c>
      <c r="P112" t="s">
        <v>41</v>
      </c>
      <c r="Q112">
        <v>500</v>
      </c>
      <c r="R112">
        <v>2.5000000000000001E-2</v>
      </c>
      <c r="S112" t="s">
        <v>654</v>
      </c>
      <c r="T112" t="s">
        <v>42</v>
      </c>
      <c r="U112" t="s">
        <v>64</v>
      </c>
      <c r="V112" t="s">
        <v>44</v>
      </c>
      <c r="W112">
        <v>5</v>
      </c>
      <c r="X112">
        <v>2</v>
      </c>
      <c r="Y112" t="s">
        <v>650</v>
      </c>
      <c r="Z112" t="s">
        <v>652</v>
      </c>
      <c r="AA112" t="s">
        <v>651</v>
      </c>
      <c r="AB112" t="s">
        <v>653</v>
      </c>
      <c r="AC112" t="s">
        <v>122</v>
      </c>
      <c r="AD112" t="s">
        <v>663</v>
      </c>
      <c r="AE112" t="s">
        <v>124</v>
      </c>
      <c r="AF112" t="s">
        <v>125</v>
      </c>
      <c r="AG112" t="s">
        <v>51</v>
      </c>
      <c r="AH112" t="s">
        <v>126</v>
      </c>
      <c r="AI112" t="s">
        <v>53</v>
      </c>
      <c r="AJ112" t="b">
        <v>1</v>
      </c>
      <c r="AK112" t="b">
        <v>1</v>
      </c>
      <c r="AL112">
        <v>1</v>
      </c>
      <c r="AM112">
        <v>1</v>
      </c>
      <c r="AN112" t="s">
        <v>56</v>
      </c>
      <c r="AO112" t="s">
        <v>57</v>
      </c>
      <c r="AP112">
        <v>0.25</v>
      </c>
      <c r="AQ112" t="b">
        <v>1</v>
      </c>
      <c r="AR112" t="s">
        <v>23</v>
      </c>
      <c r="AS112">
        <v>20000</v>
      </c>
      <c r="AT112">
        <v>500</v>
      </c>
      <c r="AU112" t="s">
        <v>121</v>
      </c>
      <c r="AV112" t="b">
        <v>0</v>
      </c>
      <c r="AW112" t="b">
        <v>0</v>
      </c>
      <c r="AX112" t="b">
        <v>1</v>
      </c>
      <c r="AY112" t="b">
        <v>0</v>
      </c>
      <c r="AZ112" t="b">
        <v>0</v>
      </c>
      <c r="BA112" t="str">
        <f>INDEX(Inp_CER_Bin_2eps3arms!$AN$2:$AN$176,MATCH(Table1[[#This Row],[ModelID]],Inp_CER_Bin_2eps3arms!$A$2:$A$176,0))</f>
        <v>Compare.FWER.vs.Martin</v>
      </c>
      <c r="BB112" t="s">
        <v>42</v>
      </c>
      <c r="BC112" t="s">
        <v>621</v>
      </c>
      <c r="BD112" t="s">
        <v>628</v>
      </c>
      <c r="BE112" s="10">
        <f>Table1[[#This Row],[Global.Power]]</f>
        <v>2.1485299999999999E-2</v>
      </c>
      <c r="BF112" s="10">
        <f>Table1[[#This Row],[Conjunctive.Power]]</f>
        <v>0</v>
      </c>
      <c r="BG112" s="10">
        <f>Table1[[#This Row],[Disjunctive.Power]]</f>
        <v>0</v>
      </c>
      <c r="BH112" s="10">
        <f>Table1[[#This Row],[FWER]]</f>
        <v>2.1485299999999999E-2</v>
      </c>
      <c r="BI112" s="10">
        <f>_xlfn.NUMBERVALUE(MID(Table1[[#This Row],[CI_95perc_Global.Power]],2,FIND(",",Table1[[#This Row],[CI_95perc_Global.Power]])-2))</f>
        <v>2.0670000000000001E-2</v>
      </c>
      <c r="BJ112" s="10">
        <f>_xlfn.NUMBERVALUE(MID(Table1[[#This Row],[CI_95perc_Global.Power]],FIND(",",Table1[[#This Row],[CI_95perc_Global.Power]])+1,LEN(Table1[[#This Row],[CI_95perc_Global.Power]])-FIND(",",Table1[[#This Row],[CI_95perc_Global.Power]])-1))</f>
        <v>2.23E-2</v>
      </c>
      <c r="BK112" s="10">
        <f>_xlfn.NUMBERVALUE(MID(Table1[[#This Row],[CI_95perc_Conjunctive.Power]],2,FIND(",",Table1[[#This Row],[CI_95perc_Conjunctive.Power]])-2))</f>
        <v>0</v>
      </c>
      <c r="BL112" s="10">
        <f>_xlfn.NUMBERVALUE(MID(Table1[[#This Row],[CI_95perc_Conjunctive.Power]],FIND(",",Table1[[#This Row],[CI_95perc_Conjunctive.Power]])+1,LEN(Table1[[#This Row],[CI_95perc_Conjunctive.Power]])-FIND(",",Table1[[#This Row],[CI_95perc_Conjunctive.Power]])-1))</f>
        <v>0</v>
      </c>
      <c r="BM112" s="10">
        <f>_xlfn.NUMBERVALUE(MID(Table1[[#This Row],[CI_95perc_Disjunctive.Power]],2,FIND(",",Table1[[#This Row],[CI_95perc_Disjunctive.Power]])-2))</f>
        <v>0</v>
      </c>
      <c r="BN112" s="10">
        <f>_xlfn.NUMBERVALUE(MID(Table1[[#This Row],[CI_95perc_Disjunctive.Power]],FIND(",",Table1[[#This Row],[CI_95perc_Disjunctive.Power]])+1,LEN(Table1[[#This Row],[CI_95perc_Disjunctive.Power]])-FIND(",",Table1[[#This Row],[CI_95perc_Disjunctive.Power]])-1))</f>
        <v>0</v>
      </c>
      <c r="BO112" s="10">
        <f>_xlfn.NUMBERVALUE(MID(Table1[[#This Row],[CI_95perc_FWER]],2,FIND(",",Table1[[#This Row],[CI_95perc_FWER]])-2))</f>
        <v>2.0670000000000001E-2</v>
      </c>
      <c r="BP112" s="10">
        <f>_xlfn.NUMBERVALUE(MID(Table1[[#This Row],[CI_95perc_FWER]],FIND(",",Table1[[#This Row],[CI_95perc_FWER]])+1,LEN(Table1[[#This Row],[CI_95perc_FWER]])-FIND(",",Table1[[#This Row],[CI_95perc_FWER]])-1))</f>
        <v>2.23E-2</v>
      </c>
      <c r="BQ112" s="10" t="str">
        <f>_xlfn.CONCAT("(",TEXT(Table1[[#This Row],[LCL_Disj.Pow%]],"0.00%"), ", ",TEXT(Table1[[#This Row],[UCL_Disj.Pow%]],"0.00%"),")")</f>
        <v>(0.00%, 0.00%)</v>
      </c>
      <c r="BR112" s="10" t="str">
        <f>_xlfn.CONCAT("(",TEXT(Table1[[#This Row],[LCL_Conj.Pow%]],"0.00%"),", ",TEXT(Table1[[#This Row],[UCL_Conj.Pow%]],"0.00%"),")")</f>
        <v>(0.00%, 0.00%)</v>
      </c>
      <c r="BS112" s="10" t="str">
        <f>_xlfn.CONCAT("(",TEXT(Table1[[#This Row],[LCL_FWER%]],"0.00%"),", ",TEXT(Table1[[#This Row],[UCL_FWER%]],"0.00%"),")")</f>
        <v>(2.07%, 2.23%)</v>
      </c>
    </row>
    <row r="113" spans="1:71" x14ac:dyDescent="0.25">
      <c r="A113">
        <v>111</v>
      </c>
      <c r="B113" t="s">
        <v>662</v>
      </c>
      <c r="C113">
        <v>2167</v>
      </c>
      <c r="D113">
        <v>2.02413E-2</v>
      </c>
      <c r="E113">
        <v>0</v>
      </c>
      <c r="F113">
        <v>0</v>
      </c>
      <c r="G113">
        <v>2.02413E-2</v>
      </c>
      <c r="H113" t="s">
        <v>680</v>
      </c>
      <c r="I113" t="s">
        <v>83</v>
      </c>
      <c r="J113" t="s">
        <v>83</v>
      </c>
      <c r="K113" t="s">
        <v>680</v>
      </c>
      <c r="L113" s="1">
        <v>22394</v>
      </c>
      <c r="M113" t="s">
        <v>681</v>
      </c>
      <c r="N113">
        <v>0.660161529183388</v>
      </c>
      <c r="O113" t="s">
        <v>85</v>
      </c>
      <c r="P113" t="s">
        <v>41</v>
      </c>
      <c r="Q113">
        <v>500</v>
      </c>
      <c r="R113">
        <v>2.5000000000000001E-2</v>
      </c>
      <c r="S113" t="s">
        <v>654</v>
      </c>
      <c r="T113" t="s">
        <v>42</v>
      </c>
      <c r="U113" t="s">
        <v>64</v>
      </c>
      <c r="V113" t="s">
        <v>44</v>
      </c>
      <c r="W113">
        <v>5</v>
      </c>
      <c r="X113">
        <v>2</v>
      </c>
      <c r="Y113" t="s">
        <v>650</v>
      </c>
      <c r="Z113" t="s">
        <v>652</v>
      </c>
      <c r="AA113" t="s">
        <v>651</v>
      </c>
      <c r="AB113" t="s">
        <v>653</v>
      </c>
      <c r="AC113" t="s">
        <v>122</v>
      </c>
      <c r="AD113" t="s">
        <v>663</v>
      </c>
      <c r="AE113" t="s">
        <v>124</v>
      </c>
      <c r="AF113" t="s">
        <v>125</v>
      </c>
      <c r="AG113" t="s">
        <v>51</v>
      </c>
      <c r="AH113" t="s">
        <v>126</v>
      </c>
      <c r="AI113" t="s">
        <v>53</v>
      </c>
      <c r="AJ113" t="b">
        <v>1</v>
      </c>
      <c r="AK113" t="b">
        <v>1</v>
      </c>
      <c r="AL113">
        <v>1</v>
      </c>
      <c r="AM113">
        <v>1</v>
      </c>
      <c r="AN113" t="s">
        <v>56</v>
      </c>
      <c r="AO113" t="s">
        <v>60</v>
      </c>
      <c r="AP113">
        <v>1</v>
      </c>
      <c r="AQ113" t="b">
        <v>1</v>
      </c>
      <c r="AR113" t="s">
        <v>23</v>
      </c>
      <c r="AS113">
        <v>20000</v>
      </c>
      <c r="AT113">
        <v>500</v>
      </c>
      <c r="AU113" t="s">
        <v>121</v>
      </c>
      <c r="AV113" t="b">
        <v>0</v>
      </c>
      <c r="AW113" t="b">
        <v>0</v>
      </c>
      <c r="AX113" t="b">
        <v>1</v>
      </c>
      <c r="AY113" t="b">
        <v>0</v>
      </c>
      <c r="AZ113" t="b">
        <v>0</v>
      </c>
      <c r="BA113" t="str">
        <f>INDEX(Inp_CER_Bin_2eps3arms!$AN$2:$AN$176,MATCH(Table1[[#This Row],[ModelID]],Inp_CER_Bin_2eps3arms!$A$2:$A$176,0))</f>
        <v>Compare.FWER.vs.Martin</v>
      </c>
      <c r="BB113" t="s">
        <v>42</v>
      </c>
      <c r="BC113" t="s">
        <v>620</v>
      </c>
      <c r="BD113" t="s">
        <v>628</v>
      </c>
      <c r="BE113" s="10">
        <f>Table1[[#This Row],[Global.Power]]</f>
        <v>2.02413E-2</v>
      </c>
      <c r="BF113" s="10">
        <f>Table1[[#This Row],[Conjunctive.Power]]</f>
        <v>0</v>
      </c>
      <c r="BG113" s="10">
        <f>Table1[[#This Row],[Disjunctive.Power]]</f>
        <v>0</v>
      </c>
      <c r="BH113" s="10">
        <f>Table1[[#This Row],[FWER]]</f>
        <v>2.02413E-2</v>
      </c>
      <c r="BI113" s="10">
        <f>_xlfn.NUMBERVALUE(MID(Table1[[#This Row],[CI_95perc_Global.Power]],2,FIND(",",Table1[[#This Row],[CI_95perc_Global.Power]])-2))</f>
        <v>1.9480000000000001E-2</v>
      </c>
      <c r="BJ113" s="10">
        <f>_xlfn.NUMBERVALUE(MID(Table1[[#This Row],[CI_95perc_Global.Power]],FIND(",",Table1[[#This Row],[CI_95perc_Global.Power]])+1,LEN(Table1[[#This Row],[CI_95perc_Global.Power]])-FIND(",",Table1[[#This Row],[CI_95perc_Global.Power]])-1))</f>
        <v>2.1010000000000001E-2</v>
      </c>
      <c r="BK113" s="10">
        <f>_xlfn.NUMBERVALUE(MID(Table1[[#This Row],[CI_95perc_Conjunctive.Power]],2,FIND(",",Table1[[#This Row],[CI_95perc_Conjunctive.Power]])-2))</f>
        <v>0</v>
      </c>
      <c r="BL113" s="10">
        <f>_xlfn.NUMBERVALUE(MID(Table1[[#This Row],[CI_95perc_Conjunctive.Power]],FIND(",",Table1[[#This Row],[CI_95perc_Conjunctive.Power]])+1,LEN(Table1[[#This Row],[CI_95perc_Conjunctive.Power]])-FIND(",",Table1[[#This Row],[CI_95perc_Conjunctive.Power]])-1))</f>
        <v>0</v>
      </c>
      <c r="BM113" s="10">
        <f>_xlfn.NUMBERVALUE(MID(Table1[[#This Row],[CI_95perc_Disjunctive.Power]],2,FIND(",",Table1[[#This Row],[CI_95perc_Disjunctive.Power]])-2))</f>
        <v>0</v>
      </c>
      <c r="BN113" s="10">
        <f>_xlfn.NUMBERVALUE(MID(Table1[[#This Row],[CI_95perc_Disjunctive.Power]],FIND(",",Table1[[#This Row],[CI_95perc_Disjunctive.Power]])+1,LEN(Table1[[#This Row],[CI_95perc_Disjunctive.Power]])-FIND(",",Table1[[#This Row],[CI_95perc_Disjunctive.Power]])-1))</f>
        <v>0</v>
      </c>
      <c r="BO113" s="10">
        <f>_xlfn.NUMBERVALUE(MID(Table1[[#This Row],[CI_95perc_FWER]],2,FIND(",",Table1[[#This Row],[CI_95perc_FWER]])-2))</f>
        <v>1.9480000000000001E-2</v>
      </c>
      <c r="BP113" s="10">
        <f>_xlfn.NUMBERVALUE(MID(Table1[[#This Row],[CI_95perc_FWER]],FIND(",",Table1[[#This Row],[CI_95perc_FWER]])+1,LEN(Table1[[#This Row],[CI_95perc_FWER]])-FIND(",",Table1[[#This Row],[CI_95perc_FWER]])-1))</f>
        <v>2.1010000000000001E-2</v>
      </c>
      <c r="BQ113" s="10" t="str">
        <f>_xlfn.CONCAT("(",TEXT(Table1[[#This Row],[LCL_Disj.Pow%]],"0.00%"), ", ",TEXT(Table1[[#This Row],[UCL_Disj.Pow%]],"0.00%"),")")</f>
        <v>(0.00%, 0.00%)</v>
      </c>
      <c r="BR113" s="10" t="str">
        <f>_xlfn.CONCAT("(",TEXT(Table1[[#This Row],[LCL_Conj.Pow%]],"0.00%"),", ",TEXT(Table1[[#This Row],[UCL_Conj.Pow%]],"0.00%"),")")</f>
        <v>(0.00%, 0.00%)</v>
      </c>
      <c r="BS113" s="10" t="str">
        <f>_xlfn.CONCAT("(",TEXT(Table1[[#This Row],[LCL_FWER%]],"0.00%"),", ",TEXT(Table1[[#This Row],[UCL_FWER%]],"0.00%"),")")</f>
        <v>(1.95%, 2.10%)</v>
      </c>
    </row>
    <row r="114" spans="1:71" x14ac:dyDescent="0.25">
      <c r="A114">
        <v>112</v>
      </c>
      <c r="B114" t="s">
        <v>665</v>
      </c>
      <c r="C114">
        <v>5984</v>
      </c>
      <c r="D114">
        <v>2.22089E-2</v>
      </c>
      <c r="E114">
        <v>0</v>
      </c>
      <c r="F114">
        <v>0</v>
      </c>
      <c r="G114">
        <v>2.22089E-2</v>
      </c>
      <c r="H114" t="s">
        <v>682</v>
      </c>
      <c r="I114" t="s">
        <v>83</v>
      </c>
      <c r="J114" t="s">
        <v>83</v>
      </c>
      <c r="K114" t="s">
        <v>682</v>
      </c>
      <c r="L114" s="1">
        <v>29457</v>
      </c>
      <c r="M114" t="s">
        <v>683</v>
      </c>
      <c r="N114">
        <v>1.0052406717008999</v>
      </c>
      <c r="O114" t="s">
        <v>85</v>
      </c>
      <c r="P114" t="s">
        <v>41</v>
      </c>
      <c r="Q114">
        <v>500</v>
      </c>
      <c r="R114">
        <v>2.5000000000000001E-2</v>
      </c>
      <c r="S114" t="s">
        <v>654</v>
      </c>
      <c r="T114" t="s">
        <v>42</v>
      </c>
      <c r="U114" t="s">
        <v>64</v>
      </c>
      <c r="V114" t="s">
        <v>44</v>
      </c>
      <c r="W114">
        <v>5</v>
      </c>
      <c r="X114">
        <v>2</v>
      </c>
      <c r="Y114" t="s">
        <v>650</v>
      </c>
      <c r="Z114" t="s">
        <v>652</v>
      </c>
      <c r="AA114" t="s">
        <v>651</v>
      </c>
      <c r="AB114" t="s">
        <v>653</v>
      </c>
      <c r="AC114" t="s">
        <v>122</v>
      </c>
      <c r="AD114" t="s">
        <v>664</v>
      </c>
      <c r="AE114" t="s">
        <v>124</v>
      </c>
      <c r="AF114" t="s">
        <v>125</v>
      </c>
      <c r="AG114" t="s">
        <v>51</v>
      </c>
      <c r="AH114" t="s">
        <v>126</v>
      </c>
      <c r="AI114" t="s">
        <v>53</v>
      </c>
      <c r="AJ114" t="b">
        <v>1</v>
      </c>
      <c r="AK114" t="b">
        <v>1</v>
      </c>
      <c r="AL114">
        <v>1</v>
      </c>
      <c r="AM114">
        <v>1</v>
      </c>
      <c r="AN114" t="s">
        <v>56</v>
      </c>
      <c r="AO114" t="s">
        <v>57</v>
      </c>
      <c r="AP114">
        <v>0.75</v>
      </c>
      <c r="AQ114" t="b">
        <v>1</v>
      </c>
      <c r="AR114" t="s">
        <v>23</v>
      </c>
      <c r="AS114">
        <v>20000</v>
      </c>
      <c r="AT114">
        <v>500</v>
      </c>
      <c r="AU114" t="s">
        <v>121</v>
      </c>
      <c r="AV114" t="b">
        <v>0</v>
      </c>
      <c r="AW114" t="b">
        <v>0</v>
      </c>
      <c r="AX114" t="b">
        <v>1</v>
      </c>
      <c r="AY114" t="b">
        <v>0</v>
      </c>
      <c r="AZ114" t="b">
        <v>0</v>
      </c>
      <c r="BA114">
        <f>INDEX(Inp_CER_Bin_2eps3arms!$AN$2:$AN$176,MATCH(Table1[[#This Row],[ModelID]],Inp_CER_Bin_2eps3arms!$A$2:$A$176,0))</f>
        <v>0</v>
      </c>
      <c r="BB114" t="s">
        <v>42</v>
      </c>
      <c r="BC114" t="s">
        <v>619</v>
      </c>
      <c r="BD114" t="s">
        <v>628</v>
      </c>
      <c r="BE114" s="10">
        <f>Table1[[#This Row],[Global.Power]]</f>
        <v>2.22089E-2</v>
      </c>
      <c r="BF114" s="10">
        <f>Table1[[#This Row],[Conjunctive.Power]]</f>
        <v>0</v>
      </c>
      <c r="BG114" s="10">
        <f>Table1[[#This Row],[Disjunctive.Power]]</f>
        <v>0</v>
      </c>
      <c r="BH114" s="10">
        <f>Table1[[#This Row],[FWER]]</f>
        <v>2.22089E-2</v>
      </c>
      <c r="BI114" s="10">
        <f>_xlfn.NUMBERVALUE(MID(Table1[[#This Row],[CI_95perc_Global.Power]],2,FIND(",",Table1[[#This Row],[CI_95perc_Global.Power]])-2))</f>
        <v>2.137E-2</v>
      </c>
      <c r="BJ114" s="10">
        <f>_xlfn.NUMBERVALUE(MID(Table1[[#This Row],[CI_95perc_Global.Power]],FIND(",",Table1[[#This Row],[CI_95perc_Global.Power]])+1,LEN(Table1[[#This Row],[CI_95perc_Global.Power]])-FIND(",",Table1[[#This Row],[CI_95perc_Global.Power]])-1))</f>
        <v>2.3050000000000001E-2</v>
      </c>
      <c r="BK114" s="10">
        <f>_xlfn.NUMBERVALUE(MID(Table1[[#This Row],[CI_95perc_Conjunctive.Power]],2,FIND(",",Table1[[#This Row],[CI_95perc_Conjunctive.Power]])-2))</f>
        <v>0</v>
      </c>
      <c r="BL114" s="10">
        <f>_xlfn.NUMBERVALUE(MID(Table1[[#This Row],[CI_95perc_Conjunctive.Power]],FIND(",",Table1[[#This Row],[CI_95perc_Conjunctive.Power]])+1,LEN(Table1[[#This Row],[CI_95perc_Conjunctive.Power]])-FIND(",",Table1[[#This Row],[CI_95perc_Conjunctive.Power]])-1))</f>
        <v>0</v>
      </c>
      <c r="BM114" s="10">
        <f>_xlfn.NUMBERVALUE(MID(Table1[[#This Row],[CI_95perc_Disjunctive.Power]],2,FIND(",",Table1[[#This Row],[CI_95perc_Disjunctive.Power]])-2))</f>
        <v>0</v>
      </c>
      <c r="BN114" s="10">
        <f>_xlfn.NUMBERVALUE(MID(Table1[[#This Row],[CI_95perc_Disjunctive.Power]],FIND(",",Table1[[#This Row],[CI_95perc_Disjunctive.Power]])+1,LEN(Table1[[#This Row],[CI_95perc_Disjunctive.Power]])-FIND(",",Table1[[#This Row],[CI_95perc_Disjunctive.Power]])-1))</f>
        <v>0</v>
      </c>
      <c r="BO114" s="10">
        <f>_xlfn.NUMBERVALUE(MID(Table1[[#This Row],[CI_95perc_FWER]],2,FIND(",",Table1[[#This Row],[CI_95perc_FWER]])-2))</f>
        <v>2.137E-2</v>
      </c>
      <c r="BP114" s="10">
        <f>_xlfn.NUMBERVALUE(MID(Table1[[#This Row],[CI_95perc_FWER]],FIND(",",Table1[[#This Row],[CI_95perc_FWER]])+1,LEN(Table1[[#This Row],[CI_95perc_FWER]])-FIND(",",Table1[[#This Row],[CI_95perc_FWER]])-1))</f>
        <v>2.3050000000000001E-2</v>
      </c>
      <c r="BQ114" s="10" t="str">
        <f>_xlfn.CONCAT("(",TEXT(Table1[[#This Row],[LCL_Disj.Pow%]],"0.00%"), ", ",TEXT(Table1[[#This Row],[UCL_Disj.Pow%]],"0.00%"),")")</f>
        <v>(0.00%, 0.00%)</v>
      </c>
      <c r="BR114" s="10" t="str">
        <f>_xlfn.CONCAT("(",TEXT(Table1[[#This Row],[LCL_Conj.Pow%]],"0.00%"),", ",TEXT(Table1[[#This Row],[UCL_Conj.Pow%]],"0.00%"),")")</f>
        <v>(0.00%, 0.00%)</v>
      </c>
      <c r="BS114" s="10" t="str">
        <f>_xlfn.CONCAT("(",TEXT(Table1[[#This Row],[LCL_FWER%]],"0.00%"),", ",TEXT(Table1[[#This Row],[UCL_FWER%]],"0.00%"),")")</f>
        <v>(2.14%, 2.31%)</v>
      </c>
    </row>
    <row r="115" spans="1:71" x14ac:dyDescent="0.25">
      <c r="A115">
        <v>113</v>
      </c>
      <c r="B115" t="s">
        <v>666</v>
      </c>
      <c r="C115">
        <v>2122</v>
      </c>
      <c r="D115">
        <v>2.1904699999999999E-2</v>
      </c>
      <c r="E115">
        <v>0</v>
      </c>
      <c r="F115">
        <v>0</v>
      </c>
      <c r="G115">
        <v>2.1904699999999999E-2</v>
      </c>
      <c r="H115" t="s">
        <v>684</v>
      </c>
      <c r="I115" t="s">
        <v>83</v>
      </c>
      <c r="J115" t="s">
        <v>83</v>
      </c>
      <c r="K115" t="s">
        <v>684</v>
      </c>
      <c r="L115" s="1">
        <v>25442</v>
      </c>
      <c r="M115" t="s">
        <v>685</v>
      </c>
      <c r="N115">
        <v>0.74896042194631396</v>
      </c>
      <c r="O115" t="s">
        <v>85</v>
      </c>
      <c r="P115" t="s">
        <v>41</v>
      </c>
      <c r="Q115">
        <v>500</v>
      </c>
      <c r="R115">
        <v>2.5000000000000001E-2</v>
      </c>
      <c r="S115" t="s">
        <v>654</v>
      </c>
      <c r="T115" t="s">
        <v>42</v>
      </c>
      <c r="U115" t="s">
        <v>64</v>
      </c>
      <c r="V115" t="s">
        <v>44</v>
      </c>
      <c r="W115">
        <v>5</v>
      </c>
      <c r="X115">
        <v>2</v>
      </c>
      <c r="Y115" t="s">
        <v>650</v>
      </c>
      <c r="Z115" t="s">
        <v>652</v>
      </c>
      <c r="AA115" t="s">
        <v>651</v>
      </c>
      <c r="AB115" t="s">
        <v>653</v>
      </c>
      <c r="AC115" t="s">
        <v>122</v>
      </c>
      <c r="AD115" t="s">
        <v>664</v>
      </c>
      <c r="AE115" t="s">
        <v>124</v>
      </c>
      <c r="AF115" t="s">
        <v>125</v>
      </c>
      <c r="AG115" t="s">
        <v>51</v>
      </c>
      <c r="AH115" t="s">
        <v>126</v>
      </c>
      <c r="AI115" t="s">
        <v>53</v>
      </c>
      <c r="AJ115" t="b">
        <v>1</v>
      </c>
      <c r="AK115" t="b">
        <v>1</v>
      </c>
      <c r="AL115">
        <v>1</v>
      </c>
      <c r="AM115">
        <v>1</v>
      </c>
      <c r="AN115" t="s">
        <v>56</v>
      </c>
      <c r="AO115" t="s">
        <v>57</v>
      </c>
      <c r="AP115">
        <v>0.5</v>
      </c>
      <c r="AQ115" t="b">
        <v>1</v>
      </c>
      <c r="AR115" t="s">
        <v>23</v>
      </c>
      <c r="AS115">
        <v>20000</v>
      </c>
      <c r="AT115">
        <v>500</v>
      </c>
      <c r="AU115" t="s">
        <v>121</v>
      </c>
      <c r="AV115" t="b">
        <v>0</v>
      </c>
      <c r="AW115" t="b">
        <v>0</v>
      </c>
      <c r="AX115" t="b">
        <v>1</v>
      </c>
      <c r="AY115" t="b">
        <v>0</v>
      </c>
      <c r="AZ115" t="b">
        <v>0</v>
      </c>
      <c r="BA115">
        <f>INDEX(Inp_CER_Bin_2eps3arms!$AN$2:$AN$176,MATCH(Table1[[#This Row],[ModelID]],Inp_CER_Bin_2eps3arms!$A$2:$A$176,0))</f>
        <v>0</v>
      </c>
      <c r="BB115" t="s">
        <v>42</v>
      </c>
      <c r="BC115" t="s">
        <v>622</v>
      </c>
      <c r="BD115" t="s">
        <v>628</v>
      </c>
      <c r="BE115" s="10">
        <f>Table1[[#This Row],[Global.Power]]</f>
        <v>2.1904699999999999E-2</v>
      </c>
      <c r="BF115" s="10">
        <f>Table1[[#This Row],[Conjunctive.Power]]</f>
        <v>0</v>
      </c>
      <c r="BG115" s="10">
        <f>Table1[[#This Row],[Disjunctive.Power]]</f>
        <v>0</v>
      </c>
      <c r="BH115" s="10">
        <f>Table1[[#This Row],[FWER]]</f>
        <v>2.1904699999999999E-2</v>
      </c>
      <c r="BI115" s="10">
        <f>_xlfn.NUMBERVALUE(MID(Table1[[#This Row],[CI_95perc_Global.Power]],2,FIND(",",Table1[[#This Row],[CI_95perc_Global.Power]])-2))</f>
        <v>2.1080000000000002E-2</v>
      </c>
      <c r="BJ115" s="10">
        <f>_xlfn.NUMBERVALUE(MID(Table1[[#This Row],[CI_95perc_Global.Power]],FIND(",",Table1[[#This Row],[CI_95perc_Global.Power]])+1,LEN(Table1[[#This Row],[CI_95perc_Global.Power]])-FIND(",",Table1[[#This Row],[CI_95perc_Global.Power]])-1))</f>
        <v>2.273E-2</v>
      </c>
      <c r="BK115" s="10">
        <f>_xlfn.NUMBERVALUE(MID(Table1[[#This Row],[CI_95perc_Conjunctive.Power]],2,FIND(",",Table1[[#This Row],[CI_95perc_Conjunctive.Power]])-2))</f>
        <v>0</v>
      </c>
      <c r="BL115" s="10">
        <f>_xlfn.NUMBERVALUE(MID(Table1[[#This Row],[CI_95perc_Conjunctive.Power]],FIND(",",Table1[[#This Row],[CI_95perc_Conjunctive.Power]])+1,LEN(Table1[[#This Row],[CI_95perc_Conjunctive.Power]])-FIND(",",Table1[[#This Row],[CI_95perc_Conjunctive.Power]])-1))</f>
        <v>0</v>
      </c>
      <c r="BM115" s="10">
        <f>_xlfn.NUMBERVALUE(MID(Table1[[#This Row],[CI_95perc_Disjunctive.Power]],2,FIND(",",Table1[[#This Row],[CI_95perc_Disjunctive.Power]])-2))</f>
        <v>0</v>
      </c>
      <c r="BN115" s="10">
        <f>_xlfn.NUMBERVALUE(MID(Table1[[#This Row],[CI_95perc_Disjunctive.Power]],FIND(",",Table1[[#This Row],[CI_95perc_Disjunctive.Power]])+1,LEN(Table1[[#This Row],[CI_95perc_Disjunctive.Power]])-FIND(",",Table1[[#This Row],[CI_95perc_Disjunctive.Power]])-1))</f>
        <v>0</v>
      </c>
      <c r="BO115" s="10">
        <f>_xlfn.NUMBERVALUE(MID(Table1[[#This Row],[CI_95perc_FWER]],2,FIND(",",Table1[[#This Row],[CI_95perc_FWER]])-2))</f>
        <v>2.1080000000000002E-2</v>
      </c>
      <c r="BP115" s="10">
        <f>_xlfn.NUMBERVALUE(MID(Table1[[#This Row],[CI_95perc_FWER]],FIND(",",Table1[[#This Row],[CI_95perc_FWER]])+1,LEN(Table1[[#This Row],[CI_95perc_FWER]])-FIND(",",Table1[[#This Row],[CI_95perc_FWER]])-1))</f>
        <v>2.273E-2</v>
      </c>
      <c r="BQ115" s="10" t="str">
        <f>_xlfn.CONCAT("(",TEXT(Table1[[#This Row],[LCL_Disj.Pow%]],"0.00%"), ", ",TEXT(Table1[[#This Row],[UCL_Disj.Pow%]],"0.00%"),")")</f>
        <v>(0.00%, 0.00%)</v>
      </c>
      <c r="BR115" s="10" t="str">
        <f>_xlfn.CONCAT("(",TEXT(Table1[[#This Row],[LCL_Conj.Pow%]],"0.00%"),", ",TEXT(Table1[[#This Row],[UCL_Conj.Pow%]],"0.00%"),")")</f>
        <v>(0.00%, 0.00%)</v>
      </c>
      <c r="BS115" s="10" t="str">
        <f>_xlfn.CONCAT("(",TEXT(Table1[[#This Row],[LCL_FWER%]],"0.00%"),", ",TEXT(Table1[[#This Row],[UCL_FWER%]],"0.00%"),")")</f>
        <v>(2.11%, 2.27%)</v>
      </c>
    </row>
    <row r="116" spans="1:71" x14ac:dyDescent="0.25">
      <c r="A116">
        <v>114</v>
      </c>
      <c r="B116" t="s">
        <v>667</v>
      </c>
      <c r="C116">
        <v>9049</v>
      </c>
      <c r="D116">
        <v>2.16861E-2</v>
      </c>
      <c r="E116">
        <v>0</v>
      </c>
      <c r="F116">
        <v>0</v>
      </c>
      <c r="G116">
        <v>2.16861E-2</v>
      </c>
      <c r="H116" t="s">
        <v>686</v>
      </c>
      <c r="I116" t="s">
        <v>83</v>
      </c>
      <c r="J116" t="s">
        <v>83</v>
      </c>
      <c r="K116" t="s">
        <v>686</v>
      </c>
      <c r="L116" s="1">
        <v>33444</v>
      </c>
      <c r="M116" t="s">
        <v>687</v>
      </c>
      <c r="N116">
        <v>0.46717696580621898</v>
      </c>
      <c r="O116" t="s">
        <v>85</v>
      </c>
      <c r="P116" t="s">
        <v>41</v>
      </c>
      <c r="Q116">
        <v>500</v>
      </c>
      <c r="R116">
        <v>2.5000000000000001E-2</v>
      </c>
      <c r="S116" t="s">
        <v>654</v>
      </c>
      <c r="T116" t="s">
        <v>42</v>
      </c>
      <c r="U116" t="s">
        <v>64</v>
      </c>
      <c r="V116" t="s">
        <v>44</v>
      </c>
      <c r="W116">
        <v>5</v>
      </c>
      <c r="X116">
        <v>2</v>
      </c>
      <c r="Y116" t="s">
        <v>650</v>
      </c>
      <c r="Z116" t="s">
        <v>652</v>
      </c>
      <c r="AA116" t="s">
        <v>651</v>
      </c>
      <c r="AB116" t="s">
        <v>653</v>
      </c>
      <c r="AC116" t="s">
        <v>122</v>
      </c>
      <c r="AD116" t="s">
        <v>664</v>
      </c>
      <c r="AE116" t="s">
        <v>124</v>
      </c>
      <c r="AF116" t="s">
        <v>125</v>
      </c>
      <c r="AG116" t="s">
        <v>51</v>
      </c>
      <c r="AH116" t="s">
        <v>126</v>
      </c>
      <c r="AI116" t="s">
        <v>53</v>
      </c>
      <c r="AJ116" t="b">
        <v>1</v>
      </c>
      <c r="AK116" t="b">
        <v>1</v>
      </c>
      <c r="AL116">
        <v>1</v>
      </c>
      <c r="AM116">
        <v>1</v>
      </c>
      <c r="AN116" t="s">
        <v>56</v>
      </c>
      <c r="AO116" t="s">
        <v>57</v>
      </c>
      <c r="AP116">
        <v>0.25</v>
      </c>
      <c r="AQ116" t="b">
        <v>1</v>
      </c>
      <c r="AR116" t="s">
        <v>23</v>
      </c>
      <c r="AS116">
        <v>20000</v>
      </c>
      <c r="AT116">
        <v>500</v>
      </c>
      <c r="AU116" t="s">
        <v>121</v>
      </c>
      <c r="AV116" t="b">
        <v>0</v>
      </c>
      <c r="AW116" t="b">
        <v>0</v>
      </c>
      <c r="AX116" t="b">
        <v>1</v>
      </c>
      <c r="AY116" t="b">
        <v>0</v>
      </c>
      <c r="AZ116" t="b">
        <v>0</v>
      </c>
      <c r="BA116">
        <f>INDEX(Inp_CER_Bin_2eps3arms!$AN$2:$AN$176,MATCH(Table1[[#This Row],[ModelID]],Inp_CER_Bin_2eps3arms!$A$2:$A$176,0))</f>
        <v>0</v>
      </c>
      <c r="BB116" t="s">
        <v>42</v>
      </c>
      <c r="BC116" t="s">
        <v>621</v>
      </c>
      <c r="BD116" t="s">
        <v>628</v>
      </c>
      <c r="BE116" s="10">
        <f>Table1[[#This Row],[Global.Power]]</f>
        <v>2.16861E-2</v>
      </c>
      <c r="BF116" s="10">
        <f>Table1[[#This Row],[Conjunctive.Power]]</f>
        <v>0</v>
      </c>
      <c r="BG116" s="10">
        <f>Table1[[#This Row],[Disjunctive.Power]]</f>
        <v>0</v>
      </c>
      <c r="BH116" s="10">
        <f>Table1[[#This Row],[FWER]]</f>
        <v>2.16861E-2</v>
      </c>
      <c r="BI116" s="10">
        <f>_xlfn.NUMBERVALUE(MID(Table1[[#This Row],[CI_95perc_Global.Power]],2,FIND(",",Table1[[#This Row],[CI_95perc_Global.Power]])-2))</f>
        <v>2.0830000000000001E-2</v>
      </c>
      <c r="BJ116" s="10">
        <f>_xlfn.NUMBERVALUE(MID(Table1[[#This Row],[CI_95perc_Global.Power]],FIND(",",Table1[[#This Row],[CI_95perc_Global.Power]])+1,LEN(Table1[[#This Row],[CI_95perc_Global.Power]])-FIND(",",Table1[[#This Row],[CI_95perc_Global.Power]])-1))</f>
        <v>2.2540000000000001E-2</v>
      </c>
      <c r="BK116" s="10">
        <f>_xlfn.NUMBERVALUE(MID(Table1[[#This Row],[CI_95perc_Conjunctive.Power]],2,FIND(",",Table1[[#This Row],[CI_95perc_Conjunctive.Power]])-2))</f>
        <v>0</v>
      </c>
      <c r="BL116" s="10">
        <f>_xlfn.NUMBERVALUE(MID(Table1[[#This Row],[CI_95perc_Conjunctive.Power]],FIND(",",Table1[[#This Row],[CI_95perc_Conjunctive.Power]])+1,LEN(Table1[[#This Row],[CI_95perc_Conjunctive.Power]])-FIND(",",Table1[[#This Row],[CI_95perc_Conjunctive.Power]])-1))</f>
        <v>0</v>
      </c>
      <c r="BM116" s="10">
        <f>_xlfn.NUMBERVALUE(MID(Table1[[#This Row],[CI_95perc_Disjunctive.Power]],2,FIND(",",Table1[[#This Row],[CI_95perc_Disjunctive.Power]])-2))</f>
        <v>0</v>
      </c>
      <c r="BN116" s="10">
        <f>_xlfn.NUMBERVALUE(MID(Table1[[#This Row],[CI_95perc_Disjunctive.Power]],FIND(",",Table1[[#This Row],[CI_95perc_Disjunctive.Power]])+1,LEN(Table1[[#This Row],[CI_95perc_Disjunctive.Power]])-FIND(",",Table1[[#This Row],[CI_95perc_Disjunctive.Power]])-1))</f>
        <v>0</v>
      </c>
      <c r="BO116" s="10">
        <f>_xlfn.NUMBERVALUE(MID(Table1[[#This Row],[CI_95perc_FWER]],2,FIND(",",Table1[[#This Row],[CI_95perc_FWER]])-2))</f>
        <v>2.0830000000000001E-2</v>
      </c>
      <c r="BP116" s="10">
        <f>_xlfn.NUMBERVALUE(MID(Table1[[#This Row],[CI_95perc_FWER]],FIND(",",Table1[[#This Row],[CI_95perc_FWER]])+1,LEN(Table1[[#This Row],[CI_95perc_FWER]])-FIND(",",Table1[[#This Row],[CI_95perc_FWER]])-1))</f>
        <v>2.2540000000000001E-2</v>
      </c>
      <c r="BQ116" s="10" t="str">
        <f>_xlfn.CONCAT("(",TEXT(Table1[[#This Row],[LCL_Disj.Pow%]],"0.00%"), ", ",TEXT(Table1[[#This Row],[UCL_Disj.Pow%]],"0.00%"),")")</f>
        <v>(0.00%, 0.00%)</v>
      </c>
      <c r="BR116" s="10" t="str">
        <f>_xlfn.CONCAT("(",TEXT(Table1[[#This Row],[LCL_Conj.Pow%]],"0.00%"),", ",TEXT(Table1[[#This Row],[UCL_Conj.Pow%]],"0.00%"),")")</f>
        <v>(0.00%, 0.00%)</v>
      </c>
      <c r="BS116" s="10" t="str">
        <f>_xlfn.CONCAT("(",TEXT(Table1[[#This Row],[LCL_FWER%]],"0.00%"),", ",TEXT(Table1[[#This Row],[UCL_FWER%]],"0.00%"),")")</f>
        <v>(2.08%, 2.25%)</v>
      </c>
    </row>
    <row r="117" spans="1:71" x14ac:dyDescent="0.25">
      <c r="A117">
        <v>115</v>
      </c>
      <c r="B117" t="s">
        <v>668</v>
      </c>
      <c r="C117">
        <v>5961</v>
      </c>
      <c r="D117">
        <v>2.0725199999999999E-2</v>
      </c>
      <c r="E117">
        <v>0</v>
      </c>
      <c r="F117">
        <v>0</v>
      </c>
      <c r="G117">
        <v>2.0725199999999999E-2</v>
      </c>
      <c r="H117" t="s">
        <v>688</v>
      </c>
      <c r="I117" t="s">
        <v>83</v>
      </c>
      <c r="J117" t="s">
        <v>83</v>
      </c>
      <c r="K117" t="s">
        <v>688</v>
      </c>
      <c r="L117" s="1">
        <v>29404</v>
      </c>
      <c r="M117" t="s">
        <v>689</v>
      </c>
      <c r="N117">
        <v>0.65399128390683103</v>
      </c>
      <c r="O117" t="s">
        <v>85</v>
      </c>
      <c r="P117" t="s">
        <v>41</v>
      </c>
      <c r="Q117">
        <v>500</v>
      </c>
      <c r="R117">
        <v>2.5000000000000001E-2</v>
      </c>
      <c r="S117" t="s">
        <v>654</v>
      </c>
      <c r="T117" t="s">
        <v>42</v>
      </c>
      <c r="U117" t="s">
        <v>64</v>
      </c>
      <c r="V117" t="s">
        <v>44</v>
      </c>
      <c r="W117">
        <v>5</v>
      </c>
      <c r="X117">
        <v>2</v>
      </c>
      <c r="Y117" t="s">
        <v>650</v>
      </c>
      <c r="Z117" t="s">
        <v>652</v>
      </c>
      <c r="AA117" t="s">
        <v>651</v>
      </c>
      <c r="AB117" t="s">
        <v>653</v>
      </c>
      <c r="AC117" t="s">
        <v>122</v>
      </c>
      <c r="AD117" t="s">
        <v>664</v>
      </c>
      <c r="AE117" t="s">
        <v>124</v>
      </c>
      <c r="AF117" t="s">
        <v>125</v>
      </c>
      <c r="AG117" t="s">
        <v>51</v>
      </c>
      <c r="AH117" t="s">
        <v>126</v>
      </c>
      <c r="AI117" t="s">
        <v>53</v>
      </c>
      <c r="AJ117" t="b">
        <v>1</v>
      </c>
      <c r="AK117" t="b">
        <v>1</v>
      </c>
      <c r="AL117">
        <v>1</v>
      </c>
      <c r="AM117">
        <v>1</v>
      </c>
      <c r="AN117" t="s">
        <v>56</v>
      </c>
      <c r="AO117" t="s">
        <v>60</v>
      </c>
      <c r="AP117">
        <v>1</v>
      </c>
      <c r="AQ117" t="b">
        <v>1</v>
      </c>
      <c r="AR117" t="s">
        <v>23</v>
      </c>
      <c r="AS117">
        <v>20000</v>
      </c>
      <c r="AT117">
        <v>500</v>
      </c>
      <c r="AU117" t="s">
        <v>121</v>
      </c>
      <c r="AV117" t="b">
        <v>0</v>
      </c>
      <c r="AW117" t="b">
        <v>0</v>
      </c>
      <c r="AX117" t="b">
        <v>1</v>
      </c>
      <c r="AY117" t="b">
        <v>0</v>
      </c>
      <c r="AZ117" t="b">
        <v>0</v>
      </c>
      <c r="BA117">
        <f>INDEX(Inp_CER_Bin_2eps3arms!$AN$2:$AN$176,MATCH(Table1[[#This Row],[ModelID]],Inp_CER_Bin_2eps3arms!$A$2:$A$176,0))</f>
        <v>0</v>
      </c>
      <c r="BB117" t="s">
        <v>42</v>
      </c>
      <c r="BC117" t="s">
        <v>620</v>
      </c>
      <c r="BD117" t="s">
        <v>628</v>
      </c>
      <c r="BE117" s="10">
        <f>Table1[[#This Row],[Global.Power]]</f>
        <v>2.0725199999999999E-2</v>
      </c>
      <c r="BF117" s="10">
        <f>Table1[[#This Row],[Conjunctive.Power]]</f>
        <v>0</v>
      </c>
      <c r="BG117" s="10">
        <f>Table1[[#This Row],[Disjunctive.Power]]</f>
        <v>0</v>
      </c>
      <c r="BH117" s="10">
        <f>Table1[[#This Row],[FWER]]</f>
        <v>2.0725199999999999E-2</v>
      </c>
      <c r="BI117" s="10">
        <f>_xlfn.NUMBERVALUE(MID(Table1[[#This Row],[CI_95perc_Global.Power]],2,FIND(",",Table1[[#This Row],[CI_95perc_Global.Power]])-2))</f>
        <v>1.992E-2</v>
      </c>
      <c r="BJ117" s="10">
        <f>_xlfn.NUMBERVALUE(MID(Table1[[#This Row],[CI_95perc_Global.Power]],FIND(",",Table1[[#This Row],[CI_95perc_Global.Power]])+1,LEN(Table1[[#This Row],[CI_95perc_Global.Power]])-FIND(",",Table1[[#This Row],[CI_95perc_Global.Power]])-1))</f>
        <v>2.1530000000000001E-2</v>
      </c>
      <c r="BK117" s="10">
        <f>_xlfn.NUMBERVALUE(MID(Table1[[#This Row],[CI_95perc_Conjunctive.Power]],2,FIND(",",Table1[[#This Row],[CI_95perc_Conjunctive.Power]])-2))</f>
        <v>0</v>
      </c>
      <c r="BL117" s="10">
        <f>_xlfn.NUMBERVALUE(MID(Table1[[#This Row],[CI_95perc_Conjunctive.Power]],FIND(",",Table1[[#This Row],[CI_95perc_Conjunctive.Power]])+1,LEN(Table1[[#This Row],[CI_95perc_Conjunctive.Power]])-FIND(",",Table1[[#This Row],[CI_95perc_Conjunctive.Power]])-1))</f>
        <v>0</v>
      </c>
      <c r="BM117" s="10">
        <f>_xlfn.NUMBERVALUE(MID(Table1[[#This Row],[CI_95perc_Disjunctive.Power]],2,FIND(",",Table1[[#This Row],[CI_95perc_Disjunctive.Power]])-2))</f>
        <v>0</v>
      </c>
      <c r="BN117" s="10">
        <f>_xlfn.NUMBERVALUE(MID(Table1[[#This Row],[CI_95perc_Disjunctive.Power]],FIND(",",Table1[[#This Row],[CI_95perc_Disjunctive.Power]])+1,LEN(Table1[[#This Row],[CI_95perc_Disjunctive.Power]])-FIND(",",Table1[[#This Row],[CI_95perc_Disjunctive.Power]])-1))</f>
        <v>0</v>
      </c>
      <c r="BO117" s="10">
        <f>_xlfn.NUMBERVALUE(MID(Table1[[#This Row],[CI_95perc_FWER]],2,FIND(",",Table1[[#This Row],[CI_95perc_FWER]])-2))</f>
        <v>1.992E-2</v>
      </c>
      <c r="BP117" s="10">
        <f>_xlfn.NUMBERVALUE(MID(Table1[[#This Row],[CI_95perc_FWER]],FIND(",",Table1[[#This Row],[CI_95perc_FWER]])+1,LEN(Table1[[#This Row],[CI_95perc_FWER]])-FIND(",",Table1[[#This Row],[CI_95perc_FWER]])-1))</f>
        <v>2.1530000000000001E-2</v>
      </c>
      <c r="BQ117" s="10" t="str">
        <f>_xlfn.CONCAT("(",TEXT(Table1[[#This Row],[LCL_Disj.Pow%]],"0.00%"), ", ",TEXT(Table1[[#This Row],[UCL_Disj.Pow%]],"0.00%"),")")</f>
        <v>(0.00%, 0.00%)</v>
      </c>
      <c r="BR117" s="10" t="str">
        <f>_xlfn.CONCAT("(",TEXT(Table1[[#This Row],[LCL_Conj.Pow%]],"0.00%"),", ",TEXT(Table1[[#This Row],[UCL_Conj.Pow%]],"0.00%"),")")</f>
        <v>(0.00%, 0.00%)</v>
      </c>
      <c r="BS117" s="10" t="str">
        <f>_xlfn.CONCAT("(",TEXT(Table1[[#This Row],[LCL_FWER%]],"0.00%"),", ",TEXT(Table1[[#This Row],[UCL_FWER%]],"0.00%"),")")</f>
        <v>(1.99%, 2.15%)</v>
      </c>
    </row>
    <row r="118" spans="1:71" x14ac:dyDescent="0.25">
      <c r="A118">
        <v>116</v>
      </c>
      <c r="B118" t="s">
        <v>655</v>
      </c>
      <c r="C118">
        <v>9485</v>
      </c>
      <c r="D118">
        <v>2.2385499999999999E-2</v>
      </c>
      <c r="E118">
        <v>0</v>
      </c>
      <c r="F118">
        <v>0</v>
      </c>
      <c r="G118">
        <v>2.2385499999999999E-2</v>
      </c>
      <c r="H118" t="s">
        <v>690</v>
      </c>
      <c r="I118" t="s">
        <v>83</v>
      </c>
      <c r="J118" t="s">
        <v>83</v>
      </c>
      <c r="K118" t="s">
        <v>690</v>
      </c>
      <c r="L118" s="1">
        <v>30453</v>
      </c>
      <c r="M118" t="s">
        <v>691</v>
      </c>
      <c r="N118">
        <v>0.98734021888838897</v>
      </c>
      <c r="O118" t="s">
        <v>85</v>
      </c>
      <c r="P118" t="s">
        <v>41</v>
      </c>
      <c r="Q118">
        <v>500</v>
      </c>
      <c r="R118">
        <v>2.5000000000000001E-2</v>
      </c>
      <c r="S118" t="s">
        <v>654</v>
      </c>
      <c r="T118" t="s">
        <v>42</v>
      </c>
      <c r="U118" t="s">
        <v>64</v>
      </c>
      <c r="V118" t="s">
        <v>44</v>
      </c>
      <c r="W118">
        <v>5</v>
      </c>
      <c r="X118">
        <v>2</v>
      </c>
      <c r="Y118" t="s">
        <v>650</v>
      </c>
      <c r="Z118" t="s">
        <v>652</v>
      </c>
      <c r="AA118" t="s">
        <v>651</v>
      </c>
      <c r="AB118" t="s">
        <v>653</v>
      </c>
      <c r="AC118" t="s">
        <v>122</v>
      </c>
      <c r="AD118" t="s">
        <v>123</v>
      </c>
      <c r="AE118" t="s">
        <v>124</v>
      </c>
      <c r="AF118" t="s">
        <v>125</v>
      </c>
      <c r="AG118" t="s">
        <v>51</v>
      </c>
      <c r="AH118" t="s">
        <v>126</v>
      </c>
      <c r="AI118" t="s">
        <v>53</v>
      </c>
      <c r="AJ118" t="b">
        <v>1</v>
      </c>
      <c r="AK118" t="b">
        <v>1</v>
      </c>
      <c r="AL118">
        <v>1</v>
      </c>
      <c r="AM118">
        <v>1</v>
      </c>
      <c r="AN118" t="s">
        <v>56</v>
      </c>
      <c r="AO118" t="s">
        <v>57</v>
      </c>
      <c r="AP118">
        <v>0.75</v>
      </c>
      <c r="AQ118" t="b">
        <v>1</v>
      </c>
      <c r="AR118" t="s">
        <v>23</v>
      </c>
      <c r="AS118">
        <v>20000</v>
      </c>
      <c r="AT118">
        <v>500</v>
      </c>
      <c r="AU118" t="s">
        <v>121</v>
      </c>
      <c r="AV118" t="b">
        <v>0</v>
      </c>
      <c r="AW118" t="b">
        <v>0</v>
      </c>
      <c r="AX118" t="b">
        <v>1</v>
      </c>
      <c r="AY118" t="b">
        <v>0</v>
      </c>
      <c r="AZ118" t="b">
        <v>0</v>
      </c>
      <c r="BA118" t="str">
        <f>INDEX(Inp_CER_Bin_2eps3arms!$AN$2:$AN$176,MATCH(Table1[[#This Row],[ModelID]],Inp_CER_Bin_2eps3arms!$A$2:$A$176,0))</f>
        <v>Compare.FWER.vs.Martin</v>
      </c>
      <c r="BB118" t="s">
        <v>42</v>
      </c>
      <c r="BC118" t="s">
        <v>619</v>
      </c>
      <c r="BD118" t="s">
        <v>628</v>
      </c>
      <c r="BE118" s="10">
        <f>Table1[[#This Row],[Global.Power]]</f>
        <v>2.2385499999999999E-2</v>
      </c>
      <c r="BF118" s="10">
        <f>Table1[[#This Row],[Conjunctive.Power]]</f>
        <v>0</v>
      </c>
      <c r="BG118" s="10">
        <f>Table1[[#This Row],[Disjunctive.Power]]</f>
        <v>0</v>
      </c>
      <c r="BH118" s="10">
        <f>Table1[[#This Row],[FWER]]</f>
        <v>2.2385499999999999E-2</v>
      </c>
      <c r="BI118" s="10">
        <f>_xlfn.NUMBERVALUE(MID(Table1[[#This Row],[CI_95perc_Global.Power]],2,FIND(",",Table1[[#This Row],[CI_95perc_Global.Power]])-2))</f>
        <v>2.1530000000000001E-2</v>
      </c>
      <c r="BJ118" s="10">
        <f>_xlfn.NUMBERVALUE(MID(Table1[[#This Row],[CI_95perc_Global.Power]],FIND(",",Table1[[#This Row],[CI_95perc_Global.Power]])+1,LEN(Table1[[#This Row],[CI_95perc_Global.Power]])-FIND(",",Table1[[#This Row],[CI_95perc_Global.Power]])-1))</f>
        <v>2.324E-2</v>
      </c>
      <c r="BK118" s="10">
        <f>_xlfn.NUMBERVALUE(MID(Table1[[#This Row],[CI_95perc_Conjunctive.Power]],2,FIND(",",Table1[[#This Row],[CI_95perc_Conjunctive.Power]])-2))</f>
        <v>0</v>
      </c>
      <c r="BL118" s="10">
        <f>_xlfn.NUMBERVALUE(MID(Table1[[#This Row],[CI_95perc_Conjunctive.Power]],FIND(",",Table1[[#This Row],[CI_95perc_Conjunctive.Power]])+1,LEN(Table1[[#This Row],[CI_95perc_Conjunctive.Power]])-FIND(",",Table1[[#This Row],[CI_95perc_Conjunctive.Power]])-1))</f>
        <v>0</v>
      </c>
      <c r="BM118" s="10">
        <f>_xlfn.NUMBERVALUE(MID(Table1[[#This Row],[CI_95perc_Disjunctive.Power]],2,FIND(",",Table1[[#This Row],[CI_95perc_Disjunctive.Power]])-2))</f>
        <v>0</v>
      </c>
      <c r="BN118" s="10">
        <f>_xlfn.NUMBERVALUE(MID(Table1[[#This Row],[CI_95perc_Disjunctive.Power]],FIND(",",Table1[[#This Row],[CI_95perc_Disjunctive.Power]])+1,LEN(Table1[[#This Row],[CI_95perc_Disjunctive.Power]])-FIND(",",Table1[[#This Row],[CI_95perc_Disjunctive.Power]])-1))</f>
        <v>0</v>
      </c>
      <c r="BO118" s="10">
        <f>_xlfn.NUMBERVALUE(MID(Table1[[#This Row],[CI_95perc_FWER]],2,FIND(",",Table1[[#This Row],[CI_95perc_FWER]])-2))</f>
        <v>2.1530000000000001E-2</v>
      </c>
      <c r="BP118" s="10">
        <f>_xlfn.NUMBERVALUE(MID(Table1[[#This Row],[CI_95perc_FWER]],FIND(",",Table1[[#This Row],[CI_95perc_FWER]])+1,LEN(Table1[[#This Row],[CI_95perc_FWER]])-FIND(",",Table1[[#This Row],[CI_95perc_FWER]])-1))</f>
        <v>2.324E-2</v>
      </c>
      <c r="BQ118" s="10" t="str">
        <f>_xlfn.CONCAT("(",TEXT(Table1[[#This Row],[LCL_Disj.Pow%]],"0.00%"), ", ",TEXT(Table1[[#This Row],[UCL_Disj.Pow%]],"0.00%"),")")</f>
        <v>(0.00%, 0.00%)</v>
      </c>
      <c r="BR118" s="10" t="str">
        <f>_xlfn.CONCAT("(",TEXT(Table1[[#This Row],[LCL_Conj.Pow%]],"0.00%"),", ",TEXT(Table1[[#This Row],[UCL_Conj.Pow%]],"0.00%"),")")</f>
        <v>(0.00%, 0.00%)</v>
      </c>
      <c r="BS118" s="10" t="str">
        <f>_xlfn.CONCAT("(",TEXT(Table1[[#This Row],[LCL_FWER%]],"0.00%"),", ",TEXT(Table1[[#This Row],[UCL_FWER%]],"0.00%"),")")</f>
        <v>(2.15%, 2.32%)</v>
      </c>
    </row>
    <row r="119" spans="1:71" x14ac:dyDescent="0.25">
      <c r="A119">
        <v>117</v>
      </c>
      <c r="B119" t="s">
        <v>656</v>
      </c>
      <c r="C119">
        <v>5020</v>
      </c>
      <c r="D119">
        <v>2.2250599999999999E-2</v>
      </c>
      <c r="E119">
        <v>0</v>
      </c>
      <c r="F119">
        <v>0</v>
      </c>
      <c r="G119">
        <v>2.2250599999999999E-2</v>
      </c>
      <c r="H119" t="s">
        <v>692</v>
      </c>
      <c r="I119" t="s">
        <v>83</v>
      </c>
      <c r="J119" t="s">
        <v>83</v>
      </c>
      <c r="K119" t="s">
        <v>692</v>
      </c>
      <c r="L119" s="1">
        <v>30428</v>
      </c>
      <c r="M119" t="s">
        <v>693</v>
      </c>
      <c r="N119">
        <v>0.75148493640952596</v>
      </c>
      <c r="O119" t="s">
        <v>85</v>
      </c>
      <c r="P119" t="s">
        <v>41</v>
      </c>
      <c r="Q119">
        <v>500</v>
      </c>
      <c r="R119">
        <v>2.5000000000000001E-2</v>
      </c>
      <c r="S119" t="s">
        <v>654</v>
      </c>
      <c r="T119" t="s">
        <v>42</v>
      </c>
      <c r="U119" t="s">
        <v>64</v>
      </c>
      <c r="V119" t="s">
        <v>44</v>
      </c>
      <c r="W119">
        <v>5</v>
      </c>
      <c r="X119">
        <v>2</v>
      </c>
      <c r="Y119" t="s">
        <v>650</v>
      </c>
      <c r="Z119" t="s">
        <v>652</v>
      </c>
      <c r="AA119" t="s">
        <v>651</v>
      </c>
      <c r="AB119" t="s">
        <v>653</v>
      </c>
      <c r="AC119" t="s">
        <v>122</v>
      </c>
      <c r="AD119" t="s">
        <v>123</v>
      </c>
      <c r="AE119" t="s">
        <v>124</v>
      </c>
      <c r="AF119" t="s">
        <v>125</v>
      </c>
      <c r="AG119" t="s">
        <v>51</v>
      </c>
      <c r="AH119" t="s">
        <v>126</v>
      </c>
      <c r="AI119" t="s">
        <v>53</v>
      </c>
      <c r="AJ119" t="b">
        <v>1</v>
      </c>
      <c r="AK119" t="b">
        <v>1</v>
      </c>
      <c r="AL119">
        <v>1</v>
      </c>
      <c r="AM119">
        <v>1</v>
      </c>
      <c r="AN119" t="s">
        <v>56</v>
      </c>
      <c r="AO119" t="s">
        <v>57</v>
      </c>
      <c r="AP119">
        <v>0.5</v>
      </c>
      <c r="AQ119" t="b">
        <v>1</v>
      </c>
      <c r="AR119" t="s">
        <v>23</v>
      </c>
      <c r="AS119">
        <v>20000</v>
      </c>
      <c r="AT119">
        <v>500</v>
      </c>
      <c r="AU119" t="s">
        <v>121</v>
      </c>
      <c r="AV119" t="b">
        <v>0</v>
      </c>
      <c r="AW119" t="b">
        <v>0</v>
      </c>
      <c r="AX119" t="b">
        <v>1</v>
      </c>
      <c r="AY119" t="b">
        <v>0</v>
      </c>
      <c r="AZ119" t="b">
        <v>0</v>
      </c>
      <c r="BA119" t="str">
        <f>INDEX(Inp_CER_Bin_2eps3arms!$AN$2:$AN$176,MATCH(Table1[[#This Row],[ModelID]],Inp_CER_Bin_2eps3arms!$A$2:$A$176,0))</f>
        <v>Compare.FWER.vs.Martin</v>
      </c>
      <c r="BB119" t="s">
        <v>42</v>
      </c>
      <c r="BC119" t="s">
        <v>622</v>
      </c>
      <c r="BD119" t="s">
        <v>628</v>
      </c>
      <c r="BE119" s="10">
        <f>Table1[[#This Row],[Global.Power]]</f>
        <v>2.2250599999999999E-2</v>
      </c>
      <c r="BF119" s="10">
        <f>Table1[[#This Row],[Conjunctive.Power]]</f>
        <v>0</v>
      </c>
      <c r="BG119" s="10">
        <f>Table1[[#This Row],[Disjunctive.Power]]</f>
        <v>0</v>
      </c>
      <c r="BH119" s="10">
        <f>Table1[[#This Row],[FWER]]</f>
        <v>2.2250599999999999E-2</v>
      </c>
      <c r="BI119" s="10">
        <f>_xlfn.NUMBERVALUE(MID(Table1[[#This Row],[CI_95perc_Global.Power]],2,FIND(",",Table1[[#This Row],[CI_95perc_Global.Power]])-2))</f>
        <v>2.1399999999999999E-2</v>
      </c>
      <c r="BJ119" s="10">
        <f>_xlfn.NUMBERVALUE(MID(Table1[[#This Row],[CI_95perc_Global.Power]],FIND(",",Table1[[#This Row],[CI_95perc_Global.Power]])+1,LEN(Table1[[#This Row],[CI_95perc_Global.Power]])-FIND(",",Table1[[#This Row],[CI_95perc_Global.Power]])-1))</f>
        <v>2.3099999999999999E-2</v>
      </c>
      <c r="BK119" s="10">
        <f>_xlfn.NUMBERVALUE(MID(Table1[[#This Row],[CI_95perc_Conjunctive.Power]],2,FIND(",",Table1[[#This Row],[CI_95perc_Conjunctive.Power]])-2))</f>
        <v>0</v>
      </c>
      <c r="BL119" s="10">
        <f>_xlfn.NUMBERVALUE(MID(Table1[[#This Row],[CI_95perc_Conjunctive.Power]],FIND(",",Table1[[#This Row],[CI_95perc_Conjunctive.Power]])+1,LEN(Table1[[#This Row],[CI_95perc_Conjunctive.Power]])-FIND(",",Table1[[#This Row],[CI_95perc_Conjunctive.Power]])-1))</f>
        <v>0</v>
      </c>
      <c r="BM119" s="10">
        <f>_xlfn.NUMBERVALUE(MID(Table1[[#This Row],[CI_95perc_Disjunctive.Power]],2,FIND(",",Table1[[#This Row],[CI_95perc_Disjunctive.Power]])-2))</f>
        <v>0</v>
      </c>
      <c r="BN119" s="10">
        <f>_xlfn.NUMBERVALUE(MID(Table1[[#This Row],[CI_95perc_Disjunctive.Power]],FIND(",",Table1[[#This Row],[CI_95perc_Disjunctive.Power]])+1,LEN(Table1[[#This Row],[CI_95perc_Disjunctive.Power]])-FIND(",",Table1[[#This Row],[CI_95perc_Disjunctive.Power]])-1))</f>
        <v>0</v>
      </c>
      <c r="BO119" s="10">
        <f>_xlfn.NUMBERVALUE(MID(Table1[[#This Row],[CI_95perc_FWER]],2,FIND(",",Table1[[#This Row],[CI_95perc_FWER]])-2))</f>
        <v>2.1399999999999999E-2</v>
      </c>
      <c r="BP119" s="10">
        <f>_xlfn.NUMBERVALUE(MID(Table1[[#This Row],[CI_95perc_FWER]],FIND(",",Table1[[#This Row],[CI_95perc_FWER]])+1,LEN(Table1[[#This Row],[CI_95perc_FWER]])-FIND(",",Table1[[#This Row],[CI_95perc_FWER]])-1))</f>
        <v>2.3099999999999999E-2</v>
      </c>
      <c r="BQ119" s="10" t="str">
        <f>_xlfn.CONCAT("(",TEXT(Table1[[#This Row],[LCL_Disj.Pow%]],"0.00%"), ", ",TEXT(Table1[[#This Row],[UCL_Disj.Pow%]],"0.00%"),")")</f>
        <v>(0.00%, 0.00%)</v>
      </c>
      <c r="BR119" s="10" t="str">
        <f>_xlfn.CONCAT("(",TEXT(Table1[[#This Row],[LCL_Conj.Pow%]],"0.00%"),", ",TEXT(Table1[[#This Row],[UCL_Conj.Pow%]],"0.00%"),")")</f>
        <v>(0.00%, 0.00%)</v>
      </c>
      <c r="BS119" s="10" t="str">
        <f>_xlfn.CONCAT("(",TEXT(Table1[[#This Row],[LCL_FWER%]],"0.00%"),", ",TEXT(Table1[[#This Row],[UCL_FWER%]],"0.00%"),")")</f>
        <v>(2.14%, 2.31%)</v>
      </c>
    </row>
    <row r="120" spans="1:71" x14ac:dyDescent="0.25">
      <c r="A120">
        <v>118</v>
      </c>
      <c r="B120" t="s">
        <v>657</v>
      </c>
      <c r="C120">
        <v>2055</v>
      </c>
      <c r="D120">
        <v>2.1458600000000001E-2</v>
      </c>
      <c r="E120">
        <v>0</v>
      </c>
      <c r="F120">
        <v>0</v>
      </c>
      <c r="G120">
        <v>2.1458600000000001E-2</v>
      </c>
      <c r="H120" t="s">
        <v>694</v>
      </c>
      <c r="I120" t="s">
        <v>83</v>
      </c>
      <c r="J120" t="s">
        <v>83</v>
      </c>
      <c r="K120" t="s">
        <v>694</v>
      </c>
      <c r="L120" s="1">
        <v>27419</v>
      </c>
      <c r="M120" t="s">
        <v>695</v>
      </c>
      <c r="N120">
        <v>0.46694918864303198</v>
      </c>
      <c r="O120" t="s">
        <v>85</v>
      </c>
      <c r="P120" t="s">
        <v>41</v>
      </c>
      <c r="Q120">
        <v>500</v>
      </c>
      <c r="R120">
        <v>2.5000000000000001E-2</v>
      </c>
      <c r="S120" t="s">
        <v>654</v>
      </c>
      <c r="T120" t="s">
        <v>42</v>
      </c>
      <c r="U120" t="s">
        <v>64</v>
      </c>
      <c r="V120" t="s">
        <v>44</v>
      </c>
      <c r="W120">
        <v>5</v>
      </c>
      <c r="X120">
        <v>2</v>
      </c>
      <c r="Y120" t="s">
        <v>650</v>
      </c>
      <c r="Z120" t="s">
        <v>652</v>
      </c>
      <c r="AA120" t="s">
        <v>651</v>
      </c>
      <c r="AB120" t="s">
        <v>653</v>
      </c>
      <c r="AC120" t="s">
        <v>122</v>
      </c>
      <c r="AD120" t="s">
        <v>123</v>
      </c>
      <c r="AE120" t="s">
        <v>124</v>
      </c>
      <c r="AF120" t="s">
        <v>125</v>
      </c>
      <c r="AG120" t="s">
        <v>51</v>
      </c>
      <c r="AH120" t="s">
        <v>126</v>
      </c>
      <c r="AI120" t="s">
        <v>53</v>
      </c>
      <c r="AJ120" t="b">
        <v>1</v>
      </c>
      <c r="AK120" t="b">
        <v>1</v>
      </c>
      <c r="AL120">
        <v>1</v>
      </c>
      <c r="AM120">
        <v>1</v>
      </c>
      <c r="AN120" t="s">
        <v>56</v>
      </c>
      <c r="AO120" t="s">
        <v>57</v>
      </c>
      <c r="AP120">
        <v>0.25</v>
      </c>
      <c r="AQ120" t="b">
        <v>1</v>
      </c>
      <c r="AR120" t="s">
        <v>23</v>
      </c>
      <c r="AS120">
        <v>20000</v>
      </c>
      <c r="AT120">
        <v>500</v>
      </c>
      <c r="AU120" t="s">
        <v>121</v>
      </c>
      <c r="AV120" t="b">
        <v>0</v>
      </c>
      <c r="AW120" t="b">
        <v>0</v>
      </c>
      <c r="AX120" t="b">
        <v>1</v>
      </c>
      <c r="AY120" t="b">
        <v>0</v>
      </c>
      <c r="AZ120" t="b">
        <v>0</v>
      </c>
      <c r="BA120" t="str">
        <f>INDEX(Inp_CER_Bin_2eps3arms!$AN$2:$AN$176,MATCH(Table1[[#This Row],[ModelID]],Inp_CER_Bin_2eps3arms!$A$2:$A$176,0))</f>
        <v>Compare.FWER.vs.Martin</v>
      </c>
      <c r="BB120" t="s">
        <v>42</v>
      </c>
      <c r="BC120" t="s">
        <v>621</v>
      </c>
      <c r="BD120" t="s">
        <v>628</v>
      </c>
      <c r="BE120" s="10">
        <f>Table1[[#This Row],[Global.Power]]</f>
        <v>2.1458600000000001E-2</v>
      </c>
      <c r="BF120" s="10">
        <f>Table1[[#This Row],[Conjunctive.Power]]</f>
        <v>0</v>
      </c>
      <c r="BG120" s="10">
        <f>Table1[[#This Row],[Disjunctive.Power]]</f>
        <v>0</v>
      </c>
      <c r="BH120" s="10">
        <f>Table1[[#This Row],[FWER]]</f>
        <v>2.1458600000000001E-2</v>
      </c>
      <c r="BI120" s="10">
        <f>_xlfn.NUMBERVALUE(MID(Table1[[#This Row],[CI_95perc_Global.Power]],2,FIND(",",Table1[[#This Row],[CI_95perc_Global.Power]])-2))</f>
        <v>2.0629999999999999E-2</v>
      </c>
      <c r="BJ120" s="10">
        <f>_xlfn.NUMBERVALUE(MID(Table1[[#This Row],[CI_95perc_Global.Power]],FIND(",",Table1[[#This Row],[CI_95perc_Global.Power]])+1,LEN(Table1[[#This Row],[CI_95perc_Global.Power]])-FIND(",",Table1[[#This Row],[CI_95perc_Global.Power]])-1))</f>
        <v>2.2280000000000001E-2</v>
      </c>
      <c r="BK120" s="10">
        <f>_xlfn.NUMBERVALUE(MID(Table1[[#This Row],[CI_95perc_Conjunctive.Power]],2,FIND(",",Table1[[#This Row],[CI_95perc_Conjunctive.Power]])-2))</f>
        <v>0</v>
      </c>
      <c r="BL120" s="10">
        <f>_xlfn.NUMBERVALUE(MID(Table1[[#This Row],[CI_95perc_Conjunctive.Power]],FIND(",",Table1[[#This Row],[CI_95perc_Conjunctive.Power]])+1,LEN(Table1[[#This Row],[CI_95perc_Conjunctive.Power]])-FIND(",",Table1[[#This Row],[CI_95perc_Conjunctive.Power]])-1))</f>
        <v>0</v>
      </c>
      <c r="BM120" s="10">
        <f>_xlfn.NUMBERVALUE(MID(Table1[[#This Row],[CI_95perc_Disjunctive.Power]],2,FIND(",",Table1[[#This Row],[CI_95perc_Disjunctive.Power]])-2))</f>
        <v>0</v>
      </c>
      <c r="BN120" s="10">
        <f>_xlfn.NUMBERVALUE(MID(Table1[[#This Row],[CI_95perc_Disjunctive.Power]],FIND(",",Table1[[#This Row],[CI_95perc_Disjunctive.Power]])+1,LEN(Table1[[#This Row],[CI_95perc_Disjunctive.Power]])-FIND(",",Table1[[#This Row],[CI_95perc_Disjunctive.Power]])-1))</f>
        <v>0</v>
      </c>
      <c r="BO120" s="10">
        <f>_xlfn.NUMBERVALUE(MID(Table1[[#This Row],[CI_95perc_FWER]],2,FIND(",",Table1[[#This Row],[CI_95perc_FWER]])-2))</f>
        <v>2.0629999999999999E-2</v>
      </c>
      <c r="BP120" s="10">
        <f>_xlfn.NUMBERVALUE(MID(Table1[[#This Row],[CI_95perc_FWER]],FIND(",",Table1[[#This Row],[CI_95perc_FWER]])+1,LEN(Table1[[#This Row],[CI_95perc_FWER]])-FIND(",",Table1[[#This Row],[CI_95perc_FWER]])-1))</f>
        <v>2.2280000000000001E-2</v>
      </c>
      <c r="BQ120" s="10" t="str">
        <f>_xlfn.CONCAT("(",TEXT(Table1[[#This Row],[LCL_Disj.Pow%]],"0.00%"), ", ",TEXT(Table1[[#This Row],[UCL_Disj.Pow%]],"0.00%"),")")</f>
        <v>(0.00%, 0.00%)</v>
      </c>
      <c r="BR120" s="10" t="str">
        <f>_xlfn.CONCAT("(",TEXT(Table1[[#This Row],[LCL_Conj.Pow%]],"0.00%"),", ",TEXT(Table1[[#This Row],[UCL_Conj.Pow%]],"0.00%"),")")</f>
        <v>(0.00%, 0.00%)</v>
      </c>
      <c r="BS120" s="10" t="str">
        <f>_xlfn.CONCAT("(",TEXT(Table1[[#This Row],[LCL_FWER%]],"0.00%"),", ",TEXT(Table1[[#This Row],[UCL_FWER%]],"0.00%"),")")</f>
        <v>(2.06%, 2.23%)</v>
      </c>
    </row>
    <row r="121" spans="1:71" x14ac:dyDescent="0.25">
      <c r="A121">
        <v>119</v>
      </c>
      <c r="B121" t="s">
        <v>658</v>
      </c>
      <c r="C121">
        <v>8866</v>
      </c>
      <c r="D121">
        <v>2.1028100000000001E-2</v>
      </c>
      <c r="E121">
        <v>0</v>
      </c>
      <c r="F121">
        <v>0</v>
      </c>
      <c r="G121">
        <v>2.1028100000000001E-2</v>
      </c>
      <c r="H121" t="s">
        <v>696</v>
      </c>
      <c r="I121" t="s">
        <v>83</v>
      </c>
      <c r="J121" t="s">
        <v>83</v>
      </c>
      <c r="K121" t="s">
        <v>696</v>
      </c>
      <c r="L121" s="1">
        <v>30402</v>
      </c>
      <c r="M121" t="s">
        <v>697</v>
      </c>
      <c r="N121">
        <v>0.66627924859523802</v>
      </c>
      <c r="O121" t="s">
        <v>85</v>
      </c>
      <c r="P121" t="s">
        <v>41</v>
      </c>
      <c r="Q121">
        <v>500</v>
      </c>
      <c r="R121">
        <v>2.5000000000000001E-2</v>
      </c>
      <c r="S121" t="s">
        <v>654</v>
      </c>
      <c r="T121" t="s">
        <v>42</v>
      </c>
      <c r="U121" t="s">
        <v>64</v>
      </c>
      <c r="V121" t="s">
        <v>44</v>
      </c>
      <c r="W121">
        <v>5</v>
      </c>
      <c r="X121">
        <v>2</v>
      </c>
      <c r="Y121" t="s">
        <v>650</v>
      </c>
      <c r="Z121" t="s">
        <v>652</v>
      </c>
      <c r="AA121" t="s">
        <v>651</v>
      </c>
      <c r="AB121" t="s">
        <v>653</v>
      </c>
      <c r="AC121" t="s">
        <v>122</v>
      </c>
      <c r="AD121" t="s">
        <v>123</v>
      </c>
      <c r="AE121" t="s">
        <v>124</v>
      </c>
      <c r="AF121" t="s">
        <v>125</v>
      </c>
      <c r="AG121" t="s">
        <v>51</v>
      </c>
      <c r="AH121" t="s">
        <v>126</v>
      </c>
      <c r="AI121" t="s">
        <v>53</v>
      </c>
      <c r="AJ121" t="b">
        <v>1</v>
      </c>
      <c r="AK121" t="b">
        <v>1</v>
      </c>
      <c r="AL121">
        <v>1</v>
      </c>
      <c r="AM121">
        <v>1</v>
      </c>
      <c r="AN121" t="s">
        <v>56</v>
      </c>
      <c r="AO121" t="s">
        <v>60</v>
      </c>
      <c r="AP121">
        <v>1</v>
      </c>
      <c r="AQ121" t="b">
        <v>1</v>
      </c>
      <c r="AR121" t="s">
        <v>23</v>
      </c>
      <c r="AS121">
        <v>20000</v>
      </c>
      <c r="AT121">
        <v>500</v>
      </c>
      <c r="AU121" t="s">
        <v>121</v>
      </c>
      <c r="AV121" t="b">
        <v>0</v>
      </c>
      <c r="AW121" t="b">
        <v>0</v>
      </c>
      <c r="AX121" t="b">
        <v>1</v>
      </c>
      <c r="AY121" t="b">
        <v>0</v>
      </c>
      <c r="AZ121" t="b">
        <v>0</v>
      </c>
      <c r="BA121" t="str">
        <f>INDEX(Inp_CER_Bin_2eps3arms!$AN$2:$AN$176,MATCH(Table1[[#This Row],[ModelID]],Inp_CER_Bin_2eps3arms!$A$2:$A$176,0))</f>
        <v>Compare.FWER.vs.Martin</v>
      </c>
      <c r="BB121" t="s">
        <v>42</v>
      </c>
      <c r="BC121" t="s">
        <v>620</v>
      </c>
      <c r="BD121" t="s">
        <v>628</v>
      </c>
      <c r="BE121" s="10">
        <f>Table1[[#This Row],[Global.Power]]</f>
        <v>2.1028100000000001E-2</v>
      </c>
      <c r="BF121" s="10">
        <f>Table1[[#This Row],[Conjunctive.Power]]</f>
        <v>0</v>
      </c>
      <c r="BG121" s="10">
        <f>Table1[[#This Row],[Disjunctive.Power]]</f>
        <v>0</v>
      </c>
      <c r="BH121" s="10">
        <f>Table1[[#This Row],[FWER]]</f>
        <v>2.1028100000000001E-2</v>
      </c>
      <c r="BI121" s="10">
        <f>_xlfn.NUMBERVALUE(MID(Table1[[#This Row],[CI_95perc_Global.Power]],2,FIND(",",Table1[[#This Row],[CI_95perc_Global.Power]])-2))</f>
        <v>2.0209999999999999E-2</v>
      </c>
      <c r="BJ121" s="10">
        <f>_xlfn.NUMBERVALUE(MID(Table1[[#This Row],[CI_95perc_Global.Power]],FIND(",",Table1[[#This Row],[CI_95perc_Global.Power]])+1,LEN(Table1[[#This Row],[CI_95perc_Global.Power]])-FIND(",",Table1[[#This Row],[CI_95perc_Global.Power]])-1))</f>
        <v>2.1850000000000001E-2</v>
      </c>
      <c r="BK121" s="10">
        <f>_xlfn.NUMBERVALUE(MID(Table1[[#This Row],[CI_95perc_Conjunctive.Power]],2,FIND(",",Table1[[#This Row],[CI_95perc_Conjunctive.Power]])-2))</f>
        <v>0</v>
      </c>
      <c r="BL121" s="10">
        <f>_xlfn.NUMBERVALUE(MID(Table1[[#This Row],[CI_95perc_Conjunctive.Power]],FIND(",",Table1[[#This Row],[CI_95perc_Conjunctive.Power]])+1,LEN(Table1[[#This Row],[CI_95perc_Conjunctive.Power]])-FIND(",",Table1[[#This Row],[CI_95perc_Conjunctive.Power]])-1))</f>
        <v>0</v>
      </c>
      <c r="BM121" s="10">
        <f>_xlfn.NUMBERVALUE(MID(Table1[[#This Row],[CI_95perc_Disjunctive.Power]],2,FIND(",",Table1[[#This Row],[CI_95perc_Disjunctive.Power]])-2))</f>
        <v>0</v>
      </c>
      <c r="BN121" s="10">
        <f>_xlfn.NUMBERVALUE(MID(Table1[[#This Row],[CI_95perc_Disjunctive.Power]],FIND(",",Table1[[#This Row],[CI_95perc_Disjunctive.Power]])+1,LEN(Table1[[#This Row],[CI_95perc_Disjunctive.Power]])-FIND(",",Table1[[#This Row],[CI_95perc_Disjunctive.Power]])-1))</f>
        <v>0</v>
      </c>
      <c r="BO121" s="10">
        <f>_xlfn.NUMBERVALUE(MID(Table1[[#This Row],[CI_95perc_FWER]],2,FIND(",",Table1[[#This Row],[CI_95perc_FWER]])-2))</f>
        <v>2.0209999999999999E-2</v>
      </c>
      <c r="BP121" s="10">
        <f>_xlfn.NUMBERVALUE(MID(Table1[[#This Row],[CI_95perc_FWER]],FIND(",",Table1[[#This Row],[CI_95perc_FWER]])+1,LEN(Table1[[#This Row],[CI_95perc_FWER]])-FIND(",",Table1[[#This Row],[CI_95perc_FWER]])-1))</f>
        <v>2.1850000000000001E-2</v>
      </c>
      <c r="BQ121" s="10" t="str">
        <f>_xlfn.CONCAT("(",TEXT(Table1[[#This Row],[LCL_Disj.Pow%]],"0.00%"), ", ",TEXT(Table1[[#This Row],[UCL_Disj.Pow%]],"0.00%"),")")</f>
        <v>(0.00%, 0.00%)</v>
      </c>
      <c r="BR121" s="10" t="str">
        <f>_xlfn.CONCAT("(",TEXT(Table1[[#This Row],[LCL_Conj.Pow%]],"0.00%"),", ",TEXT(Table1[[#This Row],[UCL_Conj.Pow%]],"0.00%"),")")</f>
        <v>(0.00%, 0.00%)</v>
      </c>
      <c r="BS121" s="10" t="str">
        <f>_xlfn.CONCAT("(",TEXT(Table1[[#This Row],[LCL_FWER%]],"0.00%"),", ",TEXT(Table1[[#This Row],[UCL_FWER%]],"0.00%"),")")</f>
        <v>(2.02%, 2.19%)</v>
      </c>
    </row>
    <row r="122" spans="1:71" x14ac:dyDescent="0.25">
      <c r="A122">
        <v>120</v>
      </c>
      <c r="B122" t="s">
        <v>669</v>
      </c>
      <c r="C122">
        <v>2895</v>
      </c>
      <c r="D122">
        <v>2.2590499999999999E-2</v>
      </c>
      <c r="E122">
        <v>0</v>
      </c>
      <c r="F122">
        <v>0</v>
      </c>
      <c r="G122">
        <v>2.2590499999999999E-2</v>
      </c>
      <c r="H122" t="s">
        <v>698</v>
      </c>
      <c r="I122" t="s">
        <v>83</v>
      </c>
      <c r="J122" t="s">
        <v>83</v>
      </c>
      <c r="K122" t="s">
        <v>698</v>
      </c>
      <c r="L122" s="1">
        <v>29426</v>
      </c>
      <c r="M122" t="s">
        <v>699</v>
      </c>
      <c r="N122">
        <v>0.98961455530590503</v>
      </c>
      <c r="O122" t="s">
        <v>85</v>
      </c>
      <c r="P122" t="s">
        <v>41</v>
      </c>
      <c r="Q122">
        <v>500</v>
      </c>
      <c r="R122">
        <v>2.5000000000000001E-2</v>
      </c>
      <c r="S122" t="s">
        <v>654</v>
      </c>
      <c r="T122" t="s">
        <v>42</v>
      </c>
      <c r="U122" t="s">
        <v>64</v>
      </c>
      <c r="V122" t="s">
        <v>44</v>
      </c>
      <c r="W122">
        <v>5</v>
      </c>
      <c r="X122">
        <v>2</v>
      </c>
      <c r="Y122" t="s">
        <v>650</v>
      </c>
      <c r="Z122" t="s">
        <v>652</v>
      </c>
      <c r="AA122" t="s">
        <v>651</v>
      </c>
      <c r="AB122" t="s">
        <v>653</v>
      </c>
      <c r="AC122" t="s">
        <v>122</v>
      </c>
      <c r="AD122" t="s">
        <v>673</v>
      </c>
      <c r="AE122" t="s">
        <v>124</v>
      </c>
      <c r="AF122" t="s">
        <v>125</v>
      </c>
      <c r="AG122" t="s">
        <v>51</v>
      </c>
      <c r="AH122" t="s">
        <v>126</v>
      </c>
      <c r="AI122" t="s">
        <v>53</v>
      </c>
      <c r="AJ122" t="b">
        <v>1</v>
      </c>
      <c r="AK122" t="b">
        <v>1</v>
      </c>
      <c r="AL122">
        <v>1</v>
      </c>
      <c r="AM122">
        <v>1</v>
      </c>
      <c r="AN122" t="s">
        <v>56</v>
      </c>
      <c r="AO122" t="s">
        <v>57</v>
      </c>
      <c r="AP122">
        <v>0.75</v>
      </c>
      <c r="AQ122" t="b">
        <v>1</v>
      </c>
      <c r="AR122" t="s">
        <v>23</v>
      </c>
      <c r="AS122">
        <v>20000</v>
      </c>
      <c r="AT122">
        <v>500</v>
      </c>
      <c r="AU122" t="s">
        <v>121</v>
      </c>
      <c r="AV122" t="b">
        <v>0</v>
      </c>
      <c r="AW122" t="b">
        <v>0</v>
      </c>
      <c r="AX122" t="b">
        <v>1</v>
      </c>
      <c r="AY122" t="b">
        <v>0</v>
      </c>
      <c r="AZ122" t="b">
        <v>0</v>
      </c>
      <c r="BA122" t="str">
        <f>INDEX(Inp_CER_Bin_2eps3arms!$AN$2:$AN$176,MATCH(Table1[[#This Row],[ModelID]],Inp_CER_Bin_2eps3arms!$A$2:$A$176,0))</f>
        <v>Compare.FWER.vs.Martin</v>
      </c>
      <c r="BB122" t="s">
        <v>42</v>
      </c>
      <c r="BC122" t="s">
        <v>619</v>
      </c>
      <c r="BD122" t="s">
        <v>628</v>
      </c>
      <c r="BE122" s="10">
        <f>Table1[[#This Row],[Global.Power]]</f>
        <v>2.2590499999999999E-2</v>
      </c>
      <c r="BF122" s="10">
        <f>Table1[[#This Row],[Conjunctive.Power]]</f>
        <v>0</v>
      </c>
      <c r="BG122" s="10">
        <f>Table1[[#This Row],[Disjunctive.Power]]</f>
        <v>0</v>
      </c>
      <c r="BH122" s="10">
        <f>Table1[[#This Row],[FWER]]</f>
        <v>2.2590499999999999E-2</v>
      </c>
      <c r="BI122" s="10">
        <f>_xlfn.NUMBERVALUE(MID(Table1[[#This Row],[CI_95perc_Global.Power]],2,FIND(",",Table1[[#This Row],[CI_95perc_Global.Power]])-2))</f>
        <v>2.1739999999999999E-2</v>
      </c>
      <c r="BJ122" s="10">
        <f>_xlfn.NUMBERVALUE(MID(Table1[[#This Row],[CI_95perc_Global.Power]],FIND(",",Table1[[#This Row],[CI_95perc_Global.Power]])+1,LEN(Table1[[#This Row],[CI_95perc_Global.Power]])-FIND(",",Table1[[#This Row],[CI_95perc_Global.Power]])-1))</f>
        <v>2.3439999999999999E-2</v>
      </c>
      <c r="BK122" s="10">
        <f>_xlfn.NUMBERVALUE(MID(Table1[[#This Row],[CI_95perc_Conjunctive.Power]],2,FIND(",",Table1[[#This Row],[CI_95perc_Conjunctive.Power]])-2))</f>
        <v>0</v>
      </c>
      <c r="BL122" s="10">
        <f>_xlfn.NUMBERVALUE(MID(Table1[[#This Row],[CI_95perc_Conjunctive.Power]],FIND(",",Table1[[#This Row],[CI_95perc_Conjunctive.Power]])+1,LEN(Table1[[#This Row],[CI_95perc_Conjunctive.Power]])-FIND(",",Table1[[#This Row],[CI_95perc_Conjunctive.Power]])-1))</f>
        <v>0</v>
      </c>
      <c r="BM122" s="10">
        <f>_xlfn.NUMBERVALUE(MID(Table1[[#This Row],[CI_95perc_Disjunctive.Power]],2,FIND(",",Table1[[#This Row],[CI_95perc_Disjunctive.Power]])-2))</f>
        <v>0</v>
      </c>
      <c r="BN122" s="10">
        <f>_xlfn.NUMBERVALUE(MID(Table1[[#This Row],[CI_95perc_Disjunctive.Power]],FIND(",",Table1[[#This Row],[CI_95perc_Disjunctive.Power]])+1,LEN(Table1[[#This Row],[CI_95perc_Disjunctive.Power]])-FIND(",",Table1[[#This Row],[CI_95perc_Disjunctive.Power]])-1))</f>
        <v>0</v>
      </c>
      <c r="BO122" s="10">
        <f>_xlfn.NUMBERVALUE(MID(Table1[[#This Row],[CI_95perc_FWER]],2,FIND(",",Table1[[#This Row],[CI_95perc_FWER]])-2))</f>
        <v>2.1739999999999999E-2</v>
      </c>
      <c r="BP122" s="10">
        <f>_xlfn.NUMBERVALUE(MID(Table1[[#This Row],[CI_95perc_FWER]],FIND(",",Table1[[#This Row],[CI_95perc_FWER]])+1,LEN(Table1[[#This Row],[CI_95perc_FWER]])-FIND(",",Table1[[#This Row],[CI_95perc_FWER]])-1))</f>
        <v>2.3439999999999999E-2</v>
      </c>
      <c r="BQ122" s="10" t="str">
        <f>_xlfn.CONCAT("(",TEXT(Table1[[#This Row],[LCL_Disj.Pow%]],"0.00%"), ", ",TEXT(Table1[[#This Row],[UCL_Disj.Pow%]],"0.00%"),")")</f>
        <v>(0.00%, 0.00%)</v>
      </c>
      <c r="BR122" s="10" t="str">
        <f>_xlfn.CONCAT("(",TEXT(Table1[[#This Row],[LCL_Conj.Pow%]],"0.00%"),", ",TEXT(Table1[[#This Row],[UCL_Conj.Pow%]],"0.00%"),")")</f>
        <v>(0.00%, 0.00%)</v>
      </c>
      <c r="BS122" s="10" t="str">
        <f>_xlfn.CONCAT("(",TEXT(Table1[[#This Row],[LCL_FWER%]],"0.00%"),", ",TEXT(Table1[[#This Row],[UCL_FWER%]],"0.00%"),")")</f>
        <v>(2.17%, 2.34%)</v>
      </c>
    </row>
    <row r="123" spans="1:71" x14ac:dyDescent="0.25">
      <c r="A123">
        <v>121</v>
      </c>
      <c r="B123" t="s">
        <v>670</v>
      </c>
      <c r="C123">
        <v>8427</v>
      </c>
      <c r="D123">
        <v>2.2190600000000001E-2</v>
      </c>
      <c r="E123">
        <v>0</v>
      </c>
      <c r="F123">
        <v>0</v>
      </c>
      <c r="G123">
        <v>2.2190600000000001E-2</v>
      </c>
      <c r="H123" t="s">
        <v>700</v>
      </c>
      <c r="I123" t="s">
        <v>83</v>
      </c>
      <c r="J123" t="s">
        <v>83</v>
      </c>
      <c r="K123" t="s">
        <v>700</v>
      </c>
      <c r="L123" s="1">
        <v>26444</v>
      </c>
      <c r="M123" t="s">
        <v>701</v>
      </c>
      <c r="N123">
        <v>0.73902681198385001</v>
      </c>
      <c r="O123" t="s">
        <v>85</v>
      </c>
      <c r="P123" t="s">
        <v>41</v>
      </c>
      <c r="Q123">
        <v>500</v>
      </c>
      <c r="R123">
        <v>2.5000000000000001E-2</v>
      </c>
      <c r="S123" t="s">
        <v>654</v>
      </c>
      <c r="T123" t="s">
        <v>42</v>
      </c>
      <c r="U123" t="s">
        <v>64</v>
      </c>
      <c r="V123" t="s">
        <v>44</v>
      </c>
      <c r="W123">
        <v>5</v>
      </c>
      <c r="X123">
        <v>2</v>
      </c>
      <c r="Y123" t="s">
        <v>650</v>
      </c>
      <c r="Z123" t="s">
        <v>652</v>
      </c>
      <c r="AA123" t="s">
        <v>651</v>
      </c>
      <c r="AB123" t="s">
        <v>653</v>
      </c>
      <c r="AC123" t="s">
        <v>122</v>
      </c>
      <c r="AD123" t="s">
        <v>673</v>
      </c>
      <c r="AE123" t="s">
        <v>124</v>
      </c>
      <c r="AF123" t="s">
        <v>125</v>
      </c>
      <c r="AG123" t="s">
        <v>51</v>
      </c>
      <c r="AH123" t="s">
        <v>126</v>
      </c>
      <c r="AI123" t="s">
        <v>53</v>
      </c>
      <c r="AJ123" t="b">
        <v>1</v>
      </c>
      <c r="AK123" t="b">
        <v>1</v>
      </c>
      <c r="AL123">
        <v>1</v>
      </c>
      <c r="AM123">
        <v>1</v>
      </c>
      <c r="AN123" t="s">
        <v>56</v>
      </c>
      <c r="AO123" t="s">
        <v>57</v>
      </c>
      <c r="AP123">
        <v>0.5</v>
      </c>
      <c r="AQ123" t="b">
        <v>1</v>
      </c>
      <c r="AR123" t="s">
        <v>23</v>
      </c>
      <c r="AS123">
        <v>20000</v>
      </c>
      <c r="AT123">
        <v>500</v>
      </c>
      <c r="AU123" t="s">
        <v>121</v>
      </c>
      <c r="AV123" t="b">
        <v>0</v>
      </c>
      <c r="AW123" t="b">
        <v>0</v>
      </c>
      <c r="AX123" t="b">
        <v>1</v>
      </c>
      <c r="AY123" t="b">
        <v>0</v>
      </c>
      <c r="AZ123" t="b">
        <v>0</v>
      </c>
      <c r="BA123" t="str">
        <f>INDEX(Inp_CER_Bin_2eps3arms!$AN$2:$AN$176,MATCH(Table1[[#This Row],[ModelID]],Inp_CER_Bin_2eps3arms!$A$2:$A$176,0))</f>
        <v>Compare.FWER.vs.Martin</v>
      </c>
      <c r="BB123" t="s">
        <v>42</v>
      </c>
      <c r="BC123" t="s">
        <v>622</v>
      </c>
      <c r="BD123" t="s">
        <v>628</v>
      </c>
      <c r="BE123" s="10">
        <f>Table1[[#This Row],[Global.Power]]</f>
        <v>2.2190600000000001E-2</v>
      </c>
      <c r="BF123" s="10">
        <f>Table1[[#This Row],[Conjunctive.Power]]</f>
        <v>0</v>
      </c>
      <c r="BG123" s="10">
        <f>Table1[[#This Row],[Disjunctive.Power]]</f>
        <v>0</v>
      </c>
      <c r="BH123" s="10">
        <f>Table1[[#This Row],[FWER]]</f>
        <v>2.2190600000000001E-2</v>
      </c>
      <c r="BI123" s="10">
        <f>_xlfn.NUMBERVALUE(MID(Table1[[#This Row],[CI_95perc_Global.Power]],2,FIND(",",Table1[[#This Row],[CI_95perc_Global.Power]])-2))</f>
        <v>2.1360000000000001E-2</v>
      </c>
      <c r="BJ123" s="10">
        <f>_xlfn.NUMBERVALUE(MID(Table1[[#This Row],[CI_95perc_Global.Power]],FIND(",",Table1[[#This Row],[CI_95perc_Global.Power]])+1,LEN(Table1[[#This Row],[CI_95perc_Global.Power]])-FIND(",",Table1[[#This Row],[CI_95perc_Global.Power]])-1))</f>
        <v>2.3019999999999999E-2</v>
      </c>
      <c r="BK123" s="10">
        <f>_xlfn.NUMBERVALUE(MID(Table1[[#This Row],[CI_95perc_Conjunctive.Power]],2,FIND(",",Table1[[#This Row],[CI_95perc_Conjunctive.Power]])-2))</f>
        <v>0</v>
      </c>
      <c r="BL123" s="10">
        <f>_xlfn.NUMBERVALUE(MID(Table1[[#This Row],[CI_95perc_Conjunctive.Power]],FIND(",",Table1[[#This Row],[CI_95perc_Conjunctive.Power]])+1,LEN(Table1[[#This Row],[CI_95perc_Conjunctive.Power]])-FIND(",",Table1[[#This Row],[CI_95perc_Conjunctive.Power]])-1))</f>
        <v>0</v>
      </c>
      <c r="BM123" s="10">
        <f>_xlfn.NUMBERVALUE(MID(Table1[[#This Row],[CI_95perc_Disjunctive.Power]],2,FIND(",",Table1[[#This Row],[CI_95perc_Disjunctive.Power]])-2))</f>
        <v>0</v>
      </c>
      <c r="BN123" s="10">
        <f>_xlfn.NUMBERVALUE(MID(Table1[[#This Row],[CI_95perc_Disjunctive.Power]],FIND(",",Table1[[#This Row],[CI_95perc_Disjunctive.Power]])+1,LEN(Table1[[#This Row],[CI_95perc_Disjunctive.Power]])-FIND(",",Table1[[#This Row],[CI_95perc_Disjunctive.Power]])-1))</f>
        <v>0</v>
      </c>
      <c r="BO123" s="10">
        <f>_xlfn.NUMBERVALUE(MID(Table1[[#This Row],[CI_95perc_FWER]],2,FIND(",",Table1[[#This Row],[CI_95perc_FWER]])-2))</f>
        <v>2.1360000000000001E-2</v>
      </c>
      <c r="BP123" s="10">
        <f>_xlfn.NUMBERVALUE(MID(Table1[[#This Row],[CI_95perc_FWER]],FIND(",",Table1[[#This Row],[CI_95perc_FWER]])+1,LEN(Table1[[#This Row],[CI_95perc_FWER]])-FIND(",",Table1[[#This Row],[CI_95perc_FWER]])-1))</f>
        <v>2.3019999999999999E-2</v>
      </c>
      <c r="BQ123" s="10" t="str">
        <f>_xlfn.CONCAT("(",TEXT(Table1[[#This Row],[LCL_Disj.Pow%]],"0.00%"), ", ",TEXT(Table1[[#This Row],[UCL_Disj.Pow%]],"0.00%"),")")</f>
        <v>(0.00%, 0.00%)</v>
      </c>
      <c r="BR123" s="10" t="str">
        <f>_xlfn.CONCAT("(",TEXT(Table1[[#This Row],[LCL_Conj.Pow%]],"0.00%"),", ",TEXT(Table1[[#This Row],[UCL_Conj.Pow%]],"0.00%"),")")</f>
        <v>(0.00%, 0.00%)</v>
      </c>
      <c r="BS123" s="10" t="str">
        <f>_xlfn.CONCAT("(",TEXT(Table1[[#This Row],[LCL_FWER%]],"0.00%"),", ",TEXT(Table1[[#This Row],[UCL_FWER%]],"0.00%"),")")</f>
        <v>(2.14%, 2.30%)</v>
      </c>
    </row>
    <row r="124" spans="1:71" x14ac:dyDescent="0.25">
      <c r="A124">
        <v>122</v>
      </c>
      <c r="B124" t="s">
        <v>671</v>
      </c>
      <c r="C124">
        <v>5058</v>
      </c>
      <c r="D124">
        <v>2.1846299999999999E-2</v>
      </c>
      <c r="E124">
        <v>0</v>
      </c>
      <c r="F124">
        <v>0</v>
      </c>
      <c r="G124">
        <v>2.1846299999999999E-2</v>
      </c>
      <c r="H124" t="s">
        <v>702</v>
      </c>
      <c r="I124" t="s">
        <v>83</v>
      </c>
      <c r="J124" t="s">
        <v>83</v>
      </c>
      <c r="K124" t="s">
        <v>702</v>
      </c>
      <c r="L124" s="1">
        <v>30430</v>
      </c>
      <c r="M124" t="s">
        <v>703</v>
      </c>
      <c r="N124">
        <v>0.467473133007685</v>
      </c>
      <c r="O124" t="s">
        <v>85</v>
      </c>
      <c r="P124" t="s">
        <v>41</v>
      </c>
      <c r="Q124">
        <v>500</v>
      </c>
      <c r="R124">
        <v>2.5000000000000001E-2</v>
      </c>
      <c r="S124" t="s">
        <v>654</v>
      </c>
      <c r="T124" t="s">
        <v>42</v>
      </c>
      <c r="U124" t="s">
        <v>64</v>
      </c>
      <c r="V124" t="s">
        <v>44</v>
      </c>
      <c r="W124">
        <v>5</v>
      </c>
      <c r="X124">
        <v>2</v>
      </c>
      <c r="Y124" t="s">
        <v>650</v>
      </c>
      <c r="Z124" t="s">
        <v>652</v>
      </c>
      <c r="AA124" t="s">
        <v>651</v>
      </c>
      <c r="AB124" t="s">
        <v>653</v>
      </c>
      <c r="AC124" t="s">
        <v>122</v>
      </c>
      <c r="AD124" t="s">
        <v>673</v>
      </c>
      <c r="AE124" t="s">
        <v>124</v>
      </c>
      <c r="AF124" t="s">
        <v>125</v>
      </c>
      <c r="AG124" t="s">
        <v>51</v>
      </c>
      <c r="AH124" t="s">
        <v>126</v>
      </c>
      <c r="AI124" t="s">
        <v>53</v>
      </c>
      <c r="AJ124" t="b">
        <v>1</v>
      </c>
      <c r="AK124" t="b">
        <v>1</v>
      </c>
      <c r="AL124">
        <v>1</v>
      </c>
      <c r="AM124">
        <v>1</v>
      </c>
      <c r="AN124" t="s">
        <v>56</v>
      </c>
      <c r="AO124" t="s">
        <v>57</v>
      </c>
      <c r="AP124">
        <v>0.25</v>
      </c>
      <c r="AQ124" t="b">
        <v>1</v>
      </c>
      <c r="AR124" t="s">
        <v>23</v>
      </c>
      <c r="AS124">
        <v>20000</v>
      </c>
      <c r="AT124">
        <v>500</v>
      </c>
      <c r="AU124" t="s">
        <v>121</v>
      </c>
      <c r="AV124" t="b">
        <v>0</v>
      </c>
      <c r="AW124" t="b">
        <v>0</v>
      </c>
      <c r="AX124" t="b">
        <v>1</v>
      </c>
      <c r="AY124" t="b">
        <v>0</v>
      </c>
      <c r="AZ124" t="b">
        <v>0</v>
      </c>
      <c r="BA124" t="str">
        <f>INDEX(Inp_CER_Bin_2eps3arms!$AN$2:$AN$176,MATCH(Table1[[#This Row],[ModelID]],Inp_CER_Bin_2eps3arms!$A$2:$A$176,0))</f>
        <v>Compare.FWER.vs.Martin</v>
      </c>
      <c r="BB124" t="s">
        <v>42</v>
      </c>
      <c r="BC124" t="s">
        <v>621</v>
      </c>
      <c r="BD124" t="s">
        <v>628</v>
      </c>
      <c r="BE124" s="10">
        <f>Table1[[#This Row],[Global.Power]]</f>
        <v>2.1846299999999999E-2</v>
      </c>
      <c r="BF124" s="10">
        <f>Table1[[#This Row],[Conjunctive.Power]]</f>
        <v>0</v>
      </c>
      <c r="BG124" s="10">
        <f>Table1[[#This Row],[Disjunctive.Power]]</f>
        <v>0</v>
      </c>
      <c r="BH124" s="10">
        <f>Table1[[#This Row],[FWER]]</f>
        <v>2.1846299999999999E-2</v>
      </c>
      <c r="BI124" s="10">
        <f>_xlfn.NUMBERVALUE(MID(Table1[[#This Row],[CI_95perc_Global.Power]],2,FIND(",",Table1[[#This Row],[CI_95perc_Global.Power]])-2))</f>
        <v>2.1000000000000001E-2</v>
      </c>
      <c r="BJ124" s="10">
        <f>_xlfn.NUMBERVALUE(MID(Table1[[#This Row],[CI_95perc_Global.Power]],FIND(",",Table1[[#This Row],[CI_95perc_Global.Power]])+1,LEN(Table1[[#This Row],[CI_95perc_Global.Power]])-FIND(",",Table1[[#This Row],[CI_95perc_Global.Power]])-1))</f>
        <v>2.2700000000000001E-2</v>
      </c>
      <c r="BK124" s="10">
        <f>_xlfn.NUMBERVALUE(MID(Table1[[#This Row],[CI_95perc_Conjunctive.Power]],2,FIND(",",Table1[[#This Row],[CI_95perc_Conjunctive.Power]])-2))</f>
        <v>0</v>
      </c>
      <c r="BL124" s="10">
        <f>_xlfn.NUMBERVALUE(MID(Table1[[#This Row],[CI_95perc_Conjunctive.Power]],FIND(",",Table1[[#This Row],[CI_95perc_Conjunctive.Power]])+1,LEN(Table1[[#This Row],[CI_95perc_Conjunctive.Power]])-FIND(",",Table1[[#This Row],[CI_95perc_Conjunctive.Power]])-1))</f>
        <v>0</v>
      </c>
      <c r="BM124" s="10">
        <f>_xlfn.NUMBERVALUE(MID(Table1[[#This Row],[CI_95perc_Disjunctive.Power]],2,FIND(",",Table1[[#This Row],[CI_95perc_Disjunctive.Power]])-2))</f>
        <v>0</v>
      </c>
      <c r="BN124" s="10">
        <f>_xlfn.NUMBERVALUE(MID(Table1[[#This Row],[CI_95perc_Disjunctive.Power]],FIND(",",Table1[[#This Row],[CI_95perc_Disjunctive.Power]])+1,LEN(Table1[[#This Row],[CI_95perc_Disjunctive.Power]])-FIND(",",Table1[[#This Row],[CI_95perc_Disjunctive.Power]])-1))</f>
        <v>0</v>
      </c>
      <c r="BO124" s="10">
        <f>_xlfn.NUMBERVALUE(MID(Table1[[#This Row],[CI_95perc_FWER]],2,FIND(",",Table1[[#This Row],[CI_95perc_FWER]])-2))</f>
        <v>2.1000000000000001E-2</v>
      </c>
      <c r="BP124" s="10">
        <f>_xlfn.NUMBERVALUE(MID(Table1[[#This Row],[CI_95perc_FWER]],FIND(",",Table1[[#This Row],[CI_95perc_FWER]])+1,LEN(Table1[[#This Row],[CI_95perc_FWER]])-FIND(",",Table1[[#This Row],[CI_95perc_FWER]])-1))</f>
        <v>2.2700000000000001E-2</v>
      </c>
      <c r="BQ124" s="10" t="str">
        <f>_xlfn.CONCAT("(",TEXT(Table1[[#This Row],[LCL_Disj.Pow%]],"0.00%"), ", ",TEXT(Table1[[#This Row],[UCL_Disj.Pow%]],"0.00%"),")")</f>
        <v>(0.00%, 0.00%)</v>
      </c>
      <c r="BR124" s="10" t="str">
        <f>_xlfn.CONCAT("(",TEXT(Table1[[#This Row],[LCL_Conj.Pow%]],"0.00%"),", ",TEXT(Table1[[#This Row],[UCL_Conj.Pow%]],"0.00%"),")")</f>
        <v>(0.00%, 0.00%)</v>
      </c>
      <c r="BS124" s="10" t="str">
        <f>_xlfn.CONCAT("(",TEXT(Table1[[#This Row],[LCL_FWER%]],"0.00%"),", ",TEXT(Table1[[#This Row],[UCL_FWER%]],"0.00%"),")")</f>
        <v>(2.10%, 2.27%)</v>
      </c>
    </row>
    <row r="125" spans="1:71" x14ac:dyDescent="0.25">
      <c r="A125">
        <v>123</v>
      </c>
      <c r="B125" t="s">
        <v>672</v>
      </c>
      <c r="C125">
        <v>1971</v>
      </c>
      <c r="D125">
        <v>2.1291600000000001E-2</v>
      </c>
      <c r="E125">
        <v>0</v>
      </c>
      <c r="F125">
        <v>0</v>
      </c>
      <c r="G125">
        <v>2.1291600000000001E-2</v>
      </c>
      <c r="H125" t="s">
        <v>704</v>
      </c>
      <c r="I125" t="s">
        <v>83</v>
      </c>
      <c r="J125" t="s">
        <v>83</v>
      </c>
      <c r="K125" t="s">
        <v>704</v>
      </c>
      <c r="L125" s="1">
        <v>29384</v>
      </c>
      <c r="M125" t="s">
        <v>705</v>
      </c>
      <c r="N125">
        <v>0.65143823835584902</v>
      </c>
      <c r="O125" t="s">
        <v>85</v>
      </c>
      <c r="P125" t="s">
        <v>41</v>
      </c>
      <c r="Q125">
        <v>500</v>
      </c>
      <c r="R125">
        <v>2.5000000000000001E-2</v>
      </c>
      <c r="S125" t="s">
        <v>654</v>
      </c>
      <c r="T125" t="s">
        <v>42</v>
      </c>
      <c r="U125" t="s">
        <v>64</v>
      </c>
      <c r="V125" t="s">
        <v>44</v>
      </c>
      <c r="W125">
        <v>5</v>
      </c>
      <c r="X125">
        <v>2</v>
      </c>
      <c r="Y125" t="s">
        <v>650</v>
      </c>
      <c r="Z125" t="s">
        <v>652</v>
      </c>
      <c r="AA125" t="s">
        <v>651</v>
      </c>
      <c r="AB125" t="s">
        <v>653</v>
      </c>
      <c r="AC125" t="s">
        <v>122</v>
      </c>
      <c r="AD125" t="s">
        <v>673</v>
      </c>
      <c r="AE125" t="s">
        <v>124</v>
      </c>
      <c r="AF125" t="s">
        <v>125</v>
      </c>
      <c r="AG125" t="s">
        <v>51</v>
      </c>
      <c r="AH125" t="s">
        <v>126</v>
      </c>
      <c r="AI125" t="s">
        <v>53</v>
      </c>
      <c r="AJ125" t="b">
        <v>1</v>
      </c>
      <c r="AK125" t="b">
        <v>1</v>
      </c>
      <c r="AL125">
        <v>1</v>
      </c>
      <c r="AM125">
        <v>1</v>
      </c>
      <c r="AN125" t="s">
        <v>56</v>
      </c>
      <c r="AO125" t="s">
        <v>60</v>
      </c>
      <c r="AP125">
        <v>1</v>
      </c>
      <c r="AQ125" t="b">
        <v>1</v>
      </c>
      <c r="AR125" t="s">
        <v>23</v>
      </c>
      <c r="AS125">
        <v>20000</v>
      </c>
      <c r="AT125">
        <v>500</v>
      </c>
      <c r="AU125" t="s">
        <v>121</v>
      </c>
      <c r="AV125" t="b">
        <v>0</v>
      </c>
      <c r="AW125" t="b">
        <v>0</v>
      </c>
      <c r="AX125" t="b">
        <v>1</v>
      </c>
      <c r="AY125" t="b">
        <v>0</v>
      </c>
      <c r="AZ125" t="b">
        <v>0</v>
      </c>
      <c r="BA125" t="str">
        <f>INDEX(Inp_CER_Bin_2eps3arms!$AN$2:$AN$176,MATCH(Table1[[#This Row],[ModelID]],Inp_CER_Bin_2eps3arms!$A$2:$A$176,0))</f>
        <v>Compare.FWER.vs.Martin</v>
      </c>
      <c r="BB125" t="s">
        <v>42</v>
      </c>
      <c r="BC125" t="s">
        <v>620</v>
      </c>
      <c r="BD125" t="s">
        <v>628</v>
      </c>
      <c r="BE125" s="10">
        <f>Table1[[#This Row],[Global.Power]]</f>
        <v>2.1291600000000001E-2</v>
      </c>
      <c r="BF125" s="10">
        <f>Table1[[#This Row],[Conjunctive.Power]]</f>
        <v>0</v>
      </c>
      <c r="BG125" s="10">
        <f>Table1[[#This Row],[Disjunctive.Power]]</f>
        <v>0</v>
      </c>
      <c r="BH125" s="10">
        <f>Table1[[#This Row],[FWER]]</f>
        <v>2.1291600000000001E-2</v>
      </c>
      <c r="BI125" s="10">
        <f>_xlfn.NUMBERVALUE(MID(Table1[[#This Row],[CI_95perc_Global.Power]],2,FIND(",",Table1[[#This Row],[CI_95perc_Global.Power]])-2))</f>
        <v>2.0469999999999999E-2</v>
      </c>
      <c r="BJ125" s="10">
        <f>_xlfn.NUMBERVALUE(MID(Table1[[#This Row],[CI_95perc_Global.Power]],FIND(",",Table1[[#This Row],[CI_95perc_Global.Power]])+1,LEN(Table1[[#This Row],[CI_95perc_Global.Power]])-FIND(",",Table1[[#This Row],[CI_95perc_Global.Power]])-1))</f>
        <v>2.2110000000000001E-2</v>
      </c>
      <c r="BK125" s="10">
        <f>_xlfn.NUMBERVALUE(MID(Table1[[#This Row],[CI_95perc_Conjunctive.Power]],2,FIND(",",Table1[[#This Row],[CI_95perc_Conjunctive.Power]])-2))</f>
        <v>0</v>
      </c>
      <c r="BL125" s="10">
        <f>_xlfn.NUMBERVALUE(MID(Table1[[#This Row],[CI_95perc_Conjunctive.Power]],FIND(",",Table1[[#This Row],[CI_95perc_Conjunctive.Power]])+1,LEN(Table1[[#This Row],[CI_95perc_Conjunctive.Power]])-FIND(",",Table1[[#This Row],[CI_95perc_Conjunctive.Power]])-1))</f>
        <v>0</v>
      </c>
      <c r="BM125" s="10">
        <f>_xlfn.NUMBERVALUE(MID(Table1[[#This Row],[CI_95perc_Disjunctive.Power]],2,FIND(",",Table1[[#This Row],[CI_95perc_Disjunctive.Power]])-2))</f>
        <v>0</v>
      </c>
      <c r="BN125" s="10">
        <f>_xlfn.NUMBERVALUE(MID(Table1[[#This Row],[CI_95perc_Disjunctive.Power]],FIND(",",Table1[[#This Row],[CI_95perc_Disjunctive.Power]])+1,LEN(Table1[[#This Row],[CI_95perc_Disjunctive.Power]])-FIND(",",Table1[[#This Row],[CI_95perc_Disjunctive.Power]])-1))</f>
        <v>0</v>
      </c>
      <c r="BO125" s="10">
        <f>_xlfn.NUMBERVALUE(MID(Table1[[#This Row],[CI_95perc_FWER]],2,FIND(",",Table1[[#This Row],[CI_95perc_FWER]])-2))</f>
        <v>2.0469999999999999E-2</v>
      </c>
      <c r="BP125" s="10">
        <f>_xlfn.NUMBERVALUE(MID(Table1[[#This Row],[CI_95perc_FWER]],FIND(",",Table1[[#This Row],[CI_95perc_FWER]])+1,LEN(Table1[[#This Row],[CI_95perc_FWER]])-FIND(",",Table1[[#This Row],[CI_95perc_FWER]])-1))</f>
        <v>2.2110000000000001E-2</v>
      </c>
      <c r="BQ125" s="10" t="str">
        <f>_xlfn.CONCAT("(",TEXT(Table1[[#This Row],[LCL_Disj.Pow%]],"0.00%"), ", ",TEXT(Table1[[#This Row],[UCL_Disj.Pow%]],"0.00%"),")")</f>
        <v>(0.00%, 0.00%)</v>
      </c>
      <c r="BR125" s="10" t="str">
        <f>_xlfn.CONCAT("(",TEXT(Table1[[#This Row],[LCL_Conj.Pow%]],"0.00%"),", ",TEXT(Table1[[#This Row],[UCL_Conj.Pow%]],"0.00%"),")")</f>
        <v>(0.00%, 0.00%)</v>
      </c>
      <c r="BS125" s="10" t="str">
        <f>_xlfn.CONCAT("(",TEXT(Table1[[#This Row],[LCL_FWER%]],"0.00%"),", ",TEXT(Table1[[#This Row],[UCL_FWER%]],"0.00%"),")")</f>
        <v>(2.05%, 2.21%)</v>
      </c>
    </row>
    <row r="126" spans="1:71" x14ac:dyDescent="0.25">
      <c r="A126" s="3">
        <v>124</v>
      </c>
      <c r="B126" t="s">
        <v>706</v>
      </c>
      <c r="C126">
        <v>2383</v>
      </c>
      <c r="D126">
        <v>0.69445389999999996</v>
      </c>
      <c r="E126">
        <v>0.49122100000000002</v>
      </c>
      <c r="F126">
        <v>0.69408360000000002</v>
      </c>
      <c r="G126">
        <v>2.1451399999999999E-2</v>
      </c>
      <c r="H126" t="s">
        <v>730</v>
      </c>
      <c r="I126" t="s">
        <v>731</v>
      </c>
      <c r="J126" t="s">
        <v>732</v>
      </c>
      <c r="K126" t="s">
        <v>733</v>
      </c>
      <c r="L126" s="1">
        <v>165612266</v>
      </c>
      <c r="M126" t="s">
        <v>734</v>
      </c>
      <c r="N126">
        <v>1.0262341108587101</v>
      </c>
      <c r="O126" t="s">
        <v>85</v>
      </c>
      <c r="P126" t="s">
        <v>41</v>
      </c>
      <c r="Q126">
        <v>500</v>
      </c>
      <c r="R126">
        <v>2.5000000000000001E-2</v>
      </c>
      <c r="S126" t="s">
        <v>654</v>
      </c>
      <c r="T126" t="s">
        <v>42</v>
      </c>
      <c r="U126" t="s">
        <v>64</v>
      </c>
      <c r="V126" t="s">
        <v>44</v>
      </c>
      <c r="W126">
        <v>5</v>
      </c>
      <c r="X126">
        <v>2</v>
      </c>
      <c r="Y126" t="s">
        <v>650</v>
      </c>
      <c r="Z126" t="s">
        <v>710</v>
      </c>
      <c r="AA126" t="s">
        <v>651</v>
      </c>
      <c r="AB126" t="s">
        <v>711</v>
      </c>
      <c r="AC126" t="s">
        <v>122</v>
      </c>
      <c r="AD126" t="s">
        <v>123</v>
      </c>
      <c r="AE126" t="s">
        <v>124</v>
      </c>
      <c r="AF126" t="s">
        <v>125</v>
      </c>
      <c r="AG126" t="s">
        <v>51</v>
      </c>
      <c r="AH126" t="s">
        <v>126</v>
      </c>
      <c r="AI126" t="s">
        <v>53</v>
      </c>
      <c r="AJ126" t="b">
        <v>1</v>
      </c>
      <c r="AK126" t="b">
        <v>1</v>
      </c>
      <c r="AL126">
        <v>1</v>
      </c>
      <c r="AM126">
        <v>1</v>
      </c>
      <c r="AN126" t="s">
        <v>56</v>
      </c>
      <c r="AO126" t="s">
        <v>57</v>
      </c>
      <c r="AP126">
        <v>0.75</v>
      </c>
      <c r="AQ126" t="b">
        <v>1</v>
      </c>
      <c r="AR126" t="s">
        <v>23</v>
      </c>
      <c r="AS126">
        <v>20000</v>
      </c>
      <c r="AT126">
        <v>500</v>
      </c>
      <c r="AU126" t="s">
        <v>121</v>
      </c>
      <c r="AV126" t="b">
        <v>0</v>
      </c>
      <c r="AW126" t="b">
        <v>0</v>
      </c>
      <c r="AX126" t="b">
        <v>1</v>
      </c>
      <c r="AY126" t="b">
        <v>0</v>
      </c>
      <c r="BA126" t="str">
        <f>INDEX(Inp_CER_Bin_2eps3arms!$AN$2:$AN$176,MATCH(Table1[[#This Row],[ModelID]],Inp_CER_Bin_2eps3arms!$A$2:$A$176,0))</f>
        <v>Compare.Pow.vs.Martin</v>
      </c>
      <c r="BC126" t="s">
        <v>619</v>
      </c>
      <c r="BD126" t="s">
        <v>629</v>
      </c>
      <c r="BE126" s="10">
        <f>Table1[[#This Row],[Global.Power]]</f>
        <v>0.69445389999999996</v>
      </c>
      <c r="BF126" s="10">
        <f>Table1[[#This Row],[Conjunctive.Power]]</f>
        <v>0.49122100000000002</v>
      </c>
      <c r="BG126" s="10">
        <f>Table1[[#This Row],[Disjunctive.Power]]</f>
        <v>0.69408360000000002</v>
      </c>
      <c r="BH126" s="10">
        <f>Table1[[#This Row],[FWER]]</f>
        <v>2.1451399999999999E-2</v>
      </c>
      <c r="BI126" s="10">
        <f>_xlfn.NUMBERVALUE(MID(Table1[[#This Row],[CI_95perc_Global.Power]],2,FIND(",",Table1[[#This Row],[CI_95perc_Global.Power]])-2))</f>
        <v>0.69108000000000003</v>
      </c>
      <c r="BJ126" s="10">
        <f>_xlfn.NUMBERVALUE(MID(Table1[[#This Row],[CI_95perc_Global.Power]],FIND(",",Table1[[#This Row],[CI_95perc_Global.Power]])+1,LEN(Table1[[#This Row],[CI_95perc_Global.Power]])-FIND(",",Table1[[#This Row],[CI_95perc_Global.Power]])-1))</f>
        <v>0.69782999999999995</v>
      </c>
      <c r="BK126" s="10">
        <f>_xlfn.NUMBERVALUE(MID(Table1[[#This Row],[CI_95perc_Conjunctive.Power]],2,FIND(",",Table1[[#This Row],[CI_95perc_Conjunctive.Power]])-2))</f>
        <v>0.48753000000000002</v>
      </c>
      <c r="BL126" s="10">
        <f>_xlfn.NUMBERVALUE(MID(Table1[[#This Row],[CI_95perc_Conjunctive.Power]],FIND(",",Table1[[#This Row],[CI_95perc_Conjunctive.Power]])+1,LEN(Table1[[#This Row],[CI_95perc_Conjunctive.Power]])-FIND(",",Table1[[#This Row],[CI_95perc_Conjunctive.Power]])-1))</f>
        <v>0.49491000000000002</v>
      </c>
      <c r="BM126" s="10">
        <f>_xlfn.NUMBERVALUE(MID(Table1[[#This Row],[CI_95perc_Disjunctive.Power]],2,FIND(",",Table1[[#This Row],[CI_95perc_Disjunctive.Power]])-2))</f>
        <v>0.69069999999999998</v>
      </c>
      <c r="BN126" s="10">
        <f>_xlfn.NUMBERVALUE(MID(Table1[[#This Row],[CI_95perc_Disjunctive.Power]],FIND(",",Table1[[#This Row],[CI_95perc_Disjunctive.Power]])+1,LEN(Table1[[#This Row],[CI_95perc_Disjunctive.Power]])-FIND(",",Table1[[#This Row],[CI_95perc_Disjunctive.Power]])-1))</f>
        <v>0.69745999999999997</v>
      </c>
      <c r="BO126" s="10">
        <f>_xlfn.NUMBERVALUE(MID(Table1[[#This Row],[CI_95perc_FWER]],2,FIND(",",Table1[[#This Row],[CI_95perc_FWER]])-2))</f>
        <v>2.0650000000000002E-2</v>
      </c>
      <c r="BP126" s="10">
        <f>_xlfn.NUMBERVALUE(MID(Table1[[#This Row],[CI_95perc_FWER]],FIND(",",Table1[[#This Row],[CI_95perc_FWER]])+1,LEN(Table1[[#This Row],[CI_95perc_FWER]])-FIND(",",Table1[[#This Row],[CI_95perc_FWER]])-1))</f>
        <v>2.2249999999999999E-2</v>
      </c>
      <c r="BQ126" s="10" t="str">
        <f>_xlfn.CONCAT("(",TEXT(Table1[[#This Row],[LCL_Disj.Pow%]],"0.00%"), ", ",TEXT(Table1[[#This Row],[UCL_Disj.Pow%]],"0.00%"),")")</f>
        <v>(69.07%, 69.75%)</v>
      </c>
      <c r="BR126" s="10" t="str">
        <f>_xlfn.CONCAT("(",TEXT(Table1[[#This Row],[LCL_Conj.Pow%]],"0.00%"),", ",TEXT(Table1[[#This Row],[UCL_Conj.Pow%]],"0.00%"),")")</f>
        <v>(48.75%, 49.49%)</v>
      </c>
      <c r="BS126" s="10" t="str">
        <f>_xlfn.CONCAT("(",TEXT(Table1[[#This Row],[LCL_FWER%]],"0.00%"),", ",TEXT(Table1[[#This Row],[UCL_FWER%]],"0.00%"),")")</f>
        <v>(2.07%, 2.23%)</v>
      </c>
    </row>
    <row r="127" spans="1:71" x14ac:dyDescent="0.25">
      <c r="A127">
        <v>125</v>
      </c>
      <c r="B127" t="s">
        <v>707</v>
      </c>
      <c r="C127">
        <v>5178</v>
      </c>
      <c r="D127">
        <v>0.76054140000000003</v>
      </c>
      <c r="E127">
        <v>0.57732919999999999</v>
      </c>
      <c r="F127">
        <v>0.76021890000000003</v>
      </c>
      <c r="G127">
        <v>2.1710199999999999E-2</v>
      </c>
      <c r="H127" t="s">
        <v>735</v>
      </c>
      <c r="I127" t="s">
        <v>736</v>
      </c>
      <c r="J127" t="s">
        <v>737</v>
      </c>
      <c r="K127" t="s">
        <v>738</v>
      </c>
      <c r="L127" s="1">
        <v>163913563</v>
      </c>
      <c r="M127" t="s">
        <v>739</v>
      </c>
      <c r="N127">
        <v>0.87724994003772705</v>
      </c>
      <c r="O127" t="s">
        <v>85</v>
      </c>
      <c r="P127" t="s">
        <v>41</v>
      </c>
      <c r="Q127">
        <v>500</v>
      </c>
      <c r="R127">
        <v>2.5000000000000001E-2</v>
      </c>
      <c r="S127" t="s">
        <v>654</v>
      </c>
      <c r="T127" t="s">
        <v>42</v>
      </c>
      <c r="U127" t="s">
        <v>64</v>
      </c>
      <c r="V127" t="s">
        <v>44</v>
      </c>
      <c r="W127">
        <v>5</v>
      </c>
      <c r="X127">
        <v>2</v>
      </c>
      <c r="Y127" t="s">
        <v>650</v>
      </c>
      <c r="Z127" t="s">
        <v>710</v>
      </c>
      <c r="AA127" t="s">
        <v>651</v>
      </c>
      <c r="AB127" t="s">
        <v>711</v>
      </c>
      <c r="AC127" t="s">
        <v>122</v>
      </c>
      <c r="AD127" t="s">
        <v>123</v>
      </c>
      <c r="AE127" t="s">
        <v>124</v>
      </c>
      <c r="AF127" t="s">
        <v>125</v>
      </c>
      <c r="AG127" t="s">
        <v>51</v>
      </c>
      <c r="AH127" t="s">
        <v>126</v>
      </c>
      <c r="AI127" t="s">
        <v>53</v>
      </c>
      <c r="AJ127" t="b">
        <v>1</v>
      </c>
      <c r="AK127" t="b">
        <v>1</v>
      </c>
      <c r="AL127">
        <v>1</v>
      </c>
      <c r="AM127">
        <v>1</v>
      </c>
      <c r="AN127" t="s">
        <v>56</v>
      </c>
      <c r="AO127" t="s">
        <v>57</v>
      </c>
      <c r="AP127">
        <v>0.5</v>
      </c>
      <c r="AQ127" t="b">
        <v>1</v>
      </c>
      <c r="AR127" t="s">
        <v>23</v>
      </c>
      <c r="AS127">
        <v>20000</v>
      </c>
      <c r="AT127">
        <v>500</v>
      </c>
      <c r="AU127" t="s">
        <v>121</v>
      </c>
      <c r="AV127" t="b">
        <v>0</v>
      </c>
      <c r="AW127" t="b">
        <v>0</v>
      </c>
      <c r="AX127" t="b">
        <v>1</v>
      </c>
      <c r="AY127" t="b">
        <v>0</v>
      </c>
      <c r="BA127" t="str">
        <f>INDEX(Inp_CER_Bin_2eps3arms!$AN$2:$AN$176,MATCH(Table1[[#This Row],[ModelID]],Inp_CER_Bin_2eps3arms!$A$2:$A$176,0))</f>
        <v>Compare.Pow.vs.Martin</v>
      </c>
      <c r="BC127" t="s">
        <v>622</v>
      </c>
      <c r="BD127" t="s">
        <v>629</v>
      </c>
      <c r="BE127" s="10">
        <f>Table1[[#This Row],[Global.Power]]</f>
        <v>0.76054140000000003</v>
      </c>
      <c r="BF127" s="10">
        <f>Table1[[#This Row],[Conjunctive.Power]]</f>
        <v>0.57732919999999999</v>
      </c>
      <c r="BG127" s="10">
        <f>Table1[[#This Row],[Disjunctive.Power]]</f>
        <v>0.76021890000000003</v>
      </c>
      <c r="BH127" s="10">
        <f>Table1[[#This Row],[FWER]]</f>
        <v>2.1710199999999999E-2</v>
      </c>
      <c r="BI127" s="10">
        <f>_xlfn.NUMBERVALUE(MID(Table1[[#This Row],[CI_95perc_Global.Power]],2,FIND(",",Table1[[#This Row],[CI_95perc_Global.Power]])-2))</f>
        <v>0.75741999999999998</v>
      </c>
      <c r="BJ127" s="10">
        <f>_xlfn.NUMBERVALUE(MID(Table1[[#This Row],[CI_95perc_Global.Power]],FIND(",",Table1[[#This Row],[CI_95perc_Global.Power]])+1,LEN(Table1[[#This Row],[CI_95perc_Global.Power]])-FIND(",",Table1[[#This Row],[CI_95perc_Global.Power]])-1))</f>
        <v>0.76366999999999996</v>
      </c>
      <c r="BK127" s="10">
        <f>_xlfn.NUMBERVALUE(MID(Table1[[#This Row],[CI_95perc_Conjunctive.Power]],2,FIND(",",Table1[[#This Row],[CI_95perc_Conjunctive.Power]])-2))</f>
        <v>0.57364999999999999</v>
      </c>
      <c r="BL127" s="10">
        <f>_xlfn.NUMBERVALUE(MID(Table1[[#This Row],[CI_95perc_Conjunctive.Power]],FIND(",",Table1[[#This Row],[CI_95perc_Conjunctive.Power]])+1,LEN(Table1[[#This Row],[CI_95perc_Conjunctive.Power]])-FIND(",",Table1[[#This Row],[CI_95perc_Conjunctive.Power]])-1))</f>
        <v>0.58101000000000003</v>
      </c>
      <c r="BM127" s="10">
        <f>_xlfn.NUMBERVALUE(MID(Table1[[#This Row],[CI_95perc_Disjunctive.Power]],2,FIND(",",Table1[[#This Row],[CI_95perc_Disjunctive.Power]])-2))</f>
        <v>0.75709000000000004</v>
      </c>
      <c r="BN127" s="10">
        <f>_xlfn.NUMBERVALUE(MID(Table1[[#This Row],[CI_95perc_Disjunctive.Power]],FIND(",",Table1[[#This Row],[CI_95perc_Disjunctive.Power]])+1,LEN(Table1[[#This Row],[CI_95perc_Disjunctive.Power]])-FIND(",",Table1[[#This Row],[CI_95perc_Disjunctive.Power]])-1))</f>
        <v>0.76334999999999997</v>
      </c>
      <c r="BO127" s="10">
        <f>_xlfn.NUMBERVALUE(MID(Table1[[#This Row],[CI_95perc_FWER]],2,FIND(",",Table1[[#This Row],[CI_95perc_FWER]])-2))</f>
        <v>2.0889999999999999E-2</v>
      </c>
      <c r="BP127" s="10">
        <f>_xlfn.NUMBERVALUE(MID(Table1[[#This Row],[CI_95perc_FWER]],FIND(",",Table1[[#This Row],[CI_95perc_FWER]])+1,LEN(Table1[[#This Row],[CI_95perc_FWER]])-FIND(",",Table1[[#This Row],[CI_95perc_FWER]])-1))</f>
        <v>2.2530000000000001E-2</v>
      </c>
      <c r="BQ127" s="10" t="str">
        <f>_xlfn.CONCAT("(",TEXT(Table1[[#This Row],[LCL_Disj.Pow%]],"0.00%"), ", ",TEXT(Table1[[#This Row],[UCL_Disj.Pow%]],"0.00%"),")")</f>
        <v>(75.71%, 76.34%)</v>
      </c>
      <c r="BR127" s="10" t="str">
        <f>_xlfn.CONCAT("(",TEXT(Table1[[#This Row],[LCL_Conj.Pow%]],"0.00%"),", ",TEXT(Table1[[#This Row],[UCL_Conj.Pow%]],"0.00%"),")")</f>
        <v>(57.37%, 58.10%)</v>
      </c>
      <c r="BS127" s="10" t="str">
        <f>_xlfn.CONCAT("(",TEXT(Table1[[#This Row],[LCL_FWER%]],"0.00%"),", ",TEXT(Table1[[#This Row],[UCL_FWER%]],"0.00%"),")")</f>
        <v>(2.09%, 2.25%)</v>
      </c>
    </row>
    <row r="128" spans="1:71" x14ac:dyDescent="0.25">
      <c r="A128">
        <v>126</v>
      </c>
      <c r="B128" t="s">
        <v>708</v>
      </c>
      <c r="C128">
        <v>6706</v>
      </c>
      <c r="D128">
        <v>0.79162449999999995</v>
      </c>
      <c r="E128">
        <v>0.64908189999999999</v>
      </c>
      <c r="F128">
        <v>0.79131839999999998</v>
      </c>
      <c r="G128">
        <v>2.1035600000000002E-2</v>
      </c>
      <c r="H128" t="s">
        <v>740</v>
      </c>
      <c r="I128" t="s">
        <v>741</v>
      </c>
      <c r="J128" t="s">
        <v>742</v>
      </c>
      <c r="K128" t="s">
        <v>743</v>
      </c>
      <c r="L128" s="1">
        <v>164714166</v>
      </c>
      <c r="M128" t="s">
        <v>744</v>
      </c>
      <c r="N128">
        <v>0.728241152498457</v>
      </c>
      <c r="O128" t="s">
        <v>85</v>
      </c>
      <c r="P128" t="s">
        <v>41</v>
      </c>
      <c r="Q128">
        <v>500</v>
      </c>
      <c r="R128">
        <v>2.5000000000000001E-2</v>
      </c>
      <c r="S128" t="s">
        <v>654</v>
      </c>
      <c r="T128" t="s">
        <v>42</v>
      </c>
      <c r="U128" t="s">
        <v>64</v>
      </c>
      <c r="V128" t="s">
        <v>44</v>
      </c>
      <c r="W128">
        <v>5</v>
      </c>
      <c r="X128">
        <v>2</v>
      </c>
      <c r="Y128" t="s">
        <v>650</v>
      </c>
      <c r="Z128" t="s">
        <v>710</v>
      </c>
      <c r="AA128" t="s">
        <v>651</v>
      </c>
      <c r="AB128" t="s">
        <v>711</v>
      </c>
      <c r="AC128" t="s">
        <v>122</v>
      </c>
      <c r="AD128" t="s">
        <v>123</v>
      </c>
      <c r="AE128" t="s">
        <v>124</v>
      </c>
      <c r="AF128" t="s">
        <v>125</v>
      </c>
      <c r="AG128" t="s">
        <v>51</v>
      </c>
      <c r="AH128" t="s">
        <v>126</v>
      </c>
      <c r="AI128" t="s">
        <v>53</v>
      </c>
      <c r="AJ128" t="b">
        <v>1</v>
      </c>
      <c r="AK128" t="b">
        <v>1</v>
      </c>
      <c r="AL128">
        <v>1</v>
      </c>
      <c r="AM128">
        <v>1</v>
      </c>
      <c r="AN128" t="s">
        <v>56</v>
      </c>
      <c r="AO128" t="s">
        <v>57</v>
      </c>
      <c r="AP128">
        <v>0.25</v>
      </c>
      <c r="AQ128" t="b">
        <v>1</v>
      </c>
      <c r="AR128" t="s">
        <v>23</v>
      </c>
      <c r="AS128">
        <v>20000</v>
      </c>
      <c r="AT128">
        <v>500</v>
      </c>
      <c r="AU128" t="s">
        <v>121</v>
      </c>
      <c r="AV128" t="b">
        <v>0</v>
      </c>
      <c r="AW128" t="b">
        <v>0</v>
      </c>
      <c r="AX128" t="b">
        <v>1</v>
      </c>
      <c r="AY128" t="b">
        <v>0</v>
      </c>
      <c r="BA128" t="str">
        <f>INDEX(Inp_CER_Bin_2eps3arms!$AN$2:$AN$176,MATCH(Table1[[#This Row],[ModelID]],Inp_CER_Bin_2eps3arms!$A$2:$A$176,0))</f>
        <v>Compare.Pow.vs.Martin</v>
      </c>
      <c r="BC128" t="s">
        <v>621</v>
      </c>
      <c r="BD128" t="s">
        <v>629</v>
      </c>
      <c r="BE128" s="10">
        <f>Table1[[#This Row],[Global.Power]]</f>
        <v>0.79162449999999995</v>
      </c>
      <c r="BF128" s="10">
        <f>Table1[[#This Row],[Conjunctive.Power]]</f>
        <v>0.64908189999999999</v>
      </c>
      <c r="BG128" s="10">
        <f>Table1[[#This Row],[Disjunctive.Power]]</f>
        <v>0.79131839999999998</v>
      </c>
      <c r="BH128" s="10">
        <f>Table1[[#This Row],[FWER]]</f>
        <v>2.1035600000000002E-2</v>
      </c>
      <c r="BI128" s="10">
        <f>_xlfn.NUMBERVALUE(MID(Table1[[#This Row],[CI_95perc_Global.Power]],2,FIND(",",Table1[[#This Row],[CI_95perc_Global.Power]])-2))</f>
        <v>0.78774999999999995</v>
      </c>
      <c r="BJ128" s="10">
        <f>_xlfn.NUMBERVALUE(MID(Table1[[#This Row],[CI_95perc_Global.Power]],FIND(",",Table1[[#This Row],[CI_95perc_Global.Power]])+1,LEN(Table1[[#This Row],[CI_95perc_Global.Power]])-FIND(",",Table1[[#This Row],[CI_95perc_Global.Power]])-1))</f>
        <v>0.79549999999999998</v>
      </c>
      <c r="BK128" s="10">
        <f>_xlfn.NUMBERVALUE(MID(Table1[[#This Row],[CI_95perc_Conjunctive.Power]],2,FIND(",",Table1[[#This Row],[CI_95perc_Conjunctive.Power]])-2))</f>
        <v>0.64498999999999995</v>
      </c>
      <c r="BL128" s="10">
        <f>_xlfn.NUMBERVALUE(MID(Table1[[#This Row],[CI_95perc_Conjunctive.Power]],FIND(",",Table1[[#This Row],[CI_95perc_Conjunctive.Power]])+1,LEN(Table1[[#This Row],[CI_95perc_Conjunctive.Power]])-FIND(",",Table1[[#This Row],[CI_95perc_Conjunctive.Power]])-1))</f>
        <v>0.65317000000000003</v>
      </c>
      <c r="BM128" s="10">
        <f>_xlfn.NUMBERVALUE(MID(Table1[[#This Row],[CI_95perc_Disjunctive.Power]],2,FIND(",",Table1[[#This Row],[CI_95perc_Disjunctive.Power]])-2))</f>
        <v>0.78744000000000003</v>
      </c>
      <c r="BN128" s="10">
        <f>_xlfn.NUMBERVALUE(MID(Table1[[#This Row],[CI_95perc_Disjunctive.Power]],FIND(",",Table1[[#This Row],[CI_95perc_Disjunctive.Power]])+1,LEN(Table1[[#This Row],[CI_95perc_Disjunctive.Power]])-FIND(",",Table1[[#This Row],[CI_95perc_Disjunctive.Power]])-1))</f>
        <v>0.79520000000000002</v>
      </c>
      <c r="BO128" s="10">
        <f>_xlfn.NUMBERVALUE(MID(Table1[[#This Row],[CI_95perc_FWER]],2,FIND(",",Table1[[#This Row],[CI_95perc_FWER]])-2))</f>
        <v>2.0230000000000001E-2</v>
      </c>
      <c r="BP128" s="10">
        <f>_xlfn.NUMBERVALUE(MID(Table1[[#This Row],[CI_95perc_FWER]],FIND(",",Table1[[#This Row],[CI_95perc_FWER]])+1,LEN(Table1[[#This Row],[CI_95perc_FWER]])-FIND(",",Table1[[#This Row],[CI_95perc_FWER]])-1))</f>
        <v>2.1850000000000001E-2</v>
      </c>
      <c r="BQ128" s="10" t="str">
        <f>_xlfn.CONCAT("(",TEXT(Table1[[#This Row],[LCL_Disj.Pow%]],"0.00%"), ", ",TEXT(Table1[[#This Row],[UCL_Disj.Pow%]],"0.00%"),")")</f>
        <v>(78.74%, 79.52%)</v>
      </c>
      <c r="BR128" s="10" t="str">
        <f>_xlfn.CONCAT("(",TEXT(Table1[[#This Row],[LCL_Conj.Pow%]],"0.00%"),", ",TEXT(Table1[[#This Row],[UCL_Conj.Pow%]],"0.00%"),")")</f>
        <v>(64.50%, 65.32%)</v>
      </c>
      <c r="BS128" s="10" t="str">
        <f>_xlfn.CONCAT("(",TEXT(Table1[[#This Row],[LCL_FWER%]],"0.00%"),", ",TEXT(Table1[[#This Row],[UCL_FWER%]],"0.00%"),")")</f>
        <v>(2.02%, 2.19%)</v>
      </c>
    </row>
    <row r="129" spans="1:71" x14ac:dyDescent="0.25">
      <c r="A129">
        <v>127</v>
      </c>
      <c r="B129" t="s">
        <v>709</v>
      </c>
      <c r="C129">
        <v>2937</v>
      </c>
      <c r="D129">
        <v>0.84322450000000004</v>
      </c>
      <c r="E129">
        <v>0.74873029999999996</v>
      </c>
      <c r="F129">
        <v>0.84037209999999996</v>
      </c>
      <c r="G129">
        <v>4.9921000000000002E-3</v>
      </c>
      <c r="H129" t="s">
        <v>745</v>
      </c>
      <c r="I129" t="s">
        <v>746</v>
      </c>
      <c r="J129" t="s">
        <v>747</v>
      </c>
      <c r="K129" t="s">
        <v>748</v>
      </c>
      <c r="L129" s="1">
        <v>166515198</v>
      </c>
      <c r="M129" t="s">
        <v>749</v>
      </c>
      <c r="N129">
        <v>0.65226642807324697</v>
      </c>
      <c r="O129" t="s">
        <v>85</v>
      </c>
      <c r="P129" t="s">
        <v>41</v>
      </c>
      <c r="Q129">
        <v>500</v>
      </c>
      <c r="R129">
        <v>2.5000000000000001E-2</v>
      </c>
      <c r="S129" t="s">
        <v>654</v>
      </c>
      <c r="T129" t="s">
        <v>42</v>
      </c>
      <c r="U129" t="s">
        <v>64</v>
      </c>
      <c r="V129" t="s">
        <v>44</v>
      </c>
      <c r="W129">
        <v>5</v>
      </c>
      <c r="X129">
        <v>2</v>
      </c>
      <c r="Y129" t="s">
        <v>650</v>
      </c>
      <c r="Z129" t="s">
        <v>710</v>
      </c>
      <c r="AA129" t="s">
        <v>651</v>
      </c>
      <c r="AB129" t="s">
        <v>711</v>
      </c>
      <c r="AC129" t="s">
        <v>122</v>
      </c>
      <c r="AD129" t="s">
        <v>123</v>
      </c>
      <c r="AE129" t="s">
        <v>124</v>
      </c>
      <c r="AF129" t="s">
        <v>125</v>
      </c>
      <c r="AG129" t="s">
        <v>51</v>
      </c>
      <c r="AH129" t="s">
        <v>126</v>
      </c>
      <c r="AI129" t="s">
        <v>53</v>
      </c>
      <c r="AJ129" t="b">
        <v>1</v>
      </c>
      <c r="AK129" t="b">
        <v>1</v>
      </c>
      <c r="AL129">
        <v>1</v>
      </c>
      <c r="AM129">
        <v>1</v>
      </c>
      <c r="AN129" t="s">
        <v>56</v>
      </c>
      <c r="AO129" t="s">
        <v>60</v>
      </c>
      <c r="AP129">
        <v>1</v>
      </c>
      <c r="AQ129" t="b">
        <v>1</v>
      </c>
      <c r="AR129" t="s">
        <v>23</v>
      </c>
      <c r="AS129">
        <v>20000</v>
      </c>
      <c r="AT129">
        <v>500</v>
      </c>
      <c r="AU129" t="s">
        <v>121</v>
      </c>
      <c r="AV129" t="b">
        <v>0</v>
      </c>
      <c r="AW129" t="b">
        <v>0</v>
      </c>
      <c r="AX129" t="b">
        <v>1</v>
      </c>
      <c r="AY129" t="b">
        <v>0</v>
      </c>
      <c r="BA129" t="str">
        <f>INDEX(Inp_CER_Bin_2eps3arms!$AN$2:$AN$176,MATCH(Table1[[#This Row],[ModelID]],Inp_CER_Bin_2eps3arms!$A$2:$A$176,0))</f>
        <v>Compare.Pow.vs.Martin</v>
      </c>
      <c r="BC129" t="s">
        <v>620</v>
      </c>
      <c r="BD129" t="s">
        <v>629</v>
      </c>
      <c r="BE129" s="10">
        <f>Table1[[#This Row],[Global.Power]]</f>
        <v>0.84322450000000004</v>
      </c>
      <c r="BF129" s="10">
        <f>Table1[[#This Row],[Conjunctive.Power]]</f>
        <v>0.74873029999999996</v>
      </c>
      <c r="BG129" s="10">
        <f>Table1[[#This Row],[Disjunctive.Power]]</f>
        <v>0.84037209999999996</v>
      </c>
      <c r="BH129" s="10">
        <f>Table1[[#This Row],[FWER]]</f>
        <v>4.9921000000000002E-3</v>
      </c>
      <c r="BI129" s="10">
        <f>_xlfn.NUMBERVALUE(MID(Table1[[#This Row],[CI_95perc_Global.Power]],2,FIND(",",Table1[[#This Row],[CI_95perc_Global.Power]])-2))</f>
        <v>0.83982999999999997</v>
      </c>
      <c r="BJ129" s="10">
        <f>_xlfn.NUMBERVALUE(MID(Table1[[#This Row],[CI_95perc_Global.Power]],FIND(",",Table1[[#This Row],[CI_95perc_Global.Power]])+1,LEN(Table1[[#This Row],[CI_95perc_Global.Power]])-FIND(",",Table1[[#This Row],[CI_95perc_Global.Power]])-1))</f>
        <v>0.84662000000000004</v>
      </c>
      <c r="BK129" s="10">
        <f>_xlfn.NUMBERVALUE(MID(Table1[[#This Row],[CI_95perc_Conjunctive.Power]],2,FIND(",",Table1[[#This Row],[CI_95perc_Conjunctive.Power]])-2))</f>
        <v>0.74495999999999996</v>
      </c>
      <c r="BL129" s="10">
        <f>_xlfn.NUMBERVALUE(MID(Table1[[#This Row],[CI_95perc_Conjunctive.Power]],FIND(",",Table1[[#This Row],[CI_95perc_Conjunctive.Power]])+1,LEN(Table1[[#This Row],[CI_95perc_Conjunctive.Power]])-FIND(",",Table1[[#This Row],[CI_95perc_Conjunctive.Power]])-1))</f>
        <v>0.75249999999999995</v>
      </c>
      <c r="BM129" s="10">
        <f>_xlfn.NUMBERVALUE(MID(Table1[[#This Row],[CI_95perc_Disjunctive.Power]],2,FIND(",",Table1[[#This Row],[CI_95perc_Disjunctive.Power]])-2))</f>
        <v>0.83686000000000005</v>
      </c>
      <c r="BN129" s="10">
        <f>_xlfn.NUMBERVALUE(MID(Table1[[#This Row],[CI_95perc_Disjunctive.Power]],FIND(",",Table1[[#This Row],[CI_95perc_Disjunctive.Power]])+1,LEN(Table1[[#This Row],[CI_95perc_Disjunctive.Power]])-FIND(",",Table1[[#This Row],[CI_95perc_Disjunctive.Power]])-1))</f>
        <v>0.84389000000000003</v>
      </c>
      <c r="BO129" s="10">
        <f>_xlfn.NUMBERVALUE(MID(Table1[[#This Row],[CI_95perc_FWER]],2,FIND(",",Table1[[#This Row],[CI_95perc_FWER]])-2))</f>
        <v>4.4099999999999999E-3</v>
      </c>
      <c r="BP129" s="10">
        <f>_xlfn.NUMBERVALUE(MID(Table1[[#This Row],[CI_95perc_FWER]],FIND(",",Table1[[#This Row],[CI_95perc_FWER]])+1,LEN(Table1[[#This Row],[CI_95perc_FWER]])-FIND(",",Table1[[#This Row],[CI_95perc_FWER]])-1))</f>
        <v>5.5799999999999999E-3</v>
      </c>
      <c r="BQ129" s="10" t="str">
        <f>_xlfn.CONCAT("(",TEXT(Table1[[#This Row],[LCL_Disj.Pow%]],"0.00%"), ", ",TEXT(Table1[[#This Row],[UCL_Disj.Pow%]],"0.00%"),")")</f>
        <v>(83.69%, 84.39%)</v>
      </c>
      <c r="BR129" s="10" t="str">
        <f>_xlfn.CONCAT("(",TEXT(Table1[[#This Row],[LCL_Conj.Pow%]],"0.00%"),", ",TEXT(Table1[[#This Row],[UCL_Conj.Pow%]],"0.00%"),")")</f>
        <v>(74.50%, 75.25%)</v>
      </c>
      <c r="BS129" s="10" t="str">
        <f>_xlfn.CONCAT("(",TEXT(Table1[[#This Row],[LCL_FWER%]],"0.00%"),", ",TEXT(Table1[[#This Row],[UCL_FWER%]],"0.00%"),")")</f>
        <v>(0.44%, 0.56%)</v>
      </c>
    </row>
    <row r="130" spans="1:71" x14ac:dyDescent="0.25">
      <c r="A130">
        <v>128</v>
      </c>
      <c r="B130" t="s">
        <v>712</v>
      </c>
      <c r="C130">
        <v>6456</v>
      </c>
      <c r="D130">
        <v>0.82551209999999997</v>
      </c>
      <c r="E130">
        <v>0.32766430000000002</v>
      </c>
      <c r="F130">
        <v>0.82548650000000001</v>
      </c>
      <c r="G130">
        <v>2.0416500000000001E-2</v>
      </c>
      <c r="H130" t="s">
        <v>750</v>
      </c>
      <c r="I130" t="s">
        <v>751</v>
      </c>
      <c r="J130" t="s">
        <v>752</v>
      </c>
      <c r="K130" t="s">
        <v>753</v>
      </c>
      <c r="L130" s="1">
        <v>280313710</v>
      </c>
      <c r="M130" t="s">
        <v>754</v>
      </c>
      <c r="N130">
        <v>1.0211841819021401</v>
      </c>
      <c r="O130" t="s">
        <v>85</v>
      </c>
      <c r="P130" t="s">
        <v>41</v>
      </c>
      <c r="Q130">
        <v>500</v>
      </c>
      <c r="R130">
        <v>2.5000000000000001E-2</v>
      </c>
      <c r="S130" t="s">
        <v>654</v>
      </c>
      <c r="T130" t="s">
        <v>42</v>
      </c>
      <c r="U130" t="s">
        <v>64</v>
      </c>
      <c r="V130" t="s">
        <v>44</v>
      </c>
      <c r="W130">
        <v>5</v>
      </c>
      <c r="X130">
        <v>2</v>
      </c>
      <c r="Y130" t="s">
        <v>650</v>
      </c>
      <c r="Z130" t="s">
        <v>724</v>
      </c>
      <c r="AA130" t="s">
        <v>651</v>
      </c>
      <c r="AB130" t="s">
        <v>727</v>
      </c>
      <c r="AC130" t="s">
        <v>122</v>
      </c>
      <c r="AD130" t="s">
        <v>123</v>
      </c>
      <c r="AE130" t="s">
        <v>124</v>
      </c>
      <c r="AF130" t="s">
        <v>125</v>
      </c>
      <c r="AG130" t="s">
        <v>51</v>
      </c>
      <c r="AH130" t="s">
        <v>126</v>
      </c>
      <c r="AI130" t="s">
        <v>53</v>
      </c>
      <c r="AJ130" t="b">
        <v>1</v>
      </c>
      <c r="AK130" t="b">
        <v>1</v>
      </c>
      <c r="AL130">
        <v>1</v>
      </c>
      <c r="AM130">
        <v>1</v>
      </c>
      <c r="AN130" t="s">
        <v>56</v>
      </c>
      <c r="AO130" t="s">
        <v>57</v>
      </c>
      <c r="AP130">
        <v>0.75</v>
      </c>
      <c r="AQ130" t="b">
        <v>1</v>
      </c>
      <c r="AR130" t="s">
        <v>23</v>
      </c>
      <c r="AS130">
        <v>20000</v>
      </c>
      <c r="AT130">
        <v>500</v>
      </c>
      <c r="AU130" t="s">
        <v>121</v>
      </c>
      <c r="AV130" t="b">
        <v>0</v>
      </c>
      <c r="AW130" t="b">
        <v>0</v>
      </c>
      <c r="AX130" t="b">
        <v>1</v>
      </c>
      <c r="AY130" t="b">
        <v>0</v>
      </c>
      <c r="BA130" t="str">
        <f>INDEX(Inp_CER_Bin_2eps3arms!$AN$2:$AN$176,MATCH(Table1[[#This Row],[ModelID]],Inp_CER_Bin_2eps3arms!$A$2:$A$176,0))</f>
        <v>Compare.Pow.vs.Martin</v>
      </c>
      <c r="BC130" t="s">
        <v>619</v>
      </c>
      <c r="BD130" t="s">
        <v>630</v>
      </c>
      <c r="BE130" s="10">
        <f>Table1[[#This Row],[Global.Power]]</f>
        <v>0.82551209999999997</v>
      </c>
      <c r="BF130" s="10">
        <f>Table1[[#This Row],[Conjunctive.Power]]</f>
        <v>0.32766430000000002</v>
      </c>
      <c r="BG130" s="10">
        <f>Table1[[#This Row],[Disjunctive.Power]]</f>
        <v>0.82548650000000001</v>
      </c>
      <c r="BH130" s="10">
        <f>Table1[[#This Row],[FWER]]</f>
        <v>2.0416500000000001E-2</v>
      </c>
      <c r="BI130" s="10">
        <f>_xlfn.NUMBERVALUE(MID(Table1[[#This Row],[CI_95perc_Global.Power]],2,FIND(",",Table1[[#This Row],[CI_95perc_Global.Power]])-2))</f>
        <v>0.82301000000000002</v>
      </c>
      <c r="BJ130" s="10">
        <f>_xlfn.NUMBERVALUE(MID(Table1[[#This Row],[CI_95perc_Global.Power]],FIND(",",Table1[[#This Row],[CI_95perc_Global.Power]])+1,LEN(Table1[[#This Row],[CI_95perc_Global.Power]])-FIND(",",Table1[[#This Row],[CI_95perc_Global.Power]])-1))</f>
        <v>0.82801999999999998</v>
      </c>
      <c r="BK130" s="10">
        <f>_xlfn.NUMBERVALUE(MID(Table1[[#This Row],[CI_95perc_Conjunctive.Power]],2,FIND(",",Table1[[#This Row],[CI_95perc_Conjunctive.Power]])-2))</f>
        <v>0.32440000000000002</v>
      </c>
      <c r="BL130" s="10">
        <f>_xlfn.NUMBERVALUE(MID(Table1[[#This Row],[CI_95perc_Conjunctive.Power]],FIND(",",Table1[[#This Row],[CI_95perc_Conjunctive.Power]])+1,LEN(Table1[[#This Row],[CI_95perc_Conjunctive.Power]])-FIND(",",Table1[[#This Row],[CI_95perc_Conjunctive.Power]])-1))</f>
        <v>0.33093</v>
      </c>
      <c r="BM130" s="10">
        <f>_xlfn.NUMBERVALUE(MID(Table1[[#This Row],[CI_95perc_Disjunctive.Power]],2,FIND(",",Table1[[#This Row],[CI_95perc_Disjunctive.Power]])-2))</f>
        <v>0.82298000000000004</v>
      </c>
      <c r="BN130" s="10">
        <f>_xlfn.NUMBERVALUE(MID(Table1[[#This Row],[CI_95perc_Disjunctive.Power]],FIND(",",Table1[[#This Row],[CI_95perc_Disjunctive.Power]])+1,LEN(Table1[[#This Row],[CI_95perc_Disjunctive.Power]])-FIND(",",Table1[[#This Row],[CI_95perc_Disjunctive.Power]])-1))</f>
        <v>0.82799</v>
      </c>
      <c r="BO130" s="10">
        <f>_xlfn.NUMBERVALUE(MID(Table1[[#This Row],[CI_95perc_FWER]],2,FIND(",",Table1[[#This Row],[CI_95perc_FWER]])-2))</f>
        <v>1.9640000000000001E-2</v>
      </c>
      <c r="BP130" s="10">
        <f>_xlfn.NUMBERVALUE(MID(Table1[[#This Row],[CI_95perc_FWER]],FIND(",",Table1[[#This Row],[CI_95perc_FWER]])+1,LEN(Table1[[#This Row],[CI_95perc_FWER]])-FIND(",",Table1[[#This Row],[CI_95perc_FWER]])-1))</f>
        <v>2.12E-2</v>
      </c>
      <c r="BQ130" s="10" t="str">
        <f>_xlfn.CONCAT("(",TEXT(Table1[[#This Row],[LCL_Disj.Pow%]],"0.00%"), ", ",TEXT(Table1[[#This Row],[UCL_Disj.Pow%]],"0.00%"),")")</f>
        <v>(82.30%, 82.80%)</v>
      </c>
      <c r="BR130" s="10" t="str">
        <f>_xlfn.CONCAT("(",TEXT(Table1[[#This Row],[LCL_Conj.Pow%]],"0.00%"),", ",TEXT(Table1[[#This Row],[UCL_Conj.Pow%]],"0.00%"),")")</f>
        <v>(32.44%, 33.09%)</v>
      </c>
      <c r="BS130" s="10" t="str">
        <f>_xlfn.CONCAT("(",TEXT(Table1[[#This Row],[LCL_FWER%]],"0.00%"),", ",TEXT(Table1[[#This Row],[UCL_FWER%]],"0.00%"),")")</f>
        <v>(1.96%, 2.12%)</v>
      </c>
    </row>
    <row r="131" spans="1:71" x14ac:dyDescent="0.25">
      <c r="A131">
        <v>129</v>
      </c>
      <c r="B131" t="s">
        <v>713</v>
      </c>
      <c r="C131">
        <v>3292</v>
      </c>
      <c r="D131">
        <v>0.86061080000000001</v>
      </c>
      <c r="E131">
        <v>0.37432749999999998</v>
      </c>
      <c r="F131">
        <v>0.86058590000000001</v>
      </c>
      <c r="G131">
        <v>2.0719399999999999E-2</v>
      </c>
      <c r="H131" t="s">
        <v>755</v>
      </c>
      <c r="I131" t="s">
        <v>756</v>
      </c>
      <c r="J131" t="s">
        <v>757</v>
      </c>
      <c r="K131" t="s">
        <v>758</v>
      </c>
      <c r="L131" s="1">
        <v>282114377</v>
      </c>
      <c r="M131" t="s">
        <v>759</v>
      </c>
      <c r="N131">
        <v>0.93732985330952501</v>
      </c>
      <c r="O131" t="s">
        <v>85</v>
      </c>
      <c r="P131" t="s">
        <v>41</v>
      </c>
      <c r="Q131">
        <v>500</v>
      </c>
      <c r="R131">
        <v>2.5000000000000001E-2</v>
      </c>
      <c r="S131" t="s">
        <v>654</v>
      </c>
      <c r="T131" t="s">
        <v>42</v>
      </c>
      <c r="U131" t="s">
        <v>64</v>
      </c>
      <c r="V131" t="s">
        <v>44</v>
      </c>
      <c r="W131">
        <v>5</v>
      </c>
      <c r="X131">
        <v>2</v>
      </c>
      <c r="Y131" t="s">
        <v>650</v>
      </c>
      <c r="Z131" t="s">
        <v>724</v>
      </c>
      <c r="AA131" t="s">
        <v>651</v>
      </c>
      <c r="AB131" t="s">
        <v>727</v>
      </c>
      <c r="AC131" t="s">
        <v>122</v>
      </c>
      <c r="AD131" t="s">
        <v>123</v>
      </c>
      <c r="AE131" t="s">
        <v>124</v>
      </c>
      <c r="AF131" t="s">
        <v>125</v>
      </c>
      <c r="AG131" t="s">
        <v>51</v>
      </c>
      <c r="AH131" t="s">
        <v>126</v>
      </c>
      <c r="AI131" t="s">
        <v>53</v>
      </c>
      <c r="AJ131" t="b">
        <v>1</v>
      </c>
      <c r="AK131" t="b">
        <v>1</v>
      </c>
      <c r="AL131">
        <v>1</v>
      </c>
      <c r="AM131">
        <v>1</v>
      </c>
      <c r="AN131" t="s">
        <v>56</v>
      </c>
      <c r="AO131" t="s">
        <v>57</v>
      </c>
      <c r="AP131">
        <v>0.5</v>
      </c>
      <c r="AQ131" t="b">
        <v>1</v>
      </c>
      <c r="AR131" t="s">
        <v>23</v>
      </c>
      <c r="AS131">
        <v>20000</v>
      </c>
      <c r="AT131">
        <v>500</v>
      </c>
      <c r="AU131" t="s">
        <v>121</v>
      </c>
      <c r="AV131" t="b">
        <v>0</v>
      </c>
      <c r="AW131" t="b">
        <v>0</v>
      </c>
      <c r="AX131" t="b">
        <v>1</v>
      </c>
      <c r="AY131" t="b">
        <v>0</v>
      </c>
      <c r="BA131" t="str">
        <f>INDEX(Inp_CER_Bin_2eps3arms!$AN$2:$AN$176,MATCH(Table1[[#This Row],[ModelID]],Inp_CER_Bin_2eps3arms!$A$2:$A$176,0))</f>
        <v>Compare.Pow.vs.Martin</v>
      </c>
      <c r="BC131" t="s">
        <v>622</v>
      </c>
      <c r="BD131" t="s">
        <v>630</v>
      </c>
      <c r="BE131" s="10">
        <f>Table1[[#This Row],[Global.Power]]</f>
        <v>0.86061080000000001</v>
      </c>
      <c r="BF131" s="10">
        <f>Table1[[#This Row],[Conjunctive.Power]]</f>
        <v>0.37432749999999998</v>
      </c>
      <c r="BG131" s="10">
        <f>Table1[[#This Row],[Disjunctive.Power]]</f>
        <v>0.86058590000000001</v>
      </c>
      <c r="BH131" s="10">
        <f>Table1[[#This Row],[FWER]]</f>
        <v>2.0719399999999999E-2</v>
      </c>
      <c r="BI131" s="10">
        <f>_xlfn.NUMBERVALUE(MID(Table1[[#This Row],[CI_95perc_Global.Power]],2,FIND(",",Table1[[#This Row],[CI_95perc_Global.Power]])-2))</f>
        <v>0.85843999999999998</v>
      </c>
      <c r="BJ131" s="10">
        <f>_xlfn.NUMBERVALUE(MID(Table1[[#This Row],[CI_95perc_Global.Power]],FIND(",",Table1[[#This Row],[CI_95perc_Global.Power]])+1,LEN(Table1[[#This Row],[CI_95perc_Global.Power]])-FIND(",",Table1[[#This Row],[CI_95perc_Global.Power]])-1))</f>
        <v>0.86277999999999999</v>
      </c>
      <c r="BK131" s="10">
        <f>_xlfn.NUMBERVALUE(MID(Table1[[#This Row],[CI_95perc_Conjunctive.Power]],2,FIND(",",Table1[[#This Row],[CI_95perc_Conjunctive.Power]])-2))</f>
        <v>0.37092999999999998</v>
      </c>
      <c r="BL131" s="10">
        <f>_xlfn.NUMBERVALUE(MID(Table1[[#This Row],[CI_95perc_Conjunctive.Power]],FIND(",",Table1[[#This Row],[CI_95perc_Conjunctive.Power]])+1,LEN(Table1[[#This Row],[CI_95perc_Conjunctive.Power]])-FIND(",",Table1[[#This Row],[CI_95perc_Conjunctive.Power]])-1))</f>
        <v>0.37773000000000001</v>
      </c>
      <c r="BM131" s="10">
        <f>_xlfn.NUMBERVALUE(MID(Table1[[#This Row],[CI_95perc_Disjunctive.Power]],2,FIND(",",Table1[[#This Row],[CI_95perc_Disjunctive.Power]])-2))</f>
        <v>0.85841999999999996</v>
      </c>
      <c r="BN131" s="10">
        <f>_xlfn.NUMBERVALUE(MID(Table1[[#This Row],[CI_95perc_Disjunctive.Power]],FIND(",",Table1[[#This Row],[CI_95perc_Disjunctive.Power]])+1,LEN(Table1[[#This Row],[CI_95perc_Disjunctive.Power]])-FIND(",",Table1[[#This Row],[CI_95perc_Disjunctive.Power]])-1))</f>
        <v>0.86275000000000002</v>
      </c>
      <c r="BO131" s="10">
        <f>_xlfn.NUMBERVALUE(MID(Table1[[#This Row],[CI_95perc_FWER]],2,FIND(",",Table1[[#This Row],[CI_95perc_FWER]])-2))</f>
        <v>1.992E-2</v>
      </c>
      <c r="BP131" s="10">
        <f>_xlfn.NUMBERVALUE(MID(Table1[[#This Row],[CI_95perc_FWER]],FIND(",",Table1[[#This Row],[CI_95perc_FWER]])+1,LEN(Table1[[#This Row],[CI_95perc_FWER]])-FIND(",",Table1[[#This Row],[CI_95perc_FWER]])-1))</f>
        <v>2.1520000000000001E-2</v>
      </c>
      <c r="BQ131" s="10" t="str">
        <f>_xlfn.CONCAT("(",TEXT(Table1[[#This Row],[LCL_Disj.Pow%]],"0.00%"), ", ",TEXT(Table1[[#This Row],[UCL_Disj.Pow%]],"0.00%"),")")</f>
        <v>(85.84%, 86.28%)</v>
      </c>
      <c r="BR131" s="10" t="str">
        <f>_xlfn.CONCAT("(",TEXT(Table1[[#This Row],[LCL_Conj.Pow%]],"0.00%"),", ",TEXT(Table1[[#This Row],[UCL_Conj.Pow%]],"0.00%"),")")</f>
        <v>(37.09%, 37.77%)</v>
      </c>
      <c r="BS131" s="10" t="str">
        <f>_xlfn.CONCAT("(",TEXT(Table1[[#This Row],[LCL_FWER%]],"0.00%"),", ",TEXT(Table1[[#This Row],[UCL_FWER%]],"0.00%"),")")</f>
        <v>(1.99%, 2.15%)</v>
      </c>
    </row>
    <row r="132" spans="1:71" x14ac:dyDescent="0.25">
      <c r="A132">
        <v>130</v>
      </c>
      <c r="B132" t="s">
        <v>714</v>
      </c>
      <c r="C132">
        <v>6926</v>
      </c>
      <c r="D132">
        <v>0.88581319999999997</v>
      </c>
      <c r="E132">
        <v>0.41455579999999997</v>
      </c>
      <c r="F132">
        <v>0.88578849999999998</v>
      </c>
      <c r="G132">
        <v>1.9821499999999999E-2</v>
      </c>
      <c r="H132" t="s">
        <v>760</v>
      </c>
      <c r="I132" t="s">
        <v>761</v>
      </c>
      <c r="J132" t="s">
        <v>762</v>
      </c>
      <c r="K132" t="s">
        <v>763</v>
      </c>
      <c r="L132" s="1">
        <v>280214895</v>
      </c>
      <c r="M132" t="s">
        <v>764</v>
      </c>
      <c r="N132">
        <v>0.837573926117685</v>
      </c>
      <c r="O132" t="s">
        <v>85</v>
      </c>
      <c r="P132" t="s">
        <v>41</v>
      </c>
      <c r="Q132">
        <v>500</v>
      </c>
      <c r="R132">
        <v>2.5000000000000001E-2</v>
      </c>
      <c r="S132" t="s">
        <v>654</v>
      </c>
      <c r="T132" t="s">
        <v>42</v>
      </c>
      <c r="U132" t="s">
        <v>64</v>
      </c>
      <c r="V132" t="s">
        <v>44</v>
      </c>
      <c r="W132">
        <v>5</v>
      </c>
      <c r="X132">
        <v>2</v>
      </c>
      <c r="Y132" t="s">
        <v>650</v>
      </c>
      <c r="Z132" t="s">
        <v>724</v>
      </c>
      <c r="AA132" t="s">
        <v>651</v>
      </c>
      <c r="AB132" t="s">
        <v>727</v>
      </c>
      <c r="AC132" t="s">
        <v>122</v>
      </c>
      <c r="AD132" t="s">
        <v>123</v>
      </c>
      <c r="AE132" t="s">
        <v>124</v>
      </c>
      <c r="AF132" t="s">
        <v>125</v>
      </c>
      <c r="AG132" t="s">
        <v>51</v>
      </c>
      <c r="AH132" t="s">
        <v>126</v>
      </c>
      <c r="AI132" t="s">
        <v>53</v>
      </c>
      <c r="AJ132" t="b">
        <v>1</v>
      </c>
      <c r="AK132" t="b">
        <v>1</v>
      </c>
      <c r="AL132">
        <v>1</v>
      </c>
      <c r="AM132">
        <v>1</v>
      </c>
      <c r="AN132" t="s">
        <v>56</v>
      </c>
      <c r="AO132" t="s">
        <v>57</v>
      </c>
      <c r="AP132">
        <v>0.25</v>
      </c>
      <c r="AQ132" t="b">
        <v>1</v>
      </c>
      <c r="AR132" t="s">
        <v>23</v>
      </c>
      <c r="AS132">
        <v>20000</v>
      </c>
      <c r="AT132">
        <v>500</v>
      </c>
      <c r="AU132" t="s">
        <v>121</v>
      </c>
      <c r="AV132" t="b">
        <v>0</v>
      </c>
      <c r="AW132" t="b">
        <v>0</v>
      </c>
      <c r="AX132" t="b">
        <v>1</v>
      </c>
      <c r="AY132" t="b">
        <v>0</v>
      </c>
      <c r="BA132" t="str">
        <f>INDEX(Inp_CER_Bin_2eps3arms!$AN$2:$AN$176,MATCH(Table1[[#This Row],[ModelID]],Inp_CER_Bin_2eps3arms!$A$2:$A$176,0))</f>
        <v>Compare.Pow.vs.Martin</v>
      </c>
      <c r="BC132" t="s">
        <v>621</v>
      </c>
      <c r="BD132" t="s">
        <v>630</v>
      </c>
      <c r="BE132" s="10">
        <f>Table1[[#This Row],[Global.Power]]</f>
        <v>0.88581319999999997</v>
      </c>
      <c r="BF132" s="10">
        <f>Table1[[#This Row],[Conjunctive.Power]]</f>
        <v>0.41455579999999997</v>
      </c>
      <c r="BG132" s="10">
        <f>Table1[[#This Row],[Disjunctive.Power]]</f>
        <v>0.88578849999999998</v>
      </c>
      <c r="BH132" s="10">
        <f>Table1[[#This Row],[FWER]]</f>
        <v>1.9821499999999999E-2</v>
      </c>
      <c r="BI132" s="10">
        <f>_xlfn.NUMBERVALUE(MID(Table1[[#This Row],[CI_95perc_Global.Power]],2,FIND(",",Table1[[#This Row],[CI_95perc_Global.Power]])-2))</f>
        <v>0.88332999999999995</v>
      </c>
      <c r="BJ132" s="10">
        <f>_xlfn.NUMBERVALUE(MID(Table1[[#This Row],[CI_95perc_Global.Power]],FIND(",",Table1[[#This Row],[CI_95perc_Global.Power]])+1,LEN(Table1[[#This Row],[CI_95perc_Global.Power]])-FIND(",",Table1[[#This Row],[CI_95perc_Global.Power]])-1))</f>
        <v>0.88829000000000002</v>
      </c>
      <c r="BK132" s="10">
        <f>_xlfn.NUMBERVALUE(MID(Table1[[#This Row],[CI_95perc_Conjunctive.Power]],2,FIND(",",Table1[[#This Row],[CI_95perc_Conjunctive.Power]])-2))</f>
        <v>0.41070000000000001</v>
      </c>
      <c r="BL132" s="10">
        <f>_xlfn.NUMBERVALUE(MID(Table1[[#This Row],[CI_95perc_Conjunctive.Power]],FIND(",",Table1[[#This Row],[CI_95perc_Conjunctive.Power]])+1,LEN(Table1[[#This Row],[CI_95perc_Conjunctive.Power]])-FIND(",",Table1[[#This Row],[CI_95perc_Conjunctive.Power]])-1))</f>
        <v>0.41841</v>
      </c>
      <c r="BM132" s="10">
        <f>_xlfn.NUMBERVALUE(MID(Table1[[#This Row],[CI_95perc_Disjunctive.Power]],2,FIND(",",Table1[[#This Row],[CI_95perc_Disjunctive.Power]])-2))</f>
        <v>0.88331000000000004</v>
      </c>
      <c r="BN132" s="10">
        <f>_xlfn.NUMBERVALUE(MID(Table1[[#This Row],[CI_95perc_Disjunctive.Power]],FIND(",",Table1[[#This Row],[CI_95perc_Disjunctive.Power]])+1,LEN(Table1[[#This Row],[CI_95perc_Disjunctive.Power]])-FIND(",",Table1[[#This Row],[CI_95perc_Disjunctive.Power]])-1))</f>
        <v>0.88827</v>
      </c>
      <c r="BO132" s="10">
        <f>_xlfn.NUMBERVALUE(MID(Table1[[#This Row],[CI_95perc_FWER]],2,FIND(",",Table1[[#This Row],[CI_95perc_FWER]])-2))</f>
        <v>1.9029999999999998E-2</v>
      </c>
      <c r="BP132" s="10">
        <f>_xlfn.NUMBERVALUE(MID(Table1[[#This Row],[CI_95perc_FWER]],FIND(",",Table1[[#This Row],[CI_95perc_FWER]])+1,LEN(Table1[[#This Row],[CI_95perc_FWER]])-FIND(",",Table1[[#This Row],[CI_95perc_FWER]])-1))</f>
        <v>2.061E-2</v>
      </c>
      <c r="BQ132" s="10" t="str">
        <f>_xlfn.CONCAT("(",TEXT(Table1[[#This Row],[LCL_Disj.Pow%]],"0.00%"), ", ",TEXT(Table1[[#This Row],[UCL_Disj.Pow%]],"0.00%"),")")</f>
        <v>(88.33%, 88.83%)</v>
      </c>
      <c r="BR132" s="10" t="str">
        <f>_xlfn.CONCAT("(",TEXT(Table1[[#This Row],[LCL_Conj.Pow%]],"0.00%"),", ",TEXT(Table1[[#This Row],[UCL_Conj.Pow%]],"0.00%"),")")</f>
        <v>(41.07%, 41.84%)</v>
      </c>
      <c r="BS132" s="10" t="str">
        <f>_xlfn.CONCAT("(",TEXT(Table1[[#This Row],[LCL_FWER%]],"0.00%"),", ",TEXT(Table1[[#This Row],[UCL_FWER%]],"0.00%"),")")</f>
        <v>(1.90%, 2.06%)</v>
      </c>
    </row>
    <row r="133" spans="1:71" x14ac:dyDescent="0.25">
      <c r="A133">
        <v>131</v>
      </c>
      <c r="B133" t="s">
        <v>715</v>
      </c>
      <c r="C133">
        <v>7152</v>
      </c>
      <c r="D133">
        <v>0.93486959999999997</v>
      </c>
      <c r="E133">
        <v>2.31437E-2</v>
      </c>
      <c r="F133">
        <v>0.93425170000000002</v>
      </c>
      <c r="G133">
        <v>1.8550000000000001E-3</v>
      </c>
      <c r="H133" t="s">
        <v>765</v>
      </c>
      <c r="I133" t="s">
        <v>766</v>
      </c>
      <c r="J133" t="s">
        <v>767</v>
      </c>
      <c r="K133" t="s">
        <v>768</v>
      </c>
      <c r="L133" s="1">
        <v>280615863</v>
      </c>
      <c r="M133" t="s">
        <v>769</v>
      </c>
      <c r="N133">
        <v>0.64361213220490399</v>
      </c>
      <c r="O133" t="s">
        <v>85</v>
      </c>
      <c r="P133" t="s">
        <v>41</v>
      </c>
      <c r="Q133">
        <v>500</v>
      </c>
      <c r="R133">
        <v>2.5000000000000001E-2</v>
      </c>
      <c r="S133" t="s">
        <v>654</v>
      </c>
      <c r="T133" t="s">
        <v>42</v>
      </c>
      <c r="U133" t="s">
        <v>64</v>
      </c>
      <c r="V133" t="s">
        <v>44</v>
      </c>
      <c r="W133">
        <v>5</v>
      </c>
      <c r="X133">
        <v>2</v>
      </c>
      <c r="Y133" t="s">
        <v>650</v>
      </c>
      <c r="Z133" t="s">
        <v>724</v>
      </c>
      <c r="AA133" t="s">
        <v>651</v>
      </c>
      <c r="AB133" t="s">
        <v>727</v>
      </c>
      <c r="AC133" t="s">
        <v>122</v>
      </c>
      <c r="AD133" t="s">
        <v>123</v>
      </c>
      <c r="AE133" t="s">
        <v>124</v>
      </c>
      <c r="AF133" t="s">
        <v>125</v>
      </c>
      <c r="AG133" t="s">
        <v>51</v>
      </c>
      <c r="AH133" t="s">
        <v>126</v>
      </c>
      <c r="AI133" t="s">
        <v>53</v>
      </c>
      <c r="AJ133" t="b">
        <v>1</v>
      </c>
      <c r="AK133" t="b">
        <v>1</v>
      </c>
      <c r="AL133">
        <v>1</v>
      </c>
      <c r="AM133">
        <v>1</v>
      </c>
      <c r="AN133" t="s">
        <v>56</v>
      </c>
      <c r="AO133" t="s">
        <v>60</v>
      </c>
      <c r="AP133">
        <v>1</v>
      </c>
      <c r="AQ133" t="b">
        <v>1</v>
      </c>
      <c r="AR133" t="s">
        <v>23</v>
      </c>
      <c r="AS133">
        <v>20000</v>
      </c>
      <c r="AT133">
        <v>500</v>
      </c>
      <c r="AU133" t="s">
        <v>121</v>
      </c>
      <c r="AV133" t="b">
        <v>0</v>
      </c>
      <c r="AW133" t="b">
        <v>0</v>
      </c>
      <c r="AX133" t="b">
        <v>1</v>
      </c>
      <c r="AY133" t="b">
        <v>0</v>
      </c>
      <c r="BA133" t="str">
        <f>INDEX(Inp_CER_Bin_2eps3arms!$AN$2:$AN$176,MATCH(Table1[[#This Row],[ModelID]],Inp_CER_Bin_2eps3arms!$A$2:$A$176,0))</f>
        <v>Compare.Pow.vs.Martin</v>
      </c>
      <c r="BC133" t="s">
        <v>620</v>
      </c>
      <c r="BD133" t="s">
        <v>630</v>
      </c>
      <c r="BE133" s="10">
        <f>Table1[[#This Row],[Global.Power]]</f>
        <v>0.93486959999999997</v>
      </c>
      <c r="BF133" s="10">
        <f>Table1[[#This Row],[Conjunctive.Power]]</f>
        <v>2.31437E-2</v>
      </c>
      <c r="BG133" s="10">
        <f>Table1[[#This Row],[Disjunctive.Power]]</f>
        <v>0.93425170000000002</v>
      </c>
      <c r="BH133" s="10">
        <f>Table1[[#This Row],[FWER]]</f>
        <v>1.8550000000000001E-3</v>
      </c>
      <c r="BI133" s="10">
        <f>_xlfn.NUMBERVALUE(MID(Table1[[#This Row],[CI_95perc_Global.Power]],2,FIND(",",Table1[[#This Row],[CI_95perc_Global.Power]])-2))</f>
        <v>0.93315999999999999</v>
      </c>
      <c r="BJ133" s="10">
        <f>_xlfn.NUMBERVALUE(MID(Table1[[#This Row],[CI_95perc_Global.Power]],FIND(",",Table1[[#This Row],[CI_95perc_Global.Power]])+1,LEN(Table1[[#This Row],[CI_95perc_Global.Power]])-FIND(",",Table1[[#This Row],[CI_95perc_Global.Power]])-1))</f>
        <v>0.93657999999999997</v>
      </c>
      <c r="BK133" s="10">
        <f>_xlfn.NUMBERVALUE(MID(Table1[[#This Row],[CI_95perc_Conjunctive.Power]],2,FIND(",",Table1[[#This Row],[CI_95perc_Conjunctive.Power]])-2))</f>
        <v>2.112E-2</v>
      </c>
      <c r="BL133" s="10">
        <f>_xlfn.NUMBERVALUE(MID(Table1[[#This Row],[CI_95perc_Conjunctive.Power]],FIND(",",Table1[[#This Row],[CI_95perc_Conjunctive.Power]])+1,LEN(Table1[[#This Row],[CI_95perc_Conjunctive.Power]])-FIND(",",Table1[[#This Row],[CI_95perc_Conjunctive.Power]])-1))</f>
        <v>2.5170000000000001E-2</v>
      </c>
      <c r="BM133" s="10">
        <f>_xlfn.NUMBERVALUE(MID(Table1[[#This Row],[CI_95perc_Disjunctive.Power]],2,FIND(",",Table1[[#This Row],[CI_95perc_Disjunctive.Power]])-2))</f>
        <v>0.93247999999999998</v>
      </c>
      <c r="BN133" s="10">
        <f>_xlfn.NUMBERVALUE(MID(Table1[[#This Row],[CI_95perc_Disjunctive.Power]],FIND(",",Table1[[#This Row],[CI_95perc_Disjunctive.Power]])+1,LEN(Table1[[#This Row],[CI_95perc_Disjunctive.Power]])-FIND(",",Table1[[#This Row],[CI_95perc_Disjunctive.Power]])-1))</f>
        <v>0.93601999999999996</v>
      </c>
      <c r="BO133" s="10">
        <f>_xlfn.NUMBERVALUE(MID(Table1[[#This Row],[CI_95perc_FWER]],2,FIND(",",Table1[[#This Row],[CI_95perc_FWER]])-2))</f>
        <v>1.41E-3</v>
      </c>
      <c r="BP133" s="10">
        <f>_xlfn.NUMBERVALUE(MID(Table1[[#This Row],[CI_95perc_FWER]],FIND(",",Table1[[#This Row],[CI_95perc_FWER]])+1,LEN(Table1[[#This Row],[CI_95perc_FWER]])-FIND(",",Table1[[#This Row],[CI_95perc_FWER]])-1))</f>
        <v>2.3E-3</v>
      </c>
      <c r="BQ133" s="10" t="str">
        <f>_xlfn.CONCAT("(",TEXT(Table1[[#This Row],[LCL_Disj.Pow%]],"0.00%"), ", ",TEXT(Table1[[#This Row],[UCL_Disj.Pow%]],"0.00%"),")")</f>
        <v>(93.25%, 93.60%)</v>
      </c>
      <c r="BR133" s="10" t="str">
        <f>_xlfn.CONCAT("(",TEXT(Table1[[#This Row],[LCL_Conj.Pow%]],"0.00%"),", ",TEXT(Table1[[#This Row],[UCL_Conj.Pow%]],"0.00%"),")")</f>
        <v>(2.11%, 2.52%)</v>
      </c>
      <c r="BS133" s="10" t="str">
        <f>_xlfn.CONCAT("(",TEXT(Table1[[#This Row],[LCL_FWER%]],"0.00%"),", ",TEXT(Table1[[#This Row],[UCL_FWER%]],"0.00%"),")")</f>
        <v>(0.14%, 0.23%)</v>
      </c>
    </row>
    <row r="134" spans="1:71" x14ac:dyDescent="0.25">
      <c r="A134">
        <v>132</v>
      </c>
      <c r="B134" t="s">
        <v>716</v>
      </c>
      <c r="C134">
        <v>289</v>
      </c>
      <c r="D134">
        <v>0.87087840000000005</v>
      </c>
      <c r="E134">
        <v>0.27949829999999998</v>
      </c>
      <c r="F134">
        <v>0.87087590000000004</v>
      </c>
      <c r="G134">
        <v>1.90273E-2</v>
      </c>
      <c r="H134" t="s">
        <v>770</v>
      </c>
      <c r="I134" t="s">
        <v>771</v>
      </c>
      <c r="J134" t="s">
        <v>772</v>
      </c>
      <c r="K134" t="s">
        <v>773</v>
      </c>
      <c r="L134" s="1">
        <v>372313695</v>
      </c>
      <c r="M134" t="s">
        <v>774</v>
      </c>
      <c r="N134">
        <v>1.0423544433381799</v>
      </c>
      <c r="O134" t="s">
        <v>85</v>
      </c>
      <c r="P134" t="s">
        <v>41</v>
      </c>
      <c r="Q134">
        <v>500</v>
      </c>
      <c r="R134">
        <v>2.5000000000000001E-2</v>
      </c>
      <c r="S134" t="s">
        <v>654</v>
      </c>
      <c r="T134" t="s">
        <v>42</v>
      </c>
      <c r="U134" t="s">
        <v>64</v>
      </c>
      <c r="V134" t="s">
        <v>44</v>
      </c>
      <c r="W134">
        <v>5</v>
      </c>
      <c r="X134">
        <v>2</v>
      </c>
      <c r="Y134" t="s">
        <v>650</v>
      </c>
      <c r="Z134" t="s">
        <v>725</v>
      </c>
      <c r="AA134" t="s">
        <v>651</v>
      </c>
      <c r="AB134" t="s">
        <v>728</v>
      </c>
      <c r="AC134" t="s">
        <v>122</v>
      </c>
      <c r="AD134" t="s">
        <v>123</v>
      </c>
      <c r="AE134" t="s">
        <v>124</v>
      </c>
      <c r="AF134" t="s">
        <v>125</v>
      </c>
      <c r="AG134" t="s">
        <v>51</v>
      </c>
      <c r="AH134" t="s">
        <v>126</v>
      </c>
      <c r="AI134" t="s">
        <v>53</v>
      </c>
      <c r="AJ134" t="b">
        <v>1</v>
      </c>
      <c r="AK134" t="b">
        <v>1</v>
      </c>
      <c r="AL134">
        <v>1</v>
      </c>
      <c r="AM134">
        <v>1</v>
      </c>
      <c r="AN134" t="s">
        <v>56</v>
      </c>
      <c r="AO134" t="s">
        <v>57</v>
      </c>
      <c r="AP134">
        <v>0.75</v>
      </c>
      <c r="AQ134" t="b">
        <v>1</v>
      </c>
      <c r="AR134" t="s">
        <v>23</v>
      </c>
      <c r="AS134">
        <v>20000</v>
      </c>
      <c r="AT134">
        <v>500</v>
      </c>
      <c r="AU134" t="s">
        <v>121</v>
      </c>
      <c r="AV134" t="b">
        <v>0</v>
      </c>
      <c r="AW134" t="b">
        <v>0</v>
      </c>
      <c r="AX134" t="b">
        <v>1</v>
      </c>
      <c r="AY134" t="b">
        <v>0</v>
      </c>
      <c r="BA134" t="str">
        <f>INDEX(Inp_CER_Bin_2eps3arms!$AN$2:$AN$176,MATCH(Table1[[#This Row],[ModelID]],Inp_CER_Bin_2eps3arms!$A$2:$A$176,0))</f>
        <v>Compare.Pow.vs.Martin</v>
      </c>
      <c r="BC134" t="s">
        <v>619</v>
      </c>
      <c r="BD134" t="s">
        <v>631</v>
      </c>
      <c r="BE134" s="10">
        <f>Table1[[#This Row],[Global.Power]]</f>
        <v>0.87087840000000005</v>
      </c>
      <c r="BF134" s="10">
        <f>Table1[[#This Row],[Conjunctive.Power]]</f>
        <v>0.27949829999999998</v>
      </c>
      <c r="BG134" s="10">
        <f>Table1[[#This Row],[Disjunctive.Power]]</f>
        <v>0.87087590000000004</v>
      </c>
      <c r="BH134" s="10">
        <f>Table1[[#This Row],[FWER]]</f>
        <v>1.90273E-2</v>
      </c>
      <c r="BI134" s="10">
        <f>_xlfn.NUMBERVALUE(MID(Table1[[#This Row],[CI_95perc_Global.Power]],2,FIND(",",Table1[[#This Row],[CI_95perc_Global.Power]])-2))</f>
        <v>0.86870000000000003</v>
      </c>
      <c r="BJ134" s="10">
        <f>_xlfn.NUMBERVALUE(MID(Table1[[#This Row],[CI_95perc_Global.Power]],FIND(",",Table1[[#This Row],[CI_95perc_Global.Power]])+1,LEN(Table1[[#This Row],[CI_95perc_Global.Power]])-FIND(",",Table1[[#This Row],[CI_95perc_Global.Power]])-1))</f>
        <v>0.87305999999999995</v>
      </c>
      <c r="BK134" s="10">
        <f>_xlfn.NUMBERVALUE(MID(Table1[[#This Row],[CI_95perc_Conjunctive.Power]],2,FIND(",",Table1[[#This Row],[CI_95perc_Conjunctive.Power]])-2))</f>
        <v>0.27639999999999998</v>
      </c>
      <c r="BL134" s="10">
        <f>_xlfn.NUMBERVALUE(MID(Table1[[#This Row],[CI_95perc_Conjunctive.Power]],FIND(",",Table1[[#This Row],[CI_95perc_Conjunctive.Power]])+1,LEN(Table1[[#This Row],[CI_95perc_Conjunctive.Power]])-FIND(",",Table1[[#This Row],[CI_95perc_Conjunctive.Power]])-1))</f>
        <v>0.28260000000000002</v>
      </c>
      <c r="BM134" s="10">
        <f>_xlfn.NUMBERVALUE(MID(Table1[[#This Row],[CI_95perc_Disjunctive.Power]],2,FIND(",",Table1[[#This Row],[CI_95perc_Disjunctive.Power]])-2))</f>
        <v>0.86868999999999996</v>
      </c>
      <c r="BN134" s="10">
        <f>_xlfn.NUMBERVALUE(MID(Table1[[#This Row],[CI_95perc_Disjunctive.Power]],FIND(",",Table1[[#This Row],[CI_95perc_Disjunctive.Power]])+1,LEN(Table1[[#This Row],[CI_95perc_Disjunctive.Power]])-FIND(",",Table1[[#This Row],[CI_95perc_Disjunctive.Power]])-1))</f>
        <v>0.87305999999999995</v>
      </c>
      <c r="BO134" s="10">
        <f>_xlfn.NUMBERVALUE(MID(Table1[[#This Row],[CI_95perc_FWER]],2,FIND(",",Table1[[#This Row],[CI_95perc_FWER]])-2))</f>
        <v>1.8259999999999998E-2</v>
      </c>
      <c r="BP134" s="10">
        <f>_xlfn.NUMBERVALUE(MID(Table1[[#This Row],[CI_95perc_FWER]],FIND(",",Table1[[#This Row],[CI_95perc_FWER]])+1,LEN(Table1[[#This Row],[CI_95perc_FWER]])-FIND(",",Table1[[#This Row],[CI_95perc_FWER]])-1))</f>
        <v>1.9800000000000002E-2</v>
      </c>
      <c r="BQ134" s="10" t="str">
        <f>_xlfn.CONCAT("(",TEXT(Table1[[#This Row],[LCL_Disj.Pow%]],"0.00%"), ", ",TEXT(Table1[[#This Row],[UCL_Disj.Pow%]],"0.00%"),")")</f>
        <v>(86.87%, 87.31%)</v>
      </c>
      <c r="BR134" s="10" t="str">
        <f>_xlfn.CONCAT("(",TEXT(Table1[[#This Row],[LCL_Conj.Pow%]],"0.00%"),", ",TEXT(Table1[[#This Row],[UCL_Conj.Pow%]],"0.00%"),")")</f>
        <v>(27.64%, 28.26%)</v>
      </c>
      <c r="BS134" s="10" t="str">
        <f>_xlfn.CONCAT("(",TEXT(Table1[[#This Row],[LCL_FWER%]],"0.00%"),", ",TEXT(Table1[[#This Row],[UCL_FWER%]],"0.00%"),")")</f>
        <v>(1.83%, 1.98%)</v>
      </c>
    </row>
    <row r="135" spans="1:71" x14ac:dyDescent="0.25">
      <c r="A135">
        <v>133</v>
      </c>
      <c r="B135" t="s">
        <v>717</v>
      </c>
      <c r="C135">
        <v>7811</v>
      </c>
      <c r="D135">
        <v>0.8880323</v>
      </c>
      <c r="E135">
        <v>0.30039640000000001</v>
      </c>
      <c r="F135">
        <v>0.88802910000000002</v>
      </c>
      <c r="G135">
        <v>1.8681E-2</v>
      </c>
      <c r="H135" t="s">
        <v>775</v>
      </c>
      <c r="I135" t="s">
        <v>776</v>
      </c>
      <c r="J135" t="s">
        <v>775</v>
      </c>
      <c r="K135" t="s">
        <v>777</v>
      </c>
      <c r="L135" s="1">
        <v>366314093</v>
      </c>
      <c r="M135" t="s">
        <v>778</v>
      </c>
      <c r="N135">
        <v>1.0008710344632501</v>
      </c>
      <c r="O135" t="s">
        <v>85</v>
      </c>
      <c r="P135" t="s">
        <v>41</v>
      </c>
      <c r="Q135">
        <v>500</v>
      </c>
      <c r="R135">
        <v>2.5000000000000001E-2</v>
      </c>
      <c r="S135" t="s">
        <v>654</v>
      </c>
      <c r="T135" t="s">
        <v>42</v>
      </c>
      <c r="U135" t="s">
        <v>64</v>
      </c>
      <c r="V135" t="s">
        <v>44</v>
      </c>
      <c r="W135">
        <v>5</v>
      </c>
      <c r="X135">
        <v>2</v>
      </c>
      <c r="Y135" t="s">
        <v>650</v>
      </c>
      <c r="Z135" t="s">
        <v>725</v>
      </c>
      <c r="AA135" t="s">
        <v>651</v>
      </c>
      <c r="AB135" t="s">
        <v>728</v>
      </c>
      <c r="AC135" t="s">
        <v>122</v>
      </c>
      <c r="AD135" t="s">
        <v>123</v>
      </c>
      <c r="AE135" t="s">
        <v>124</v>
      </c>
      <c r="AF135" t="s">
        <v>125</v>
      </c>
      <c r="AG135" t="s">
        <v>51</v>
      </c>
      <c r="AH135" t="s">
        <v>126</v>
      </c>
      <c r="AI135" t="s">
        <v>53</v>
      </c>
      <c r="AJ135" t="b">
        <v>1</v>
      </c>
      <c r="AK135" t="b">
        <v>1</v>
      </c>
      <c r="AL135">
        <v>1</v>
      </c>
      <c r="AM135">
        <v>1</v>
      </c>
      <c r="AN135" t="s">
        <v>56</v>
      </c>
      <c r="AO135" t="s">
        <v>57</v>
      </c>
      <c r="AP135">
        <v>0.5</v>
      </c>
      <c r="AQ135" t="b">
        <v>1</v>
      </c>
      <c r="AR135" t="s">
        <v>23</v>
      </c>
      <c r="AS135">
        <v>20000</v>
      </c>
      <c r="AT135">
        <v>500</v>
      </c>
      <c r="AU135" t="s">
        <v>121</v>
      </c>
      <c r="AV135" t="b">
        <v>0</v>
      </c>
      <c r="AW135" t="b">
        <v>0</v>
      </c>
      <c r="AX135" t="b">
        <v>1</v>
      </c>
      <c r="AY135" t="b">
        <v>0</v>
      </c>
      <c r="BA135" t="str">
        <f>INDEX(Inp_CER_Bin_2eps3arms!$AN$2:$AN$176,MATCH(Table1[[#This Row],[ModelID]],Inp_CER_Bin_2eps3arms!$A$2:$A$176,0))</f>
        <v>Compare.Pow.vs.Martin</v>
      </c>
      <c r="BC135" t="s">
        <v>622</v>
      </c>
      <c r="BD135" t="s">
        <v>631</v>
      </c>
      <c r="BE135" s="10">
        <f>Table1[[#This Row],[Global.Power]]</f>
        <v>0.8880323</v>
      </c>
      <c r="BF135" s="10">
        <f>Table1[[#This Row],[Conjunctive.Power]]</f>
        <v>0.30039640000000001</v>
      </c>
      <c r="BG135" s="10">
        <f>Table1[[#This Row],[Disjunctive.Power]]</f>
        <v>0.88802910000000002</v>
      </c>
      <c r="BH135" s="10">
        <f>Table1[[#This Row],[FWER]]</f>
        <v>1.8681E-2</v>
      </c>
      <c r="BI135" s="10">
        <f>_xlfn.NUMBERVALUE(MID(Table1[[#This Row],[CI_95perc_Global.Power]],2,FIND(",",Table1[[#This Row],[CI_95perc_Global.Power]])-2))</f>
        <v>0.8861</v>
      </c>
      <c r="BJ135" s="10">
        <f>_xlfn.NUMBERVALUE(MID(Table1[[#This Row],[CI_95perc_Global.Power]],FIND(",",Table1[[#This Row],[CI_95perc_Global.Power]])+1,LEN(Table1[[#This Row],[CI_95perc_Global.Power]])-FIND(",",Table1[[#This Row],[CI_95perc_Global.Power]])-1))</f>
        <v>0.88995999999999997</v>
      </c>
      <c r="BK135" s="10">
        <f>_xlfn.NUMBERVALUE(MID(Table1[[#This Row],[CI_95perc_Conjunctive.Power]],2,FIND(",",Table1[[#This Row],[CI_95perc_Conjunctive.Power]])-2))</f>
        <v>0.29721999999999998</v>
      </c>
      <c r="BL135" s="10">
        <f>_xlfn.NUMBERVALUE(MID(Table1[[#This Row],[CI_95perc_Conjunctive.Power]],FIND(",",Table1[[#This Row],[CI_95perc_Conjunctive.Power]])+1,LEN(Table1[[#This Row],[CI_95perc_Conjunctive.Power]])-FIND(",",Table1[[#This Row],[CI_95perc_Conjunctive.Power]])-1))</f>
        <v>0.30357000000000001</v>
      </c>
      <c r="BM135" s="10">
        <f>_xlfn.NUMBERVALUE(MID(Table1[[#This Row],[CI_95perc_Disjunctive.Power]],2,FIND(",",Table1[[#This Row],[CI_95perc_Disjunctive.Power]])-2))</f>
        <v>0.8861</v>
      </c>
      <c r="BN135" s="10">
        <f>_xlfn.NUMBERVALUE(MID(Table1[[#This Row],[CI_95perc_Disjunctive.Power]],FIND(",",Table1[[#This Row],[CI_95perc_Disjunctive.Power]])+1,LEN(Table1[[#This Row],[CI_95perc_Disjunctive.Power]])-FIND(",",Table1[[#This Row],[CI_95perc_Disjunctive.Power]])-1))</f>
        <v>0.88995999999999997</v>
      </c>
      <c r="BO135" s="10">
        <f>_xlfn.NUMBERVALUE(MID(Table1[[#This Row],[CI_95perc_FWER]],2,FIND(",",Table1[[#This Row],[CI_95perc_FWER]])-2))</f>
        <v>1.7919999999999998E-2</v>
      </c>
      <c r="BP135" s="10">
        <f>_xlfn.NUMBERVALUE(MID(Table1[[#This Row],[CI_95perc_FWER]],FIND(",",Table1[[#This Row],[CI_95perc_FWER]])+1,LEN(Table1[[#This Row],[CI_95perc_FWER]])-FIND(",",Table1[[#This Row],[CI_95perc_FWER]])-1))</f>
        <v>1.9439999999999999E-2</v>
      </c>
      <c r="BQ135" s="10" t="str">
        <f>_xlfn.CONCAT("(",TEXT(Table1[[#This Row],[LCL_Disj.Pow%]],"0.00%"), ", ",TEXT(Table1[[#This Row],[UCL_Disj.Pow%]],"0.00%"),")")</f>
        <v>(88.61%, 89.00%)</v>
      </c>
      <c r="BR135" s="10" t="str">
        <f>_xlfn.CONCAT("(",TEXT(Table1[[#This Row],[LCL_Conj.Pow%]],"0.00%"),", ",TEXT(Table1[[#This Row],[UCL_Conj.Pow%]],"0.00%"),")")</f>
        <v>(29.72%, 30.36%)</v>
      </c>
      <c r="BS135" s="10" t="str">
        <f>_xlfn.CONCAT("(",TEXT(Table1[[#This Row],[LCL_FWER%]],"0.00%"),", ",TEXT(Table1[[#This Row],[UCL_FWER%]],"0.00%"),")")</f>
        <v>(1.79%, 1.94%)</v>
      </c>
    </row>
    <row r="136" spans="1:71" x14ac:dyDescent="0.25">
      <c r="A136">
        <v>134</v>
      </c>
      <c r="B136" t="s">
        <v>718</v>
      </c>
      <c r="C136">
        <v>3854</v>
      </c>
      <c r="D136">
        <v>0.90862940000000003</v>
      </c>
      <c r="E136">
        <v>0.30841429999999997</v>
      </c>
      <c r="F136">
        <v>0.90862659999999995</v>
      </c>
      <c r="G136">
        <v>1.7426299999999999E-2</v>
      </c>
      <c r="H136" t="s">
        <v>779</v>
      </c>
      <c r="I136" t="s">
        <v>780</v>
      </c>
      <c r="J136" t="s">
        <v>781</v>
      </c>
      <c r="K136" t="s">
        <v>782</v>
      </c>
      <c r="L136" s="1">
        <v>369614465</v>
      </c>
      <c r="M136" t="s">
        <v>783</v>
      </c>
      <c r="N136">
        <v>0.93315007891919899</v>
      </c>
      <c r="O136" t="s">
        <v>85</v>
      </c>
      <c r="P136" t="s">
        <v>41</v>
      </c>
      <c r="Q136">
        <v>500</v>
      </c>
      <c r="R136">
        <v>2.5000000000000001E-2</v>
      </c>
      <c r="S136" t="s">
        <v>654</v>
      </c>
      <c r="T136" t="s">
        <v>42</v>
      </c>
      <c r="U136" t="s">
        <v>64</v>
      </c>
      <c r="V136" t="s">
        <v>44</v>
      </c>
      <c r="W136">
        <v>5</v>
      </c>
      <c r="X136">
        <v>2</v>
      </c>
      <c r="Y136" t="s">
        <v>650</v>
      </c>
      <c r="Z136" t="s">
        <v>725</v>
      </c>
      <c r="AA136" t="s">
        <v>651</v>
      </c>
      <c r="AB136" t="s">
        <v>728</v>
      </c>
      <c r="AC136" t="s">
        <v>122</v>
      </c>
      <c r="AD136" t="s">
        <v>123</v>
      </c>
      <c r="AE136" t="s">
        <v>124</v>
      </c>
      <c r="AF136" t="s">
        <v>125</v>
      </c>
      <c r="AG136" t="s">
        <v>51</v>
      </c>
      <c r="AH136" t="s">
        <v>126</v>
      </c>
      <c r="AI136" t="s">
        <v>53</v>
      </c>
      <c r="AJ136" t="b">
        <v>1</v>
      </c>
      <c r="AK136" t="b">
        <v>1</v>
      </c>
      <c r="AL136">
        <v>1</v>
      </c>
      <c r="AM136">
        <v>1</v>
      </c>
      <c r="AN136" t="s">
        <v>56</v>
      </c>
      <c r="AO136" t="s">
        <v>57</v>
      </c>
      <c r="AP136">
        <v>0.25</v>
      </c>
      <c r="AQ136" t="b">
        <v>1</v>
      </c>
      <c r="AR136" t="s">
        <v>23</v>
      </c>
      <c r="AS136">
        <v>20000</v>
      </c>
      <c r="AT136">
        <v>500</v>
      </c>
      <c r="AU136" t="s">
        <v>121</v>
      </c>
      <c r="AV136" t="b">
        <v>0</v>
      </c>
      <c r="AW136" t="b">
        <v>0</v>
      </c>
      <c r="AX136" t="b">
        <v>1</v>
      </c>
      <c r="AY136" t="b">
        <v>0</v>
      </c>
      <c r="BA136" t="str">
        <f>INDEX(Inp_CER_Bin_2eps3arms!$AN$2:$AN$176,MATCH(Table1[[#This Row],[ModelID]],Inp_CER_Bin_2eps3arms!$A$2:$A$176,0))</f>
        <v>Compare.Pow.vs.Martin</v>
      </c>
      <c r="BC136" t="s">
        <v>621</v>
      </c>
      <c r="BD136" t="s">
        <v>631</v>
      </c>
      <c r="BE136" s="10">
        <f>Table1[[#This Row],[Global.Power]]</f>
        <v>0.90862940000000003</v>
      </c>
      <c r="BF136" s="10">
        <f>Table1[[#This Row],[Conjunctive.Power]]</f>
        <v>0.30841429999999997</v>
      </c>
      <c r="BG136" s="10">
        <f>Table1[[#This Row],[Disjunctive.Power]]</f>
        <v>0.90862659999999995</v>
      </c>
      <c r="BH136" s="10">
        <f>Table1[[#This Row],[FWER]]</f>
        <v>1.7426299999999999E-2</v>
      </c>
      <c r="BI136" s="10">
        <f>_xlfn.NUMBERVALUE(MID(Table1[[#This Row],[CI_95perc_Global.Power]],2,FIND(",",Table1[[#This Row],[CI_95perc_Global.Power]])-2))</f>
        <v>0.90669999999999995</v>
      </c>
      <c r="BJ136" s="10">
        <f>_xlfn.NUMBERVALUE(MID(Table1[[#This Row],[CI_95perc_Global.Power]],FIND(",",Table1[[#This Row],[CI_95perc_Global.Power]])+1,LEN(Table1[[#This Row],[CI_95perc_Global.Power]])-FIND(",",Table1[[#This Row],[CI_95perc_Global.Power]])-1))</f>
        <v>0.91056000000000004</v>
      </c>
      <c r="BK136" s="10">
        <f>_xlfn.NUMBERVALUE(MID(Table1[[#This Row],[CI_95perc_Conjunctive.Power]],2,FIND(",",Table1[[#This Row],[CI_95perc_Conjunctive.Power]])-2))</f>
        <v>0.3049</v>
      </c>
      <c r="BL136" s="10">
        <f>_xlfn.NUMBERVALUE(MID(Table1[[#This Row],[CI_95perc_Conjunctive.Power]],FIND(",",Table1[[#This Row],[CI_95perc_Conjunctive.Power]])+1,LEN(Table1[[#This Row],[CI_95perc_Conjunctive.Power]])-FIND(",",Table1[[#This Row],[CI_95perc_Conjunctive.Power]])-1))</f>
        <v>0.31192999999999999</v>
      </c>
      <c r="BM136" s="10">
        <f>_xlfn.NUMBERVALUE(MID(Table1[[#This Row],[CI_95perc_Disjunctive.Power]],2,FIND(",",Table1[[#This Row],[CI_95perc_Disjunctive.Power]])-2))</f>
        <v>0.90669</v>
      </c>
      <c r="BN136" s="10">
        <f>_xlfn.NUMBERVALUE(MID(Table1[[#This Row],[CI_95perc_Disjunctive.Power]],FIND(",",Table1[[#This Row],[CI_95perc_Disjunctive.Power]])+1,LEN(Table1[[#This Row],[CI_95perc_Disjunctive.Power]])-FIND(",",Table1[[#This Row],[CI_95perc_Disjunctive.Power]])-1))</f>
        <v>0.91056000000000004</v>
      </c>
      <c r="BO136" s="10">
        <f>_xlfn.NUMBERVALUE(MID(Table1[[#This Row],[CI_95perc_FWER]],2,FIND(",",Table1[[#This Row],[CI_95perc_FWER]])-2))</f>
        <v>1.6639999999999999E-2</v>
      </c>
      <c r="BP136" s="10">
        <f>_xlfn.NUMBERVALUE(MID(Table1[[#This Row],[CI_95perc_FWER]],FIND(",",Table1[[#This Row],[CI_95perc_FWER]])+1,LEN(Table1[[#This Row],[CI_95perc_FWER]])-FIND(",",Table1[[#This Row],[CI_95perc_FWER]])-1))</f>
        <v>1.821E-2</v>
      </c>
      <c r="BQ136" s="10" t="str">
        <f>_xlfn.CONCAT("(",TEXT(Table1[[#This Row],[LCL_Disj.Pow%]],"0.00%"), ", ",TEXT(Table1[[#This Row],[UCL_Disj.Pow%]],"0.00%"),")")</f>
        <v>(90.67%, 91.06%)</v>
      </c>
      <c r="BR136" s="10" t="str">
        <f>_xlfn.CONCAT("(",TEXT(Table1[[#This Row],[LCL_Conj.Pow%]],"0.00%"),", ",TEXT(Table1[[#This Row],[UCL_Conj.Pow%]],"0.00%"),")")</f>
        <v>(30.49%, 31.19%)</v>
      </c>
      <c r="BS136" s="10" t="str">
        <f>_xlfn.CONCAT("(",TEXT(Table1[[#This Row],[LCL_FWER%]],"0.00%"),", ",TEXT(Table1[[#This Row],[UCL_FWER%]],"0.00%"),")")</f>
        <v>(1.66%, 1.82%)</v>
      </c>
    </row>
    <row r="137" spans="1:71" x14ac:dyDescent="0.25">
      <c r="A137">
        <v>135</v>
      </c>
      <c r="B137" t="s">
        <v>719</v>
      </c>
      <c r="C137">
        <v>7484</v>
      </c>
      <c r="D137">
        <v>0.96112969999999998</v>
      </c>
      <c r="E137">
        <v>4.8173000000000001E-3</v>
      </c>
      <c r="F137">
        <v>0.96100750000000001</v>
      </c>
      <c r="G137">
        <v>9.3090000000000002E-4</v>
      </c>
      <c r="H137" t="s">
        <v>784</v>
      </c>
      <c r="I137" t="s">
        <v>785</v>
      </c>
      <c r="J137" t="s">
        <v>786</v>
      </c>
      <c r="K137" t="s">
        <v>787</v>
      </c>
      <c r="L137" s="1">
        <v>367915522</v>
      </c>
      <c r="M137" t="s">
        <v>788</v>
      </c>
      <c r="N137">
        <v>0.64788042081726904</v>
      </c>
      <c r="O137" t="s">
        <v>85</v>
      </c>
      <c r="P137" t="s">
        <v>41</v>
      </c>
      <c r="Q137">
        <v>500</v>
      </c>
      <c r="R137">
        <v>2.5000000000000001E-2</v>
      </c>
      <c r="S137" t="s">
        <v>654</v>
      </c>
      <c r="T137" t="s">
        <v>42</v>
      </c>
      <c r="U137" t="s">
        <v>64</v>
      </c>
      <c r="V137" t="s">
        <v>44</v>
      </c>
      <c r="W137">
        <v>5</v>
      </c>
      <c r="X137">
        <v>2</v>
      </c>
      <c r="Y137" t="s">
        <v>650</v>
      </c>
      <c r="Z137" t="s">
        <v>725</v>
      </c>
      <c r="AA137" t="s">
        <v>651</v>
      </c>
      <c r="AB137" t="s">
        <v>728</v>
      </c>
      <c r="AC137" t="s">
        <v>122</v>
      </c>
      <c r="AD137" t="s">
        <v>123</v>
      </c>
      <c r="AE137" t="s">
        <v>124</v>
      </c>
      <c r="AF137" t="s">
        <v>125</v>
      </c>
      <c r="AG137" t="s">
        <v>51</v>
      </c>
      <c r="AH137" t="s">
        <v>126</v>
      </c>
      <c r="AI137" t="s">
        <v>53</v>
      </c>
      <c r="AJ137" t="b">
        <v>1</v>
      </c>
      <c r="AK137" t="b">
        <v>1</v>
      </c>
      <c r="AL137">
        <v>1</v>
      </c>
      <c r="AM137">
        <v>1</v>
      </c>
      <c r="AN137" t="s">
        <v>56</v>
      </c>
      <c r="AO137" t="s">
        <v>60</v>
      </c>
      <c r="AP137">
        <v>1</v>
      </c>
      <c r="AQ137" t="b">
        <v>1</v>
      </c>
      <c r="AR137" t="s">
        <v>23</v>
      </c>
      <c r="AS137">
        <v>20000</v>
      </c>
      <c r="AT137">
        <v>500</v>
      </c>
      <c r="AU137" t="s">
        <v>121</v>
      </c>
      <c r="AV137" t="b">
        <v>0</v>
      </c>
      <c r="AW137" t="b">
        <v>0</v>
      </c>
      <c r="AX137" t="b">
        <v>1</v>
      </c>
      <c r="AY137" t="b">
        <v>0</v>
      </c>
      <c r="BA137" t="str">
        <f>INDEX(Inp_CER_Bin_2eps3arms!$AN$2:$AN$176,MATCH(Table1[[#This Row],[ModelID]],Inp_CER_Bin_2eps3arms!$A$2:$A$176,0))</f>
        <v>Compare.Pow.vs.Martin</v>
      </c>
      <c r="BC137" t="s">
        <v>620</v>
      </c>
      <c r="BD137" t="s">
        <v>631</v>
      </c>
      <c r="BE137" s="10">
        <f>Table1[[#This Row],[Global.Power]]</f>
        <v>0.96112969999999998</v>
      </c>
      <c r="BF137" s="10">
        <f>Table1[[#This Row],[Conjunctive.Power]]</f>
        <v>4.8173000000000001E-3</v>
      </c>
      <c r="BG137" s="10">
        <f>Table1[[#This Row],[Disjunctive.Power]]</f>
        <v>0.96100750000000001</v>
      </c>
      <c r="BH137" s="10">
        <f>Table1[[#This Row],[FWER]]</f>
        <v>9.3090000000000002E-4</v>
      </c>
      <c r="BI137" s="10">
        <f>_xlfn.NUMBERVALUE(MID(Table1[[#This Row],[CI_95perc_Global.Power]],2,FIND(",",Table1[[#This Row],[CI_95perc_Global.Power]])-2))</f>
        <v>0.96001999999999998</v>
      </c>
      <c r="BJ137" s="10">
        <f>_xlfn.NUMBERVALUE(MID(Table1[[#This Row],[CI_95perc_Global.Power]],FIND(",",Table1[[#This Row],[CI_95perc_Global.Power]])+1,LEN(Table1[[#This Row],[CI_95perc_Global.Power]])-FIND(",",Table1[[#This Row],[CI_95perc_Global.Power]])-1))</f>
        <v>0.96223999999999998</v>
      </c>
      <c r="BK137" s="10">
        <f>_xlfn.NUMBERVALUE(MID(Table1[[#This Row],[CI_95perc_Conjunctive.Power]],2,FIND(",",Table1[[#This Row],[CI_95perc_Conjunctive.Power]])-2))</f>
        <v>3.8800000000000002E-3</v>
      </c>
      <c r="BL137" s="10">
        <f>_xlfn.NUMBERVALUE(MID(Table1[[#This Row],[CI_95perc_Conjunctive.Power]],FIND(",",Table1[[#This Row],[CI_95perc_Conjunctive.Power]])+1,LEN(Table1[[#This Row],[CI_95perc_Conjunctive.Power]])-FIND(",",Table1[[#This Row],[CI_95perc_Conjunctive.Power]])-1))</f>
        <v>5.7600000000000004E-3</v>
      </c>
      <c r="BM137" s="10">
        <f>_xlfn.NUMBERVALUE(MID(Table1[[#This Row],[CI_95perc_Disjunctive.Power]],2,FIND(",",Table1[[#This Row],[CI_95perc_Disjunctive.Power]])-2))</f>
        <v>0.95987999999999996</v>
      </c>
      <c r="BN137" s="10">
        <f>_xlfn.NUMBERVALUE(MID(Table1[[#This Row],[CI_95perc_Disjunctive.Power]],FIND(",",Table1[[#This Row],[CI_95perc_Disjunctive.Power]])+1,LEN(Table1[[#This Row],[CI_95perc_Disjunctive.Power]])-FIND(",",Table1[[#This Row],[CI_95perc_Disjunctive.Power]])-1))</f>
        <v>0.96213000000000004</v>
      </c>
      <c r="BO137" s="10">
        <f>_xlfn.NUMBERVALUE(MID(Table1[[#This Row],[CI_95perc_FWER]],2,FIND(",",Table1[[#This Row],[CI_95perc_FWER]])-2))</f>
        <v>5.6999999999999998E-4</v>
      </c>
      <c r="BP137" s="10">
        <f>_xlfn.NUMBERVALUE(MID(Table1[[#This Row],[CI_95perc_FWER]],FIND(",",Table1[[#This Row],[CI_95perc_FWER]])+1,LEN(Table1[[#This Row],[CI_95perc_FWER]])-FIND(",",Table1[[#This Row],[CI_95perc_FWER]])-1))</f>
        <v>1.2899999999999999E-3</v>
      </c>
      <c r="BQ137" s="10" t="str">
        <f>_xlfn.CONCAT("(",TEXT(Table1[[#This Row],[LCL_Disj.Pow%]],"0.00%"), ", ",TEXT(Table1[[#This Row],[UCL_Disj.Pow%]],"0.00%"),")")</f>
        <v>(95.99%, 96.21%)</v>
      </c>
      <c r="BR137" s="10" t="str">
        <f>_xlfn.CONCAT("(",TEXT(Table1[[#This Row],[LCL_Conj.Pow%]],"0.00%"),", ",TEXT(Table1[[#This Row],[UCL_Conj.Pow%]],"0.00%"),")")</f>
        <v>(0.39%, 0.58%)</v>
      </c>
      <c r="BS137" s="10" t="str">
        <f>_xlfn.CONCAT("(",TEXT(Table1[[#This Row],[LCL_FWER%]],"0.00%"),", ",TEXT(Table1[[#This Row],[UCL_FWER%]],"0.00%"),")")</f>
        <v>(0.06%, 0.13%)</v>
      </c>
    </row>
    <row r="138" spans="1:71" x14ac:dyDescent="0.25">
      <c r="A138">
        <v>136</v>
      </c>
      <c r="B138" t="s">
        <v>720</v>
      </c>
      <c r="C138">
        <v>716</v>
      </c>
      <c r="D138">
        <v>0.89116189999999995</v>
      </c>
      <c r="E138">
        <v>0.32309510000000002</v>
      </c>
      <c r="F138">
        <v>0.89116189999999995</v>
      </c>
      <c r="G138">
        <v>0</v>
      </c>
      <c r="H138" t="s">
        <v>789</v>
      </c>
      <c r="I138" t="s">
        <v>790</v>
      </c>
      <c r="J138" t="s">
        <v>789</v>
      </c>
      <c r="K138" t="s">
        <v>83</v>
      </c>
      <c r="L138" s="1">
        <v>442713422</v>
      </c>
      <c r="M138" t="s">
        <v>791</v>
      </c>
      <c r="N138">
        <v>1.0710043863455501</v>
      </c>
      <c r="O138" t="s">
        <v>85</v>
      </c>
      <c r="P138" t="s">
        <v>41</v>
      </c>
      <c r="Q138">
        <v>500</v>
      </c>
      <c r="R138">
        <v>2.5000000000000001E-2</v>
      </c>
      <c r="S138" t="s">
        <v>654</v>
      </c>
      <c r="T138" t="s">
        <v>42</v>
      </c>
      <c r="U138" t="s">
        <v>64</v>
      </c>
      <c r="V138" t="s">
        <v>44</v>
      </c>
      <c r="W138">
        <v>5</v>
      </c>
      <c r="X138">
        <v>2</v>
      </c>
      <c r="Y138" t="s">
        <v>650</v>
      </c>
      <c r="Z138" t="s">
        <v>726</v>
      </c>
      <c r="AA138" t="s">
        <v>651</v>
      </c>
      <c r="AB138" t="s">
        <v>729</v>
      </c>
      <c r="AC138" t="s">
        <v>122</v>
      </c>
      <c r="AD138" t="s">
        <v>123</v>
      </c>
      <c r="AE138" t="s">
        <v>124</v>
      </c>
      <c r="AF138" t="s">
        <v>125</v>
      </c>
      <c r="AG138" t="s">
        <v>51</v>
      </c>
      <c r="AH138" t="s">
        <v>126</v>
      </c>
      <c r="AI138" t="s">
        <v>53</v>
      </c>
      <c r="AJ138" t="b">
        <v>1</v>
      </c>
      <c r="AK138" t="b">
        <v>1</v>
      </c>
      <c r="AL138">
        <v>1</v>
      </c>
      <c r="AM138">
        <v>1</v>
      </c>
      <c r="AN138" t="s">
        <v>56</v>
      </c>
      <c r="AO138" t="s">
        <v>57</v>
      </c>
      <c r="AP138">
        <v>0.75</v>
      </c>
      <c r="AQ138" t="b">
        <v>1</v>
      </c>
      <c r="AR138" t="s">
        <v>23</v>
      </c>
      <c r="AS138">
        <v>20000</v>
      </c>
      <c r="AT138">
        <v>500</v>
      </c>
      <c r="AU138" t="s">
        <v>121</v>
      </c>
      <c r="AV138" t="b">
        <v>0</v>
      </c>
      <c r="AW138" t="b">
        <v>0</v>
      </c>
      <c r="AX138" t="b">
        <v>1</v>
      </c>
      <c r="AY138" t="b">
        <v>0</v>
      </c>
      <c r="BA138" t="str">
        <f>INDEX(Inp_CER_Bin_2eps3arms!$AN$2:$AN$176,MATCH(Table1[[#This Row],[ModelID]],Inp_CER_Bin_2eps3arms!$A$2:$A$176,0))</f>
        <v>Compare.Pow.vs.Martin</v>
      </c>
      <c r="BC138" t="s">
        <v>619</v>
      </c>
      <c r="BD138" t="s">
        <v>632</v>
      </c>
      <c r="BE138" s="10">
        <f>Table1[[#This Row],[Global.Power]]</f>
        <v>0.89116189999999995</v>
      </c>
      <c r="BF138" s="10">
        <f>Table1[[#This Row],[Conjunctive.Power]]</f>
        <v>0.32309510000000002</v>
      </c>
      <c r="BG138" s="10">
        <f>Table1[[#This Row],[Disjunctive.Power]]</f>
        <v>0.89116189999999995</v>
      </c>
      <c r="BH138" s="10">
        <f>Table1[[#This Row],[FWER]]</f>
        <v>0</v>
      </c>
      <c r="BI138" s="10">
        <f>_xlfn.NUMBERVALUE(MID(Table1[[#This Row],[CI_95perc_Global.Power]],2,FIND(",",Table1[[#This Row],[CI_95perc_Global.Power]])-2))</f>
        <v>0.88910999999999996</v>
      </c>
      <c r="BJ138" s="10">
        <f>_xlfn.NUMBERVALUE(MID(Table1[[#This Row],[CI_95perc_Global.Power]],FIND(",",Table1[[#This Row],[CI_95perc_Global.Power]])+1,LEN(Table1[[#This Row],[CI_95perc_Global.Power]])-FIND(",",Table1[[#This Row],[CI_95perc_Global.Power]])-1))</f>
        <v>0.89322000000000001</v>
      </c>
      <c r="BK138" s="10">
        <f>_xlfn.NUMBERVALUE(MID(Table1[[#This Row],[CI_95perc_Conjunctive.Power]],2,FIND(",",Table1[[#This Row],[CI_95perc_Conjunctive.Power]])-2))</f>
        <v>0.31970999999999999</v>
      </c>
      <c r="BL138" s="10">
        <f>_xlfn.NUMBERVALUE(MID(Table1[[#This Row],[CI_95perc_Conjunctive.Power]],FIND(",",Table1[[#This Row],[CI_95perc_Conjunctive.Power]])+1,LEN(Table1[[#This Row],[CI_95perc_Conjunctive.Power]])-FIND(",",Table1[[#This Row],[CI_95perc_Conjunctive.Power]])-1))</f>
        <v>0.32647999999999999</v>
      </c>
      <c r="BM138" s="10">
        <f>_xlfn.NUMBERVALUE(MID(Table1[[#This Row],[CI_95perc_Disjunctive.Power]],2,FIND(",",Table1[[#This Row],[CI_95perc_Disjunctive.Power]])-2))</f>
        <v>0.88910999999999996</v>
      </c>
      <c r="BN138" s="10">
        <f>_xlfn.NUMBERVALUE(MID(Table1[[#This Row],[CI_95perc_Disjunctive.Power]],FIND(",",Table1[[#This Row],[CI_95perc_Disjunctive.Power]])+1,LEN(Table1[[#This Row],[CI_95perc_Disjunctive.Power]])-FIND(",",Table1[[#This Row],[CI_95perc_Disjunctive.Power]])-1))</f>
        <v>0.89322000000000001</v>
      </c>
      <c r="BO138" s="10">
        <f>_xlfn.NUMBERVALUE(MID(Table1[[#This Row],[CI_95perc_FWER]],2,FIND(",",Table1[[#This Row],[CI_95perc_FWER]])-2))</f>
        <v>0</v>
      </c>
      <c r="BP138" s="10">
        <f>_xlfn.NUMBERVALUE(MID(Table1[[#This Row],[CI_95perc_FWER]],FIND(",",Table1[[#This Row],[CI_95perc_FWER]])+1,LEN(Table1[[#This Row],[CI_95perc_FWER]])-FIND(",",Table1[[#This Row],[CI_95perc_FWER]])-1))</f>
        <v>0</v>
      </c>
      <c r="BQ138" s="10" t="str">
        <f>_xlfn.CONCAT("(",TEXT(Table1[[#This Row],[LCL_Disj.Pow%]],"0.00%"), ", ",TEXT(Table1[[#This Row],[UCL_Disj.Pow%]],"0.00%"),")")</f>
        <v>(88.91%, 89.32%)</v>
      </c>
      <c r="BR138" s="10" t="str">
        <f>_xlfn.CONCAT("(",TEXT(Table1[[#This Row],[LCL_Conj.Pow%]],"0.00%"),", ",TEXT(Table1[[#This Row],[UCL_Conj.Pow%]],"0.00%"),")")</f>
        <v>(31.97%, 32.65%)</v>
      </c>
      <c r="BS138" s="10" t="str">
        <f>_xlfn.CONCAT("(",TEXT(Table1[[#This Row],[LCL_FWER%]],"0.00%"),", ",TEXT(Table1[[#This Row],[UCL_FWER%]],"0.00%"),")")</f>
        <v>(0.00%, 0.00%)</v>
      </c>
    </row>
    <row r="139" spans="1:71" x14ac:dyDescent="0.25">
      <c r="A139">
        <v>137</v>
      </c>
      <c r="B139" t="s">
        <v>721</v>
      </c>
      <c r="C139">
        <v>9342</v>
      </c>
      <c r="D139">
        <v>0.89751320000000001</v>
      </c>
      <c r="E139">
        <v>0.32141730000000002</v>
      </c>
      <c r="F139">
        <v>0.89751320000000001</v>
      </c>
      <c r="G139">
        <v>0</v>
      </c>
      <c r="H139" t="s">
        <v>792</v>
      </c>
      <c r="I139" t="s">
        <v>793</v>
      </c>
      <c r="J139" t="s">
        <v>792</v>
      </c>
      <c r="K139" t="s">
        <v>83</v>
      </c>
      <c r="L139" s="1">
        <v>442113564</v>
      </c>
      <c r="M139" t="s">
        <v>794</v>
      </c>
      <c r="N139">
        <v>1.0552449430359701</v>
      </c>
      <c r="O139" t="s">
        <v>85</v>
      </c>
      <c r="P139" t="s">
        <v>41</v>
      </c>
      <c r="Q139">
        <v>500</v>
      </c>
      <c r="R139">
        <v>2.5000000000000001E-2</v>
      </c>
      <c r="S139" t="s">
        <v>654</v>
      </c>
      <c r="T139" t="s">
        <v>42</v>
      </c>
      <c r="U139" t="s">
        <v>64</v>
      </c>
      <c r="V139" t="s">
        <v>44</v>
      </c>
      <c r="W139">
        <v>5</v>
      </c>
      <c r="X139">
        <v>2</v>
      </c>
      <c r="Y139" t="s">
        <v>650</v>
      </c>
      <c r="Z139" t="s">
        <v>726</v>
      </c>
      <c r="AA139" t="s">
        <v>651</v>
      </c>
      <c r="AB139" t="s">
        <v>729</v>
      </c>
      <c r="AC139" t="s">
        <v>122</v>
      </c>
      <c r="AD139" t="s">
        <v>123</v>
      </c>
      <c r="AE139" t="s">
        <v>124</v>
      </c>
      <c r="AF139" t="s">
        <v>125</v>
      </c>
      <c r="AG139" t="s">
        <v>51</v>
      </c>
      <c r="AH139" t="s">
        <v>126</v>
      </c>
      <c r="AI139" t="s">
        <v>53</v>
      </c>
      <c r="AJ139" t="b">
        <v>1</v>
      </c>
      <c r="AK139" t="b">
        <v>1</v>
      </c>
      <c r="AL139">
        <v>1</v>
      </c>
      <c r="AM139">
        <v>1</v>
      </c>
      <c r="AN139" t="s">
        <v>56</v>
      </c>
      <c r="AO139" t="s">
        <v>57</v>
      </c>
      <c r="AP139">
        <v>0.5</v>
      </c>
      <c r="AQ139" t="b">
        <v>1</v>
      </c>
      <c r="AR139" t="s">
        <v>23</v>
      </c>
      <c r="AS139">
        <v>20000</v>
      </c>
      <c r="AT139">
        <v>500</v>
      </c>
      <c r="AU139" t="s">
        <v>121</v>
      </c>
      <c r="AV139" t="b">
        <v>0</v>
      </c>
      <c r="AW139" t="b">
        <v>0</v>
      </c>
      <c r="AX139" t="b">
        <v>1</v>
      </c>
      <c r="AY139" t="b">
        <v>0</v>
      </c>
      <c r="BA139" t="str">
        <f>INDEX(Inp_CER_Bin_2eps3arms!$AN$2:$AN$176,MATCH(Table1[[#This Row],[ModelID]],Inp_CER_Bin_2eps3arms!$A$2:$A$176,0))</f>
        <v>Compare.Pow.vs.Martin</v>
      </c>
      <c r="BC139" t="s">
        <v>622</v>
      </c>
      <c r="BD139" t="s">
        <v>632</v>
      </c>
      <c r="BE139" s="10">
        <f>Table1[[#This Row],[Global.Power]]</f>
        <v>0.89751320000000001</v>
      </c>
      <c r="BF139" s="10">
        <f>Table1[[#This Row],[Conjunctive.Power]]</f>
        <v>0.32141730000000002</v>
      </c>
      <c r="BG139" s="10">
        <f>Table1[[#This Row],[Disjunctive.Power]]</f>
        <v>0.89751320000000001</v>
      </c>
      <c r="BH139" s="10">
        <f>Table1[[#This Row],[FWER]]</f>
        <v>0</v>
      </c>
      <c r="BI139" s="10">
        <f>_xlfn.NUMBERVALUE(MID(Table1[[#This Row],[CI_95perc_Global.Power]],2,FIND(",",Table1[[#This Row],[CI_95perc_Global.Power]])-2))</f>
        <v>0.89563999999999999</v>
      </c>
      <c r="BJ139" s="10">
        <f>_xlfn.NUMBERVALUE(MID(Table1[[#This Row],[CI_95perc_Global.Power]],FIND(",",Table1[[#This Row],[CI_95perc_Global.Power]])+1,LEN(Table1[[#This Row],[CI_95perc_Global.Power]])-FIND(",",Table1[[#This Row],[CI_95perc_Global.Power]])-1))</f>
        <v>0.89937999999999996</v>
      </c>
      <c r="BK139" s="10">
        <f>_xlfn.NUMBERVALUE(MID(Table1[[#This Row],[CI_95perc_Conjunctive.Power]],2,FIND(",",Table1[[#This Row],[CI_95perc_Conjunctive.Power]])-2))</f>
        <v>0.31801000000000001</v>
      </c>
      <c r="BL139" s="10">
        <f>_xlfn.NUMBERVALUE(MID(Table1[[#This Row],[CI_95perc_Conjunctive.Power]],FIND(",",Table1[[#This Row],[CI_95perc_Conjunctive.Power]])+1,LEN(Table1[[#This Row],[CI_95perc_Conjunctive.Power]])-FIND(",",Table1[[#This Row],[CI_95perc_Conjunctive.Power]])-1))</f>
        <v>0.32482</v>
      </c>
      <c r="BM139" s="10">
        <f>_xlfn.NUMBERVALUE(MID(Table1[[#This Row],[CI_95perc_Disjunctive.Power]],2,FIND(",",Table1[[#This Row],[CI_95perc_Disjunctive.Power]])-2))</f>
        <v>0.89563999999999999</v>
      </c>
      <c r="BN139" s="10">
        <f>_xlfn.NUMBERVALUE(MID(Table1[[#This Row],[CI_95perc_Disjunctive.Power]],FIND(",",Table1[[#This Row],[CI_95perc_Disjunctive.Power]])+1,LEN(Table1[[#This Row],[CI_95perc_Disjunctive.Power]])-FIND(",",Table1[[#This Row],[CI_95perc_Disjunctive.Power]])-1))</f>
        <v>0.89937999999999996</v>
      </c>
      <c r="BO139" s="10">
        <f>_xlfn.NUMBERVALUE(MID(Table1[[#This Row],[CI_95perc_FWER]],2,FIND(",",Table1[[#This Row],[CI_95perc_FWER]])-2))</f>
        <v>0</v>
      </c>
      <c r="BP139" s="10">
        <f>_xlfn.NUMBERVALUE(MID(Table1[[#This Row],[CI_95perc_FWER]],FIND(",",Table1[[#This Row],[CI_95perc_FWER]])+1,LEN(Table1[[#This Row],[CI_95perc_FWER]])-FIND(",",Table1[[#This Row],[CI_95perc_FWER]])-1))</f>
        <v>0</v>
      </c>
      <c r="BQ139" s="10" t="str">
        <f>_xlfn.CONCAT("(",TEXT(Table1[[#This Row],[LCL_Disj.Pow%]],"0.00%"), ", ",TEXT(Table1[[#This Row],[UCL_Disj.Pow%]],"0.00%"),")")</f>
        <v>(89.56%, 89.94%)</v>
      </c>
      <c r="BR139" s="10" t="str">
        <f>_xlfn.CONCAT("(",TEXT(Table1[[#This Row],[LCL_Conj.Pow%]],"0.00%"),", ",TEXT(Table1[[#This Row],[UCL_Conj.Pow%]],"0.00%"),")")</f>
        <v>(31.80%, 32.48%)</v>
      </c>
      <c r="BS139" s="10" t="str">
        <f>_xlfn.CONCAT("(",TEXT(Table1[[#This Row],[LCL_FWER%]],"0.00%"),", ",TEXT(Table1[[#This Row],[UCL_FWER%]],"0.00%"),")")</f>
        <v>(0.00%, 0.00%)</v>
      </c>
    </row>
    <row r="140" spans="1:71" x14ac:dyDescent="0.25">
      <c r="A140">
        <v>138</v>
      </c>
      <c r="B140" t="s">
        <v>722</v>
      </c>
      <c r="C140">
        <v>7381</v>
      </c>
      <c r="D140">
        <v>0.91482589999999997</v>
      </c>
      <c r="E140">
        <v>0.3024963</v>
      </c>
      <c r="F140">
        <v>0.91482589999999997</v>
      </c>
      <c r="G140">
        <v>0</v>
      </c>
      <c r="H140" t="s">
        <v>795</v>
      </c>
      <c r="I140" t="s">
        <v>796</v>
      </c>
      <c r="J140" t="s">
        <v>795</v>
      </c>
      <c r="K140" t="s">
        <v>83</v>
      </c>
      <c r="L140" s="1">
        <v>440213892</v>
      </c>
      <c r="M140" t="s">
        <v>797</v>
      </c>
      <c r="N140">
        <v>1.02531958056821</v>
      </c>
      <c r="O140" t="s">
        <v>85</v>
      </c>
      <c r="P140" t="s">
        <v>41</v>
      </c>
      <c r="Q140">
        <v>500</v>
      </c>
      <c r="R140">
        <v>2.5000000000000001E-2</v>
      </c>
      <c r="S140" t="s">
        <v>654</v>
      </c>
      <c r="T140" t="s">
        <v>42</v>
      </c>
      <c r="U140" t="s">
        <v>64</v>
      </c>
      <c r="V140" t="s">
        <v>44</v>
      </c>
      <c r="W140">
        <v>5</v>
      </c>
      <c r="X140">
        <v>2</v>
      </c>
      <c r="Y140" t="s">
        <v>650</v>
      </c>
      <c r="Z140" t="s">
        <v>726</v>
      </c>
      <c r="AA140" t="s">
        <v>651</v>
      </c>
      <c r="AB140" t="s">
        <v>729</v>
      </c>
      <c r="AC140" t="s">
        <v>122</v>
      </c>
      <c r="AD140" t="s">
        <v>123</v>
      </c>
      <c r="AE140" t="s">
        <v>124</v>
      </c>
      <c r="AF140" t="s">
        <v>125</v>
      </c>
      <c r="AG140" t="s">
        <v>51</v>
      </c>
      <c r="AH140" t="s">
        <v>126</v>
      </c>
      <c r="AI140" t="s">
        <v>53</v>
      </c>
      <c r="AJ140" t="b">
        <v>1</v>
      </c>
      <c r="AK140" t="b">
        <v>1</v>
      </c>
      <c r="AL140">
        <v>1</v>
      </c>
      <c r="AM140">
        <v>1</v>
      </c>
      <c r="AN140" t="s">
        <v>56</v>
      </c>
      <c r="AO140" t="s">
        <v>57</v>
      </c>
      <c r="AP140">
        <v>0.25</v>
      </c>
      <c r="AQ140" t="b">
        <v>1</v>
      </c>
      <c r="AR140" t="s">
        <v>23</v>
      </c>
      <c r="AS140">
        <v>20000</v>
      </c>
      <c r="AT140">
        <v>500</v>
      </c>
      <c r="AU140" t="s">
        <v>121</v>
      </c>
      <c r="AV140" t="b">
        <v>0</v>
      </c>
      <c r="AW140" t="b">
        <v>0</v>
      </c>
      <c r="AX140" t="b">
        <v>1</v>
      </c>
      <c r="AY140" t="b">
        <v>0</v>
      </c>
      <c r="BA140" t="str">
        <f>INDEX(Inp_CER_Bin_2eps3arms!$AN$2:$AN$176,MATCH(Table1[[#This Row],[ModelID]],Inp_CER_Bin_2eps3arms!$A$2:$A$176,0))</f>
        <v>Compare.Pow.vs.Martin</v>
      </c>
      <c r="BC140" t="s">
        <v>621</v>
      </c>
      <c r="BD140" t="s">
        <v>632</v>
      </c>
      <c r="BE140" s="10">
        <f>Table1[[#This Row],[Global.Power]]</f>
        <v>0.91482589999999997</v>
      </c>
      <c r="BF140" s="10">
        <f>Table1[[#This Row],[Conjunctive.Power]]</f>
        <v>0.3024963</v>
      </c>
      <c r="BG140" s="10">
        <f>Table1[[#This Row],[Disjunctive.Power]]</f>
        <v>0.91482589999999997</v>
      </c>
      <c r="BH140" s="10">
        <f>Table1[[#This Row],[FWER]]</f>
        <v>0</v>
      </c>
      <c r="BI140" s="10">
        <f>_xlfn.NUMBERVALUE(MID(Table1[[#This Row],[CI_95perc_Global.Power]],2,FIND(",",Table1[[#This Row],[CI_95perc_Global.Power]])-2))</f>
        <v>0.91312000000000004</v>
      </c>
      <c r="BJ140" s="10">
        <f>_xlfn.NUMBERVALUE(MID(Table1[[#This Row],[CI_95perc_Global.Power]],FIND(",",Table1[[#This Row],[CI_95perc_Global.Power]])+1,LEN(Table1[[#This Row],[CI_95perc_Global.Power]])-FIND(",",Table1[[#This Row],[CI_95perc_Global.Power]])-1))</f>
        <v>0.91652999999999996</v>
      </c>
      <c r="BK140" s="10">
        <f>_xlfn.NUMBERVALUE(MID(Table1[[#This Row],[CI_95perc_Conjunctive.Power]],2,FIND(",",Table1[[#This Row],[CI_95perc_Conjunctive.Power]])-2))</f>
        <v>0.29883999999999999</v>
      </c>
      <c r="BL140" s="10">
        <f>_xlfn.NUMBERVALUE(MID(Table1[[#This Row],[CI_95perc_Conjunctive.Power]],FIND(",",Table1[[#This Row],[CI_95perc_Conjunctive.Power]])+1,LEN(Table1[[#This Row],[CI_95perc_Conjunctive.Power]])-FIND(",",Table1[[#This Row],[CI_95perc_Conjunctive.Power]])-1))</f>
        <v>0.30614999999999998</v>
      </c>
      <c r="BM140" s="10">
        <f>_xlfn.NUMBERVALUE(MID(Table1[[#This Row],[CI_95perc_Disjunctive.Power]],2,FIND(",",Table1[[#This Row],[CI_95perc_Disjunctive.Power]])-2))</f>
        <v>0.91312000000000004</v>
      </c>
      <c r="BN140" s="10">
        <f>_xlfn.NUMBERVALUE(MID(Table1[[#This Row],[CI_95perc_Disjunctive.Power]],FIND(",",Table1[[#This Row],[CI_95perc_Disjunctive.Power]])+1,LEN(Table1[[#This Row],[CI_95perc_Disjunctive.Power]])-FIND(",",Table1[[#This Row],[CI_95perc_Disjunctive.Power]])-1))</f>
        <v>0.91652999999999996</v>
      </c>
      <c r="BO140" s="10">
        <f>_xlfn.NUMBERVALUE(MID(Table1[[#This Row],[CI_95perc_FWER]],2,FIND(",",Table1[[#This Row],[CI_95perc_FWER]])-2))</f>
        <v>0</v>
      </c>
      <c r="BP140" s="10">
        <f>_xlfn.NUMBERVALUE(MID(Table1[[#This Row],[CI_95perc_FWER]],FIND(",",Table1[[#This Row],[CI_95perc_FWER]])+1,LEN(Table1[[#This Row],[CI_95perc_FWER]])-FIND(",",Table1[[#This Row],[CI_95perc_FWER]])-1))</f>
        <v>0</v>
      </c>
      <c r="BQ140" s="10" t="str">
        <f>_xlfn.CONCAT("(",TEXT(Table1[[#This Row],[LCL_Disj.Pow%]],"0.00%"), ", ",TEXT(Table1[[#This Row],[UCL_Disj.Pow%]],"0.00%"),")")</f>
        <v>(91.31%, 91.65%)</v>
      </c>
      <c r="BR140" s="10" t="str">
        <f>_xlfn.CONCAT("(",TEXT(Table1[[#This Row],[LCL_Conj.Pow%]],"0.00%"),", ",TEXT(Table1[[#This Row],[UCL_Conj.Pow%]],"0.00%"),")")</f>
        <v>(29.88%, 30.62%)</v>
      </c>
      <c r="BS140" s="10" t="str">
        <f>_xlfn.CONCAT("(",TEXT(Table1[[#This Row],[LCL_FWER%]],"0.00%"),", ",TEXT(Table1[[#This Row],[UCL_FWER%]],"0.00%"),")")</f>
        <v>(0.00%, 0.00%)</v>
      </c>
    </row>
    <row r="141" spans="1:71" x14ac:dyDescent="0.25">
      <c r="A141">
        <v>139</v>
      </c>
      <c r="B141" t="s">
        <v>723</v>
      </c>
      <c r="C141">
        <v>4222</v>
      </c>
      <c r="D141">
        <v>0.97312569999999998</v>
      </c>
      <c r="E141">
        <v>2.5642E-3</v>
      </c>
      <c r="F141">
        <v>0.97312569999999998</v>
      </c>
      <c r="G141">
        <v>0</v>
      </c>
      <c r="H141" t="s">
        <v>798</v>
      </c>
      <c r="I141" t="s">
        <v>799</v>
      </c>
      <c r="J141" t="s">
        <v>798</v>
      </c>
      <c r="K141" t="s">
        <v>83</v>
      </c>
      <c r="L141" s="1">
        <v>440915064</v>
      </c>
      <c r="M141" t="s">
        <v>800</v>
      </c>
      <c r="N141">
        <v>0.62928124950991704</v>
      </c>
      <c r="O141" t="s">
        <v>85</v>
      </c>
      <c r="P141" t="s">
        <v>41</v>
      </c>
      <c r="Q141">
        <v>500</v>
      </c>
      <c r="R141">
        <v>2.5000000000000001E-2</v>
      </c>
      <c r="S141" t="s">
        <v>654</v>
      </c>
      <c r="T141" t="s">
        <v>42</v>
      </c>
      <c r="U141" t="s">
        <v>64</v>
      </c>
      <c r="V141" t="s">
        <v>44</v>
      </c>
      <c r="W141">
        <v>5</v>
      </c>
      <c r="X141">
        <v>2</v>
      </c>
      <c r="Y141" t="s">
        <v>650</v>
      </c>
      <c r="Z141" t="s">
        <v>726</v>
      </c>
      <c r="AA141" t="s">
        <v>651</v>
      </c>
      <c r="AB141" t="s">
        <v>729</v>
      </c>
      <c r="AC141" t="s">
        <v>122</v>
      </c>
      <c r="AD141" t="s">
        <v>123</v>
      </c>
      <c r="AE141" t="s">
        <v>124</v>
      </c>
      <c r="AF141" t="s">
        <v>125</v>
      </c>
      <c r="AG141" t="s">
        <v>51</v>
      </c>
      <c r="AH141" t="s">
        <v>126</v>
      </c>
      <c r="AI141" t="s">
        <v>53</v>
      </c>
      <c r="AJ141" t="b">
        <v>1</v>
      </c>
      <c r="AK141" t="b">
        <v>1</v>
      </c>
      <c r="AL141">
        <v>1</v>
      </c>
      <c r="AM141">
        <v>1</v>
      </c>
      <c r="AN141" t="s">
        <v>56</v>
      </c>
      <c r="AO141" t="s">
        <v>60</v>
      </c>
      <c r="AP141">
        <v>1</v>
      </c>
      <c r="AQ141" t="b">
        <v>1</v>
      </c>
      <c r="AR141" t="s">
        <v>23</v>
      </c>
      <c r="AS141">
        <v>20000</v>
      </c>
      <c r="AT141">
        <v>500</v>
      </c>
      <c r="AU141" t="s">
        <v>121</v>
      </c>
      <c r="AV141" t="b">
        <v>0</v>
      </c>
      <c r="AW141" t="b">
        <v>0</v>
      </c>
      <c r="AX141" t="b">
        <v>1</v>
      </c>
      <c r="AY141" t="b">
        <v>0</v>
      </c>
      <c r="BA141" t="str">
        <f>INDEX(Inp_CER_Bin_2eps3arms!$AN$2:$AN$176,MATCH(Table1[[#This Row],[ModelID]],Inp_CER_Bin_2eps3arms!$A$2:$A$176,0))</f>
        <v>Compare.Pow.vs.Martin</v>
      </c>
      <c r="BC141" t="s">
        <v>620</v>
      </c>
      <c r="BD141" t="s">
        <v>632</v>
      </c>
      <c r="BE141" s="10">
        <f>Table1[[#This Row],[Global.Power]]</f>
        <v>0.97312569999999998</v>
      </c>
      <c r="BF141" s="10">
        <f>Table1[[#This Row],[Conjunctive.Power]]</f>
        <v>2.5642E-3</v>
      </c>
      <c r="BG141" s="10">
        <f>Table1[[#This Row],[Disjunctive.Power]]</f>
        <v>0.97312569999999998</v>
      </c>
      <c r="BH141" s="10">
        <f>Table1[[#This Row],[FWER]]</f>
        <v>0</v>
      </c>
      <c r="BI141" s="10">
        <f>_xlfn.NUMBERVALUE(MID(Table1[[#This Row],[CI_95perc_Global.Power]],2,FIND(",",Table1[[#This Row],[CI_95perc_Global.Power]])-2))</f>
        <v>0.97230000000000005</v>
      </c>
      <c r="BJ141" s="10">
        <f>_xlfn.NUMBERVALUE(MID(Table1[[#This Row],[CI_95perc_Global.Power]],FIND(",",Table1[[#This Row],[CI_95perc_Global.Power]])+1,LEN(Table1[[#This Row],[CI_95perc_Global.Power]])-FIND(",",Table1[[#This Row],[CI_95perc_Global.Power]])-1))</f>
        <v>0.97394999999999998</v>
      </c>
      <c r="BK141" s="10">
        <f>_xlfn.NUMBERVALUE(MID(Table1[[#This Row],[CI_95perc_Conjunctive.Power]],2,FIND(",",Table1[[#This Row],[CI_95perc_Conjunctive.Power]])-2))</f>
        <v>1.8699999999999999E-3</v>
      </c>
      <c r="BL141" s="10">
        <f>_xlfn.NUMBERVALUE(MID(Table1[[#This Row],[CI_95perc_Conjunctive.Power]],FIND(",",Table1[[#This Row],[CI_95perc_Conjunctive.Power]])+1,LEN(Table1[[#This Row],[CI_95perc_Conjunctive.Power]])-FIND(",",Table1[[#This Row],[CI_95perc_Conjunctive.Power]])-1))</f>
        <v>3.2499999999999999E-3</v>
      </c>
      <c r="BM141" s="10">
        <f>_xlfn.NUMBERVALUE(MID(Table1[[#This Row],[CI_95perc_Disjunctive.Power]],2,FIND(",",Table1[[#This Row],[CI_95perc_Disjunctive.Power]])-2))</f>
        <v>0.97230000000000005</v>
      </c>
      <c r="BN141" s="10">
        <f>_xlfn.NUMBERVALUE(MID(Table1[[#This Row],[CI_95perc_Disjunctive.Power]],FIND(",",Table1[[#This Row],[CI_95perc_Disjunctive.Power]])+1,LEN(Table1[[#This Row],[CI_95perc_Disjunctive.Power]])-FIND(",",Table1[[#This Row],[CI_95perc_Disjunctive.Power]])-1))</f>
        <v>0.97394999999999998</v>
      </c>
      <c r="BO141" s="10">
        <f>_xlfn.NUMBERVALUE(MID(Table1[[#This Row],[CI_95perc_FWER]],2,FIND(",",Table1[[#This Row],[CI_95perc_FWER]])-2))</f>
        <v>0</v>
      </c>
      <c r="BP141" s="10">
        <f>_xlfn.NUMBERVALUE(MID(Table1[[#This Row],[CI_95perc_FWER]],FIND(",",Table1[[#This Row],[CI_95perc_FWER]])+1,LEN(Table1[[#This Row],[CI_95perc_FWER]])-FIND(",",Table1[[#This Row],[CI_95perc_FWER]])-1))</f>
        <v>0</v>
      </c>
      <c r="BQ141" s="10" t="str">
        <f>_xlfn.CONCAT("(",TEXT(Table1[[#This Row],[LCL_Disj.Pow%]],"0.00%"), ", ",TEXT(Table1[[#This Row],[UCL_Disj.Pow%]],"0.00%"),")")</f>
        <v>(97.23%, 97.40%)</v>
      </c>
      <c r="BR141" s="10" t="str">
        <f>_xlfn.CONCAT("(",TEXT(Table1[[#This Row],[LCL_Conj.Pow%]],"0.00%"),", ",TEXT(Table1[[#This Row],[UCL_Conj.Pow%]],"0.00%"),")")</f>
        <v>(0.19%, 0.33%)</v>
      </c>
      <c r="BS141" s="10" t="str">
        <f>_xlfn.CONCAT("(",TEXT(Table1[[#This Row],[LCL_FWER%]],"0.00%"),", ",TEXT(Table1[[#This Row],[UCL_FWER%]],"0.00%"),")")</f>
        <v>(0.00%, 0.00%)</v>
      </c>
    </row>
    <row r="142" spans="1:71" x14ac:dyDescent="0.25">
      <c r="A142" s="3">
        <v>140</v>
      </c>
      <c r="B142" t="s">
        <v>923</v>
      </c>
      <c r="C142">
        <v>7031</v>
      </c>
      <c r="D142">
        <v>2.2436999999999999E-2</v>
      </c>
      <c r="E142">
        <v>0</v>
      </c>
      <c r="F142">
        <v>0</v>
      </c>
      <c r="G142">
        <v>2.2436999999999999E-2</v>
      </c>
      <c r="H142" t="s">
        <v>924</v>
      </c>
      <c r="I142" t="s">
        <v>83</v>
      </c>
      <c r="J142" t="s">
        <v>83</v>
      </c>
      <c r="K142" t="s">
        <v>924</v>
      </c>
      <c r="L142" s="1">
        <v>1382104</v>
      </c>
      <c r="M142" t="s">
        <v>925</v>
      </c>
      <c r="N142">
        <v>1.81850958188375</v>
      </c>
      <c r="O142" t="s">
        <v>85</v>
      </c>
      <c r="P142" t="s">
        <v>41</v>
      </c>
      <c r="Q142">
        <v>500</v>
      </c>
      <c r="R142">
        <v>2.5000000000000001E-2</v>
      </c>
      <c r="S142" t="s">
        <v>654</v>
      </c>
      <c r="T142" t="s">
        <v>42</v>
      </c>
      <c r="U142" t="s">
        <v>64</v>
      </c>
      <c r="V142" t="s">
        <v>44</v>
      </c>
      <c r="W142">
        <v>5</v>
      </c>
      <c r="X142">
        <v>2</v>
      </c>
      <c r="Y142" t="s">
        <v>650</v>
      </c>
      <c r="Z142" t="s">
        <v>652</v>
      </c>
      <c r="AA142" t="s">
        <v>651</v>
      </c>
      <c r="AB142" t="s">
        <v>653</v>
      </c>
      <c r="AC142" t="s">
        <v>122</v>
      </c>
      <c r="AD142" t="s">
        <v>123</v>
      </c>
      <c r="AE142" t="s">
        <v>124</v>
      </c>
      <c r="AF142" t="s">
        <v>125</v>
      </c>
      <c r="AG142" t="s">
        <v>51</v>
      </c>
      <c r="AH142" t="s">
        <v>126</v>
      </c>
      <c r="AI142" t="s">
        <v>53</v>
      </c>
      <c r="AJ142" t="b">
        <v>1</v>
      </c>
      <c r="AK142" t="b">
        <v>1</v>
      </c>
      <c r="AL142">
        <v>1</v>
      </c>
      <c r="AM142">
        <v>1</v>
      </c>
      <c r="AN142" t="s">
        <v>56</v>
      </c>
      <c r="AO142" t="s">
        <v>57</v>
      </c>
      <c r="AP142">
        <v>0.75</v>
      </c>
      <c r="AQ142" t="b">
        <v>1</v>
      </c>
      <c r="AR142" t="s">
        <v>23</v>
      </c>
      <c r="AS142">
        <v>50000</v>
      </c>
      <c r="AT142">
        <v>200</v>
      </c>
      <c r="AU142" t="s">
        <v>121</v>
      </c>
      <c r="AV142" t="b">
        <v>0</v>
      </c>
      <c r="AW142" t="b">
        <v>0</v>
      </c>
      <c r="AX142" t="b">
        <v>1</v>
      </c>
      <c r="AY142" t="b">
        <v>0</v>
      </c>
      <c r="BA142">
        <f>INDEX(Inp_CER_Bin_2eps3arms!$AN$2:$AN$176,MATCH(Table1[[#This Row],[ModelID]],Inp_CER_Bin_2eps3arms!$A$2:$A$176,0))</f>
        <v>0</v>
      </c>
      <c r="BC142" t="s">
        <v>619</v>
      </c>
      <c r="BD142" t="s">
        <v>628</v>
      </c>
      <c r="BE142" s="10">
        <f>Table1[[#This Row],[Global.Power]]</f>
        <v>2.2436999999999999E-2</v>
      </c>
      <c r="BF142" s="10">
        <f>Table1[[#This Row],[Conjunctive.Power]]</f>
        <v>0</v>
      </c>
      <c r="BG142" s="10">
        <f>Table1[[#This Row],[Disjunctive.Power]]</f>
        <v>0</v>
      </c>
      <c r="BH142" s="10">
        <f>Table1[[#This Row],[FWER]]</f>
        <v>2.2436999999999999E-2</v>
      </c>
      <c r="BI142" s="10">
        <f>_xlfn.NUMBERVALUE(MID(Table1[[#This Row],[CI_95perc_Global.Power]],2,FIND(",",Table1[[#This Row],[CI_95perc_Global.Power]])-2))</f>
        <v>2.206E-2</v>
      </c>
      <c r="BJ142" s="10">
        <f>_xlfn.NUMBERVALUE(MID(Table1[[#This Row],[CI_95perc_Global.Power]],FIND(",",Table1[[#This Row],[CI_95perc_Global.Power]])+1,LEN(Table1[[#This Row],[CI_95perc_Global.Power]])-FIND(",",Table1[[#This Row],[CI_95perc_Global.Power]])-1))</f>
        <v>2.282E-2</v>
      </c>
      <c r="BK142" s="10">
        <f>_xlfn.NUMBERVALUE(MID(Table1[[#This Row],[CI_95perc_Conjunctive.Power]],2,FIND(",",Table1[[#This Row],[CI_95perc_Conjunctive.Power]])-2))</f>
        <v>0</v>
      </c>
      <c r="BL142" s="10">
        <f>_xlfn.NUMBERVALUE(MID(Table1[[#This Row],[CI_95perc_Conjunctive.Power]],FIND(",",Table1[[#This Row],[CI_95perc_Conjunctive.Power]])+1,LEN(Table1[[#This Row],[CI_95perc_Conjunctive.Power]])-FIND(",",Table1[[#This Row],[CI_95perc_Conjunctive.Power]])-1))</f>
        <v>0</v>
      </c>
      <c r="BM142" s="10">
        <f>_xlfn.NUMBERVALUE(MID(Table1[[#This Row],[CI_95perc_Disjunctive.Power]],2,FIND(",",Table1[[#This Row],[CI_95perc_Disjunctive.Power]])-2))</f>
        <v>0</v>
      </c>
      <c r="BN142" s="10">
        <f>_xlfn.NUMBERVALUE(MID(Table1[[#This Row],[CI_95perc_Disjunctive.Power]],FIND(",",Table1[[#This Row],[CI_95perc_Disjunctive.Power]])+1,LEN(Table1[[#This Row],[CI_95perc_Disjunctive.Power]])-FIND(",",Table1[[#This Row],[CI_95perc_Disjunctive.Power]])-1))</f>
        <v>0</v>
      </c>
      <c r="BO142" s="10">
        <f>_xlfn.NUMBERVALUE(MID(Table1[[#This Row],[CI_95perc_FWER]],2,FIND(",",Table1[[#This Row],[CI_95perc_FWER]])-2))</f>
        <v>2.206E-2</v>
      </c>
      <c r="BP142" s="10">
        <f>_xlfn.NUMBERVALUE(MID(Table1[[#This Row],[CI_95perc_FWER]],FIND(",",Table1[[#This Row],[CI_95perc_FWER]])+1,LEN(Table1[[#This Row],[CI_95perc_FWER]])-FIND(",",Table1[[#This Row],[CI_95perc_FWER]])-1))</f>
        <v>2.282E-2</v>
      </c>
      <c r="BQ142" s="10" t="str">
        <f>_xlfn.CONCAT("(",TEXT(Table1[[#This Row],[LCL_Disj.Pow%]],"0.00%"), ", ",TEXT(Table1[[#This Row],[UCL_Disj.Pow%]],"0.00%"),")")</f>
        <v>(0.00%, 0.00%)</v>
      </c>
      <c r="BR142" s="10" t="str">
        <f>_xlfn.CONCAT("(",TEXT(Table1[[#This Row],[LCL_Conj.Pow%]],"0.00%"),", ",TEXT(Table1[[#This Row],[UCL_Conj.Pow%]],"0.00%"),")")</f>
        <v>(0.00%, 0.00%)</v>
      </c>
      <c r="BS142" s="10" t="str">
        <f>_xlfn.CONCAT("(",TEXT(Table1[[#This Row],[LCL_FWER%]],"0.00%"),", ",TEXT(Table1[[#This Row],[UCL_FWER%]],"0.00%"),")")</f>
        <v>(2.21%, 2.28%)</v>
      </c>
    </row>
    <row r="143" spans="1:71" x14ac:dyDescent="0.25">
      <c r="A143">
        <v>141</v>
      </c>
      <c r="B143" t="s">
        <v>926</v>
      </c>
      <c r="C143">
        <v>5630</v>
      </c>
      <c r="D143">
        <v>2.22322892915717E-2</v>
      </c>
      <c r="E143">
        <v>0</v>
      </c>
      <c r="F143">
        <v>0</v>
      </c>
      <c r="G143">
        <v>2.22322892915717E-2</v>
      </c>
      <c r="H143" t="s">
        <v>927</v>
      </c>
      <c r="I143" t="s">
        <v>83</v>
      </c>
      <c r="J143" t="s">
        <v>83</v>
      </c>
      <c r="K143" t="s">
        <v>927</v>
      </c>
      <c r="L143" s="1">
        <v>1372040</v>
      </c>
      <c r="M143" t="s">
        <v>928</v>
      </c>
      <c r="N143">
        <v>1.29771284394794</v>
      </c>
      <c r="O143" t="s">
        <v>85</v>
      </c>
      <c r="P143" t="s">
        <v>41</v>
      </c>
      <c r="Q143">
        <v>500</v>
      </c>
      <c r="R143">
        <v>2.5000000000000001E-2</v>
      </c>
      <c r="S143" t="s">
        <v>654</v>
      </c>
      <c r="T143" t="s">
        <v>42</v>
      </c>
      <c r="U143" t="s">
        <v>64</v>
      </c>
      <c r="V143" t="s">
        <v>44</v>
      </c>
      <c r="W143">
        <v>5</v>
      </c>
      <c r="X143">
        <v>2</v>
      </c>
      <c r="Y143" t="s">
        <v>650</v>
      </c>
      <c r="Z143" t="s">
        <v>652</v>
      </c>
      <c r="AA143" t="s">
        <v>651</v>
      </c>
      <c r="AB143" t="s">
        <v>653</v>
      </c>
      <c r="AC143" t="s">
        <v>122</v>
      </c>
      <c r="AD143" t="s">
        <v>123</v>
      </c>
      <c r="AE143" t="s">
        <v>124</v>
      </c>
      <c r="AF143" t="s">
        <v>125</v>
      </c>
      <c r="AG143" t="s">
        <v>51</v>
      </c>
      <c r="AH143" t="s">
        <v>126</v>
      </c>
      <c r="AI143" t="s">
        <v>53</v>
      </c>
      <c r="AJ143" t="b">
        <v>1</v>
      </c>
      <c r="AK143" t="b">
        <v>1</v>
      </c>
      <c r="AL143">
        <v>1</v>
      </c>
      <c r="AM143">
        <v>1</v>
      </c>
      <c r="AN143" t="s">
        <v>56</v>
      </c>
      <c r="AO143" t="s">
        <v>57</v>
      </c>
      <c r="AP143">
        <v>0.5</v>
      </c>
      <c r="AQ143" t="b">
        <v>1</v>
      </c>
      <c r="AR143" t="s">
        <v>23</v>
      </c>
      <c r="AS143">
        <v>50000</v>
      </c>
      <c r="AT143">
        <v>200</v>
      </c>
      <c r="AU143" t="s">
        <v>121</v>
      </c>
      <c r="AV143" t="b">
        <v>0</v>
      </c>
      <c r="AW143" t="b">
        <v>0</v>
      </c>
      <c r="AX143" t="b">
        <v>1</v>
      </c>
      <c r="AY143" t="b">
        <v>0</v>
      </c>
      <c r="BA143">
        <f>INDEX(Inp_CER_Bin_2eps3arms!$AN$2:$AN$176,MATCH(Table1[[#This Row],[ModelID]],Inp_CER_Bin_2eps3arms!$A$2:$A$176,0))</f>
        <v>0</v>
      </c>
      <c r="BC143" t="s">
        <v>622</v>
      </c>
      <c r="BD143" t="s">
        <v>628</v>
      </c>
      <c r="BE143" s="10">
        <f>Table1[[#This Row],[Global.Power]]</f>
        <v>2.22322892915717E-2</v>
      </c>
      <c r="BF143" s="10">
        <f>Table1[[#This Row],[Conjunctive.Power]]</f>
        <v>0</v>
      </c>
      <c r="BG143" s="10">
        <f>Table1[[#This Row],[Disjunctive.Power]]</f>
        <v>0</v>
      </c>
      <c r="BH143" s="10">
        <f>Table1[[#This Row],[FWER]]</f>
        <v>2.22322892915717E-2</v>
      </c>
      <c r="BI143" s="10">
        <f>_xlfn.NUMBERVALUE(MID(Table1[[#This Row],[CI_95perc_Global.Power]],2,FIND(",",Table1[[#This Row],[CI_95perc_Global.Power]])-2))</f>
        <v>2.1850000000000001E-2</v>
      </c>
      <c r="BJ143" s="10">
        <f>_xlfn.NUMBERVALUE(MID(Table1[[#This Row],[CI_95perc_Global.Power]],FIND(",",Table1[[#This Row],[CI_95perc_Global.Power]])+1,LEN(Table1[[#This Row],[CI_95perc_Global.Power]])-FIND(",",Table1[[#This Row],[CI_95perc_Global.Power]])-1))</f>
        <v>2.2610000000000002E-2</v>
      </c>
      <c r="BK143" s="10">
        <f>_xlfn.NUMBERVALUE(MID(Table1[[#This Row],[CI_95perc_Conjunctive.Power]],2,FIND(",",Table1[[#This Row],[CI_95perc_Conjunctive.Power]])-2))</f>
        <v>0</v>
      </c>
      <c r="BL143" s="10">
        <f>_xlfn.NUMBERVALUE(MID(Table1[[#This Row],[CI_95perc_Conjunctive.Power]],FIND(",",Table1[[#This Row],[CI_95perc_Conjunctive.Power]])+1,LEN(Table1[[#This Row],[CI_95perc_Conjunctive.Power]])-FIND(",",Table1[[#This Row],[CI_95perc_Conjunctive.Power]])-1))</f>
        <v>0</v>
      </c>
      <c r="BM143" s="10">
        <f>_xlfn.NUMBERVALUE(MID(Table1[[#This Row],[CI_95perc_Disjunctive.Power]],2,FIND(",",Table1[[#This Row],[CI_95perc_Disjunctive.Power]])-2))</f>
        <v>0</v>
      </c>
      <c r="BN143" s="10">
        <f>_xlfn.NUMBERVALUE(MID(Table1[[#This Row],[CI_95perc_Disjunctive.Power]],FIND(",",Table1[[#This Row],[CI_95perc_Disjunctive.Power]])+1,LEN(Table1[[#This Row],[CI_95perc_Disjunctive.Power]])-FIND(",",Table1[[#This Row],[CI_95perc_Disjunctive.Power]])-1))</f>
        <v>0</v>
      </c>
      <c r="BO143" s="10">
        <f>_xlfn.NUMBERVALUE(MID(Table1[[#This Row],[CI_95perc_FWER]],2,FIND(",",Table1[[#This Row],[CI_95perc_FWER]])-2))</f>
        <v>2.1850000000000001E-2</v>
      </c>
      <c r="BP143" s="10">
        <f>_xlfn.NUMBERVALUE(MID(Table1[[#This Row],[CI_95perc_FWER]],FIND(",",Table1[[#This Row],[CI_95perc_FWER]])+1,LEN(Table1[[#This Row],[CI_95perc_FWER]])-FIND(",",Table1[[#This Row],[CI_95perc_FWER]])-1))</f>
        <v>2.2610000000000002E-2</v>
      </c>
      <c r="BQ143" s="10" t="str">
        <f>_xlfn.CONCAT("(",TEXT(Table1[[#This Row],[LCL_Disj.Pow%]],"0.00%"), ", ",TEXT(Table1[[#This Row],[UCL_Disj.Pow%]],"0.00%"),")")</f>
        <v>(0.00%, 0.00%)</v>
      </c>
      <c r="BR143" s="10" t="str">
        <f>_xlfn.CONCAT("(",TEXT(Table1[[#This Row],[LCL_Conj.Pow%]],"0.00%"),", ",TEXT(Table1[[#This Row],[UCL_Conj.Pow%]],"0.00%"),")")</f>
        <v>(0.00%, 0.00%)</v>
      </c>
      <c r="BS143" s="10" t="str">
        <f>_xlfn.CONCAT("(",TEXT(Table1[[#This Row],[LCL_FWER%]],"0.00%"),", ",TEXT(Table1[[#This Row],[UCL_FWER%]],"0.00%"),")")</f>
        <v>(2.19%, 2.26%)</v>
      </c>
    </row>
    <row r="144" spans="1:71" x14ac:dyDescent="0.25">
      <c r="A144">
        <v>142</v>
      </c>
      <c r="B144" t="s">
        <v>929</v>
      </c>
      <c r="C144">
        <v>2381</v>
      </c>
      <c r="D144">
        <v>2.17085683427337E-2</v>
      </c>
      <c r="E144">
        <v>0</v>
      </c>
      <c r="F144">
        <v>0</v>
      </c>
      <c r="G144">
        <v>2.17085683427337E-2</v>
      </c>
      <c r="H144" t="s">
        <v>930</v>
      </c>
      <c r="I144" t="s">
        <v>83</v>
      </c>
      <c r="J144" t="s">
        <v>83</v>
      </c>
      <c r="K144" t="s">
        <v>930</v>
      </c>
      <c r="L144" s="1">
        <v>1342016</v>
      </c>
      <c r="M144" t="s">
        <v>931</v>
      </c>
      <c r="N144">
        <v>0.76161038637161305</v>
      </c>
      <c r="O144" t="s">
        <v>85</v>
      </c>
      <c r="P144" t="s">
        <v>41</v>
      </c>
      <c r="Q144">
        <v>500</v>
      </c>
      <c r="R144">
        <v>2.5000000000000001E-2</v>
      </c>
      <c r="S144" t="s">
        <v>654</v>
      </c>
      <c r="T144" t="s">
        <v>42</v>
      </c>
      <c r="U144" t="s">
        <v>64</v>
      </c>
      <c r="V144" t="s">
        <v>44</v>
      </c>
      <c r="W144">
        <v>5</v>
      </c>
      <c r="X144">
        <v>2</v>
      </c>
      <c r="Y144" t="s">
        <v>650</v>
      </c>
      <c r="Z144" t="s">
        <v>652</v>
      </c>
      <c r="AA144" t="s">
        <v>651</v>
      </c>
      <c r="AB144" t="s">
        <v>653</v>
      </c>
      <c r="AC144" t="s">
        <v>122</v>
      </c>
      <c r="AD144" t="s">
        <v>123</v>
      </c>
      <c r="AE144" t="s">
        <v>124</v>
      </c>
      <c r="AF144" t="s">
        <v>125</v>
      </c>
      <c r="AG144" t="s">
        <v>51</v>
      </c>
      <c r="AH144" t="s">
        <v>126</v>
      </c>
      <c r="AI144" t="s">
        <v>53</v>
      </c>
      <c r="AJ144" t="b">
        <v>1</v>
      </c>
      <c r="AK144" t="b">
        <v>1</v>
      </c>
      <c r="AL144">
        <v>1</v>
      </c>
      <c r="AM144">
        <v>1</v>
      </c>
      <c r="AN144" t="s">
        <v>56</v>
      </c>
      <c r="AO144" t="s">
        <v>57</v>
      </c>
      <c r="AP144">
        <v>0.25</v>
      </c>
      <c r="AQ144" t="b">
        <v>1</v>
      </c>
      <c r="AR144" t="s">
        <v>23</v>
      </c>
      <c r="AS144">
        <v>50000</v>
      </c>
      <c r="AT144">
        <v>200</v>
      </c>
      <c r="AU144" t="s">
        <v>121</v>
      </c>
      <c r="AV144" t="b">
        <v>0</v>
      </c>
      <c r="AW144" t="b">
        <v>0</v>
      </c>
      <c r="AX144" t="b">
        <v>1</v>
      </c>
      <c r="AY144" t="b">
        <v>0</v>
      </c>
      <c r="BA144">
        <f>INDEX(Inp_CER_Bin_2eps3arms!$AN$2:$AN$176,MATCH(Table1[[#This Row],[ModelID]],Inp_CER_Bin_2eps3arms!$A$2:$A$176,0))</f>
        <v>0</v>
      </c>
      <c r="BC144" t="s">
        <v>621</v>
      </c>
      <c r="BD144" t="s">
        <v>628</v>
      </c>
      <c r="BE144" s="10">
        <f>Table1[[#This Row],[Global.Power]]</f>
        <v>2.17085683427337E-2</v>
      </c>
      <c r="BF144" s="10">
        <f>Table1[[#This Row],[Conjunctive.Power]]</f>
        <v>0</v>
      </c>
      <c r="BG144" s="10">
        <f>Table1[[#This Row],[Disjunctive.Power]]</f>
        <v>0</v>
      </c>
      <c r="BH144" s="10">
        <f>Table1[[#This Row],[FWER]]</f>
        <v>2.17085683427337E-2</v>
      </c>
      <c r="BI144" s="10">
        <f>_xlfn.NUMBERVALUE(MID(Table1[[#This Row],[CI_95perc_Global.Power]],2,FIND(",",Table1[[#This Row],[CI_95perc_Global.Power]])-2))</f>
        <v>2.1329999999999998E-2</v>
      </c>
      <c r="BJ144" s="10">
        <f>_xlfn.NUMBERVALUE(MID(Table1[[#This Row],[CI_95perc_Global.Power]],FIND(",",Table1[[#This Row],[CI_95perc_Global.Power]])+1,LEN(Table1[[#This Row],[CI_95perc_Global.Power]])-FIND(",",Table1[[#This Row],[CI_95perc_Global.Power]])-1))</f>
        <v>2.2089999999999999E-2</v>
      </c>
      <c r="BK144" s="10">
        <f>_xlfn.NUMBERVALUE(MID(Table1[[#This Row],[CI_95perc_Conjunctive.Power]],2,FIND(",",Table1[[#This Row],[CI_95perc_Conjunctive.Power]])-2))</f>
        <v>0</v>
      </c>
      <c r="BL144" s="10">
        <f>_xlfn.NUMBERVALUE(MID(Table1[[#This Row],[CI_95perc_Conjunctive.Power]],FIND(",",Table1[[#This Row],[CI_95perc_Conjunctive.Power]])+1,LEN(Table1[[#This Row],[CI_95perc_Conjunctive.Power]])-FIND(",",Table1[[#This Row],[CI_95perc_Conjunctive.Power]])-1))</f>
        <v>0</v>
      </c>
      <c r="BM144" s="10">
        <f>_xlfn.NUMBERVALUE(MID(Table1[[#This Row],[CI_95perc_Disjunctive.Power]],2,FIND(",",Table1[[#This Row],[CI_95perc_Disjunctive.Power]])-2))</f>
        <v>0</v>
      </c>
      <c r="BN144" s="10">
        <f>_xlfn.NUMBERVALUE(MID(Table1[[#This Row],[CI_95perc_Disjunctive.Power]],FIND(",",Table1[[#This Row],[CI_95perc_Disjunctive.Power]])+1,LEN(Table1[[#This Row],[CI_95perc_Disjunctive.Power]])-FIND(",",Table1[[#This Row],[CI_95perc_Disjunctive.Power]])-1))</f>
        <v>0</v>
      </c>
      <c r="BO144" s="10">
        <f>_xlfn.NUMBERVALUE(MID(Table1[[#This Row],[CI_95perc_FWER]],2,FIND(",",Table1[[#This Row],[CI_95perc_FWER]])-2))</f>
        <v>2.1329999999999998E-2</v>
      </c>
      <c r="BP144" s="10">
        <f>_xlfn.NUMBERVALUE(MID(Table1[[#This Row],[CI_95perc_FWER]],FIND(",",Table1[[#This Row],[CI_95perc_FWER]])+1,LEN(Table1[[#This Row],[CI_95perc_FWER]])-FIND(",",Table1[[#This Row],[CI_95perc_FWER]])-1))</f>
        <v>2.2089999999999999E-2</v>
      </c>
      <c r="BQ144" s="10" t="str">
        <f>_xlfn.CONCAT("(",TEXT(Table1[[#This Row],[LCL_Disj.Pow%]],"0.00%"), ", ",TEXT(Table1[[#This Row],[UCL_Disj.Pow%]],"0.00%"),")")</f>
        <v>(0.00%, 0.00%)</v>
      </c>
      <c r="BR144" s="10" t="str">
        <f>_xlfn.CONCAT("(",TEXT(Table1[[#This Row],[LCL_Conj.Pow%]],"0.00%"),", ",TEXT(Table1[[#This Row],[UCL_Conj.Pow%]],"0.00%"),")")</f>
        <v>(0.00%, 0.00%)</v>
      </c>
      <c r="BS144" s="10" t="str">
        <f>_xlfn.CONCAT("(",TEXT(Table1[[#This Row],[LCL_FWER%]],"0.00%"),", ",TEXT(Table1[[#This Row],[UCL_FWER%]],"0.00%"),")")</f>
        <v>(2.13%, 2.21%)</v>
      </c>
    </row>
    <row r="145" spans="1:71" x14ac:dyDescent="0.25">
      <c r="A145">
        <v>143</v>
      </c>
      <c r="B145" t="s">
        <v>932</v>
      </c>
      <c r="C145">
        <v>9703</v>
      </c>
      <c r="D145">
        <v>2.10619106191062E-2</v>
      </c>
      <c r="E145">
        <v>0</v>
      </c>
      <c r="F145">
        <v>0</v>
      </c>
      <c r="G145">
        <v>2.10619106191062E-2</v>
      </c>
      <c r="H145" t="s">
        <v>933</v>
      </c>
      <c r="I145" t="s">
        <v>83</v>
      </c>
      <c r="J145" t="s">
        <v>83</v>
      </c>
      <c r="K145" t="s">
        <v>933</v>
      </c>
      <c r="L145" s="1">
        <v>1381942</v>
      </c>
      <c r="M145" t="s">
        <v>934</v>
      </c>
      <c r="N145">
        <v>1.00500490499867</v>
      </c>
      <c r="O145" t="s">
        <v>85</v>
      </c>
      <c r="P145" t="s">
        <v>41</v>
      </c>
      <c r="Q145">
        <v>500</v>
      </c>
      <c r="R145">
        <v>2.5000000000000001E-2</v>
      </c>
      <c r="S145" t="s">
        <v>654</v>
      </c>
      <c r="T145" t="s">
        <v>42</v>
      </c>
      <c r="U145" t="s">
        <v>64</v>
      </c>
      <c r="V145" t="s">
        <v>44</v>
      </c>
      <c r="W145">
        <v>5</v>
      </c>
      <c r="X145">
        <v>2</v>
      </c>
      <c r="Y145" t="s">
        <v>650</v>
      </c>
      <c r="Z145" t="s">
        <v>652</v>
      </c>
      <c r="AA145" t="s">
        <v>651</v>
      </c>
      <c r="AB145" t="s">
        <v>653</v>
      </c>
      <c r="AC145" t="s">
        <v>122</v>
      </c>
      <c r="AD145" t="s">
        <v>123</v>
      </c>
      <c r="AE145" t="s">
        <v>124</v>
      </c>
      <c r="AF145" t="s">
        <v>125</v>
      </c>
      <c r="AG145" t="s">
        <v>51</v>
      </c>
      <c r="AH145" t="s">
        <v>126</v>
      </c>
      <c r="AI145" t="s">
        <v>53</v>
      </c>
      <c r="AJ145" t="b">
        <v>1</v>
      </c>
      <c r="AK145" t="b">
        <v>1</v>
      </c>
      <c r="AL145">
        <v>1</v>
      </c>
      <c r="AM145">
        <v>1</v>
      </c>
      <c r="AN145" t="s">
        <v>56</v>
      </c>
      <c r="AO145" t="s">
        <v>60</v>
      </c>
      <c r="AP145">
        <v>1</v>
      </c>
      <c r="AQ145" t="b">
        <v>1</v>
      </c>
      <c r="AR145" t="s">
        <v>23</v>
      </c>
      <c r="AS145">
        <v>50000</v>
      </c>
      <c r="AT145">
        <v>200</v>
      </c>
      <c r="AU145" t="s">
        <v>121</v>
      </c>
      <c r="AV145" t="b">
        <v>0</v>
      </c>
      <c r="AW145" t="b">
        <v>0</v>
      </c>
      <c r="AX145" t="b">
        <v>1</v>
      </c>
      <c r="AY145" t="b">
        <v>0</v>
      </c>
      <c r="BA145">
        <f>INDEX(Inp_CER_Bin_2eps3arms!$AN$2:$AN$176,MATCH(Table1[[#This Row],[ModelID]],Inp_CER_Bin_2eps3arms!$A$2:$A$176,0))</f>
        <v>0</v>
      </c>
      <c r="BC145" t="s">
        <v>620</v>
      </c>
      <c r="BD145" t="s">
        <v>628</v>
      </c>
      <c r="BE145" s="10">
        <f>Table1[[#This Row],[Global.Power]]</f>
        <v>2.10619106191062E-2</v>
      </c>
      <c r="BF145" s="10">
        <f>Table1[[#This Row],[Conjunctive.Power]]</f>
        <v>0</v>
      </c>
      <c r="BG145" s="10">
        <f>Table1[[#This Row],[Disjunctive.Power]]</f>
        <v>0</v>
      </c>
      <c r="BH145" s="10">
        <f>Table1[[#This Row],[FWER]]</f>
        <v>2.10619106191062E-2</v>
      </c>
      <c r="BI145" s="10">
        <f>_xlfn.NUMBERVALUE(MID(Table1[[#This Row],[CI_95perc_Global.Power]],2,FIND(",",Table1[[#This Row],[CI_95perc_Global.Power]])-2))</f>
        <v>2.069E-2</v>
      </c>
      <c r="BJ145" s="10">
        <f>_xlfn.NUMBERVALUE(MID(Table1[[#This Row],[CI_95perc_Global.Power]],FIND(",",Table1[[#This Row],[CI_95perc_Global.Power]])+1,LEN(Table1[[#This Row],[CI_95perc_Global.Power]])-FIND(",",Table1[[#This Row],[CI_95perc_Global.Power]])-1))</f>
        <v>2.1430000000000001E-2</v>
      </c>
      <c r="BK145" s="10">
        <f>_xlfn.NUMBERVALUE(MID(Table1[[#This Row],[CI_95perc_Conjunctive.Power]],2,FIND(",",Table1[[#This Row],[CI_95perc_Conjunctive.Power]])-2))</f>
        <v>0</v>
      </c>
      <c r="BL145" s="10">
        <f>_xlfn.NUMBERVALUE(MID(Table1[[#This Row],[CI_95perc_Conjunctive.Power]],FIND(",",Table1[[#This Row],[CI_95perc_Conjunctive.Power]])+1,LEN(Table1[[#This Row],[CI_95perc_Conjunctive.Power]])-FIND(",",Table1[[#This Row],[CI_95perc_Conjunctive.Power]])-1))</f>
        <v>0</v>
      </c>
      <c r="BM145" s="10">
        <f>_xlfn.NUMBERVALUE(MID(Table1[[#This Row],[CI_95perc_Disjunctive.Power]],2,FIND(",",Table1[[#This Row],[CI_95perc_Disjunctive.Power]])-2))</f>
        <v>0</v>
      </c>
      <c r="BN145" s="10">
        <f>_xlfn.NUMBERVALUE(MID(Table1[[#This Row],[CI_95perc_Disjunctive.Power]],FIND(",",Table1[[#This Row],[CI_95perc_Disjunctive.Power]])+1,LEN(Table1[[#This Row],[CI_95perc_Disjunctive.Power]])-FIND(",",Table1[[#This Row],[CI_95perc_Disjunctive.Power]])-1))</f>
        <v>0</v>
      </c>
      <c r="BO145" s="10">
        <f>_xlfn.NUMBERVALUE(MID(Table1[[#This Row],[CI_95perc_FWER]],2,FIND(",",Table1[[#This Row],[CI_95perc_FWER]])-2))</f>
        <v>2.069E-2</v>
      </c>
      <c r="BP145" s="10">
        <f>_xlfn.NUMBERVALUE(MID(Table1[[#This Row],[CI_95perc_FWER]],FIND(",",Table1[[#This Row],[CI_95perc_FWER]])+1,LEN(Table1[[#This Row],[CI_95perc_FWER]])-FIND(",",Table1[[#This Row],[CI_95perc_FWER]])-1))</f>
        <v>2.1430000000000001E-2</v>
      </c>
      <c r="BQ145" s="10" t="str">
        <f>_xlfn.CONCAT("(",TEXT(Table1[[#This Row],[LCL_Disj.Pow%]],"0.00%"), ", ",TEXT(Table1[[#This Row],[UCL_Disj.Pow%]],"0.00%"),")")</f>
        <v>(0.00%, 0.00%)</v>
      </c>
      <c r="BR145" s="10" t="str">
        <f>_xlfn.CONCAT("(",TEXT(Table1[[#This Row],[LCL_Conj.Pow%]],"0.00%"),", ",TEXT(Table1[[#This Row],[UCL_Conj.Pow%]],"0.00%"),")")</f>
        <v>(0.00%, 0.00%)</v>
      </c>
      <c r="BS145" s="10" t="str">
        <f>_xlfn.CONCAT("(",TEXT(Table1[[#This Row],[LCL_FWER%]],"0.00%"),", ",TEXT(Table1[[#This Row],[UCL_FWER%]],"0.00%"),")")</f>
        <v>(2.07%, 2.14%)</v>
      </c>
    </row>
    <row r="146" spans="1:71" x14ac:dyDescent="0.25">
      <c r="A146">
        <v>144</v>
      </c>
      <c r="B146" t="s">
        <v>935</v>
      </c>
      <c r="C146">
        <v>5941</v>
      </c>
      <c r="D146">
        <v>0.69484539999999995</v>
      </c>
      <c r="E146">
        <v>0.49192920000000001</v>
      </c>
      <c r="F146">
        <v>0.69445109999999999</v>
      </c>
      <c r="G146">
        <v>2.17895E-2</v>
      </c>
      <c r="H146" t="s">
        <v>936</v>
      </c>
      <c r="I146" t="s">
        <v>937</v>
      </c>
      <c r="J146" t="s">
        <v>938</v>
      </c>
      <c r="K146" t="s">
        <v>939</v>
      </c>
      <c r="L146" s="1">
        <v>839061066</v>
      </c>
      <c r="M146" t="s">
        <v>940</v>
      </c>
      <c r="N146">
        <v>1.76832466357284</v>
      </c>
      <c r="O146" t="s">
        <v>85</v>
      </c>
      <c r="P146" t="s">
        <v>41</v>
      </c>
      <c r="Q146">
        <v>500</v>
      </c>
      <c r="R146">
        <v>2.5000000000000001E-2</v>
      </c>
      <c r="S146" t="s">
        <v>654</v>
      </c>
      <c r="T146" t="s">
        <v>42</v>
      </c>
      <c r="U146" t="s">
        <v>64</v>
      </c>
      <c r="V146" t="s">
        <v>44</v>
      </c>
      <c r="W146">
        <v>5</v>
      </c>
      <c r="X146">
        <v>2</v>
      </c>
      <c r="Y146" t="s">
        <v>650</v>
      </c>
      <c r="Z146" t="s">
        <v>710</v>
      </c>
      <c r="AA146" t="s">
        <v>651</v>
      </c>
      <c r="AB146" t="s">
        <v>711</v>
      </c>
      <c r="AC146" t="s">
        <v>122</v>
      </c>
      <c r="AD146" t="s">
        <v>123</v>
      </c>
      <c r="AE146" t="s">
        <v>124</v>
      </c>
      <c r="AF146" t="s">
        <v>125</v>
      </c>
      <c r="AG146" t="s">
        <v>51</v>
      </c>
      <c r="AH146" t="s">
        <v>126</v>
      </c>
      <c r="AI146" t="s">
        <v>53</v>
      </c>
      <c r="AJ146" t="b">
        <v>1</v>
      </c>
      <c r="AK146" t="b">
        <v>1</v>
      </c>
      <c r="AL146">
        <v>1</v>
      </c>
      <c r="AM146">
        <v>1</v>
      </c>
      <c r="AN146" t="s">
        <v>56</v>
      </c>
      <c r="AO146" t="s">
        <v>57</v>
      </c>
      <c r="AP146">
        <v>0.75</v>
      </c>
      <c r="AQ146" t="b">
        <v>1</v>
      </c>
      <c r="AR146" t="s">
        <v>23</v>
      </c>
      <c r="AS146">
        <v>50000</v>
      </c>
      <c r="AT146">
        <v>200</v>
      </c>
      <c r="AU146" t="s">
        <v>121</v>
      </c>
      <c r="AV146" t="b">
        <v>0</v>
      </c>
      <c r="AW146" t="b">
        <v>0</v>
      </c>
      <c r="AX146" t="b">
        <v>1</v>
      </c>
      <c r="AY146" t="b">
        <v>0</v>
      </c>
      <c r="BA146">
        <f>INDEX(Inp_CER_Bin_2eps3arms!$AN$2:$AN$176,MATCH(Table1[[#This Row],[ModelID]],Inp_CER_Bin_2eps3arms!$A$2:$A$176,0))</f>
        <v>0</v>
      </c>
      <c r="BC146" t="s">
        <v>619</v>
      </c>
      <c r="BD146" t="s">
        <v>629</v>
      </c>
      <c r="BE146" s="10">
        <f>Table1[[#This Row],[Global.Power]]</f>
        <v>0.69484539999999995</v>
      </c>
      <c r="BF146" s="10">
        <f>Table1[[#This Row],[Conjunctive.Power]]</f>
        <v>0.49192920000000001</v>
      </c>
      <c r="BG146" s="10">
        <f>Table1[[#This Row],[Disjunctive.Power]]</f>
        <v>0.69445109999999999</v>
      </c>
      <c r="BH146" s="10">
        <f>Table1[[#This Row],[FWER]]</f>
        <v>2.17895E-2</v>
      </c>
      <c r="BI146" s="10">
        <f>_xlfn.NUMBERVALUE(MID(Table1[[#This Row],[CI_95perc_Global.Power]],2,FIND(",",Table1[[#This Row],[CI_95perc_Global.Power]])-2))</f>
        <v>0.69332000000000005</v>
      </c>
      <c r="BJ146" s="10">
        <f>_xlfn.NUMBERVALUE(MID(Table1[[#This Row],[CI_95perc_Global.Power]],FIND(",",Table1[[#This Row],[CI_95perc_Global.Power]])+1,LEN(Table1[[#This Row],[CI_95perc_Global.Power]])-FIND(",",Table1[[#This Row],[CI_95perc_Global.Power]])-1))</f>
        <v>0.69637000000000004</v>
      </c>
      <c r="BK146" s="10">
        <f>_xlfn.NUMBERVALUE(MID(Table1[[#This Row],[CI_95perc_Conjunctive.Power]],2,FIND(",",Table1[[#This Row],[CI_95perc_Conjunctive.Power]])-2))</f>
        <v>0.49026999999999998</v>
      </c>
      <c r="BL146" s="10">
        <f>_xlfn.NUMBERVALUE(MID(Table1[[#This Row],[CI_95perc_Conjunctive.Power]],FIND(",",Table1[[#This Row],[CI_95perc_Conjunctive.Power]])+1,LEN(Table1[[#This Row],[CI_95perc_Conjunctive.Power]])-FIND(",",Table1[[#This Row],[CI_95perc_Conjunctive.Power]])-1))</f>
        <v>0.49358999999999997</v>
      </c>
      <c r="BM146" s="10">
        <f>_xlfn.NUMBERVALUE(MID(Table1[[#This Row],[CI_95perc_Disjunctive.Power]],2,FIND(",",Table1[[#This Row],[CI_95perc_Disjunctive.Power]])-2))</f>
        <v>0.69291999999999998</v>
      </c>
      <c r="BN146" s="10">
        <f>_xlfn.NUMBERVALUE(MID(Table1[[#This Row],[CI_95perc_Disjunctive.Power]],FIND(",",Table1[[#This Row],[CI_95perc_Disjunctive.Power]])+1,LEN(Table1[[#This Row],[CI_95perc_Disjunctive.Power]])-FIND(",",Table1[[#This Row],[CI_95perc_Disjunctive.Power]])-1))</f>
        <v>0.69598000000000004</v>
      </c>
      <c r="BO146" s="10">
        <f>_xlfn.NUMBERVALUE(MID(Table1[[#This Row],[CI_95perc_FWER]],2,FIND(",",Table1[[#This Row],[CI_95perc_FWER]])-2))</f>
        <v>2.1420000000000002E-2</v>
      </c>
      <c r="BP146" s="10">
        <f>_xlfn.NUMBERVALUE(MID(Table1[[#This Row],[CI_95perc_FWER]],FIND(",",Table1[[#This Row],[CI_95perc_FWER]])+1,LEN(Table1[[#This Row],[CI_95perc_FWER]])-FIND(",",Table1[[#This Row],[CI_95perc_FWER]])-1))</f>
        <v>2.2159999999999999E-2</v>
      </c>
      <c r="BQ146" s="10" t="str">
        <f>_xlfn.CONCAT("(",TEXT(Table1[[#This Row],[LCL_Disj.Pow%]],"0.00%"), ", ",TEXT(Table1[[#This Row],[UCL_Disj.Pow%]],"0.00%"),")")</f>
        <v>(69.29%, 69.60%)</v>
      </c>
      <c r="BR146" s="10" t="str">
        <f>_xlfn.CONCAT("(",TEXT(Table1[[#This Row],[LCL_Conj.Pow%]],"0.00%"),", ",TEXT(Table1[[#This Row],[UCL_Conj.Pow%]],"0.00%"),")")</f>
        <v>(49.03%, 49.36%)</v>
      </c>
      <c r="BS146" s="10" t="str">
        <f>_xlfn.CONCAT("(",TEXT(Table1[[#This Row],[LCL_FWER%]],"0.00%"),", ",TEXT(Table1[[#This Row],[UCL_FWER%]],"0.00%"),")")</f>
        <v>(2.14%, 2.22%)</v>
      </c>
    </row>
    <row r="147" spans="1:71" x14ac:dyDescent="0.25">
      <c r="A147">
        <v>145</v>
      </c>
      <c r="B147" t="s">
        <v>941</v>
      </c>
      <c r="C147">
        <v>9508</v>
      </c>
      <c r="D147">
        <v>0.93450880000000003</v>
      </c>
      <c r="E147">
        <v>2.24689E-2</v>
      </c>
      <c r="F147">
        <v>0.93373099999999998</v>
      </c>
      <c r="G147">
        <v>1.9849999999999998E-3</v>
      </c>
      <c r="H147" t="s">
        <v>942</v>
      </c>
      <c r="I147" t="s">
        <v>943</v>
      </c>
      <c r="J147" t="s">
        <v>944</v>
      </c>
      <c r="K147" t="s">
        <v>945</v>
      </c>
      <c r="L147" s="1">
        <v>1412479248</v>
      </c>
      <c r="M147" t="s">
        <v>946</v>
      </c>
      <c r="N147">
        <v>0.95045234918594401</v>
      </c>
      <c r="O147" t="s">
        <v>85</v>
      </c>
      <c r="P147" t="s">
        <v>41</v>
      </c>
      <c r="Q147">
        <v>500</v>
      </c>
      <c r="R147">
        <v>2.5000000000000001E-2</v>
      </c>
      <c r="S147" t="s">
        <v>654</v>
      </c>
      <c r="T147" t="s">
        <v>42</v>
      </c>
      <c r="U147" t="s">
        <v>64</v>
      </c>
      <c r="V147" t="s">
        <v>44</v>
      </c>
      <c r="W147">
        <v>5</v>
      </c>
      <c r="X147">
        <v>2</v>
      </c>
      <c r="Y147" t="s">
        <v>650</v>
      </c>
      <c r="Z147" t="s">
        <v>724</v>
      </c>
      <c r="AA147" t="s">
        <v>651</v>
      </c>
      <c r="AB147" t="s">
        <v>727</v>
      </c>
      <c r="AC147" t="s">
        <v>122</v>
      </c>
      <c r="AD147" t="s">
        <v>123</v>
      </c>
      <c r="AE147" t="s">
        <v>124</v>
      </c>
      <c r="AF147" t="s">
        <v>125</v>
      </c>
      <c r="AG147" t="s">
        <v>51</v>
      </c>
      <c r="AH147" t="s">
        <v>126</v>
      </c>
      <c r="AI147" t="s">
        <v>53</v>
      </c>
      <c r="AJ147" t="b">
        <v>1</v>
      </c>
      <c r="AK147" t="b">
        <v>1</v>
      </c>
      <c r="AL147">
        <v>1</v>
      </c>
      <c r="AM147">
        <v>1</v>
      </c>
      <c r="AN147" t="s">
        <v>56</v>
      </c>
      <c r="AO147" t="s">
        <v>60</v>
      </c>
      <c r="AP147">
        <v>1</v>
      </c>
      <c r="AQ147" t="b">
        <v>1</v>
      </c>
      <c r="AR147" t="s">
        <v>23</v>
      </c>
      <c r="AS147">
        <v>50000</v>
      </c>
      <c r="AT147">
        <v>200</v>
      </c>
      <c r="AU147" t="s">
        <v>121</v>
      </c>
      <c r="AV147" t="b">
        <v>0</v>
      </c>
      <c r="AW147" t="b">
        <v>0</v>
      </c>
      <c r="AX147" t="b">
        <v>1</v>
      </c>
      <c r="AY147" t="b">
        <v>0</v>
      </c>
      <c r="BA147">
        <f>INDEX(Inp_CER_Bin_2eps3arms!$AN$2:$AN$176,MATCH(Table1[[#This Row],[ModelID]],Inp_CER_Bin_2eps3arms!$A$2:$A$176,0))</f>
        <v>0</v>
      </c>
      <c r="BC147" t="s">
        <v>620</v>
      </c>
      <c r="BD147" t="s">
        <v>630</v>
      </c>
      <c r="BE147" s="10">
        <f>Table1[[#This Row],[Global.Power]]</f>
        <v>0.93450880000000003</v>
      </c>
      <c r="BF147" s="10">
        <f>Table1[[#This Row],[Conjunctive.Power]]</f>
        <v>2.24689E-2</v>
      </c>
      <c r="BG147" s="10">
        <f>Table1[[#This Row],[Disjunctive.Power]]</f>
        <v>0.93373099999999998</v>
      </c>
      <c r="BH147" s="10">
        <f>Table1[[#This Row],[FWER]]</f>
        <v>1.9849999999999998E-3</v>
      </c>
      <c r="BI147" s="10">
        <f>_xlfn.NUMBERVALUE(MID(Table1[[#This Row],[CI_95perc_Global.Power]],2,FIND(",",Table1[[#This Row],[CI_95perc_Global.Power]])-2))</f>
        <v>0.93371999999999999</v>
      </c>
      <c r="BJ147" s="10">
        <f>_xlfn.NUMBERVALUE(MID(Table1[[#This Row],[CI_95perc_Global.Power]],FIND(",",Table1[[#This Row],[CI_95perc_Global.Power]])+1,LEN(Table1[[#This Row],[CI_95perc_Global.Power]])-FIND(",",Table1[[#This Row],[CI_95perc_Global.Power]])-1))</f>
        <v>0.93530000000000002</v>
      </c>
      <c r="BK147" s="10">
        <f>_xlfn.NUMBERVALUE(MID(Table1[[#This Row],[CI_95perc_Conjunctive.Power]],2,FIND(",",Table1[[#This Row],[CI_95perc_Conjunctive.Power]])-2))</f>
        <v>2.1579999999999998E-2</v>
      </c>
      <c r="BL147" s="10">
        <f>_xlfn.NUMBERVALUE(MID(Table1[[#This Row],[CI_95perc_Conjunctive.Power]],FIND(",",Table1[[#This Row],[CI_95perc_Conjunctive.Power]])+1,LEN(Table1[[#This Row],[CI_95perc_Conjunctive.Power]])-FIND(",",Table1[[#This Row],[CI_95perc_Conjunctive.Power]])-1))</f>
        <v>2.3359999999999999E-2</v>
      </c>
      <c r="BM147" s="10">
        <f>_xlfn.NUMBERVALUE(MID(Table1[[#This Row],[CI_95perc_Disjunctive.Power]],2,FIND(",",Table1[[#This Row],[CI_95perc_Disjunctive.Power]])-2))</f>
        <v>0.93291000000000002</v>
      </c>
      <c r="BN147" s="10">
        <f>_xlfn.NUMBERVALUE(MID(Table1[[#This Row],[CI_95perc_Disjunctive.Power]],FIND(",",Table1[[#This Row],[CI_95perc_Disjunctive.Power]])+1,LEN(Table1[[#This Row],[CI_95perc_Disjunctive.Power]])-FIND(",",Table1[[#This Row],[CI_95perc_Disjunctive.Power]])-1))</f>
        <v>0.93454999999999999</v>
      </c>
      <c r="BO147" s="10">
        <f>_xlfn.NUMBERVALUE(MID(Table1[[#This Row],[CI_95perc_FWER]],2,FIND(",",Table1[[#This Row],[CI_95perc_FWER]])-2))</f>
        <v>1.7799999999999999E-3</v>
      </c>
      <c r="BP147" s="10">
        <f>_xlfn.NUMBERVALUE(MID(Table1[[#This Row],[CI_95perc_FWER]],FIND(",",Table1[[#This Row],[CI_95perc_FWER]])+1,LEN(Table1[[#This Row],[CI_95perc_FWER]])-FIND(",",Table1[[#This Row],[CI_95perc_FWER]])-1))</f>
        <v>2.1900000000000001E-3</v>
      </c>
      <c r="BQ147" s="10" t="str">
        <f>_xlfn.CONCAT("(",TEXT(Table1[[#This Row],[LCL_Disj.Pow%]],"0.00%"), ", ",TEXT(Table1[[#This Row],[UCL_Disj.Pow%]],"0.00%"),")")</f>
        <v>(93.29%, 93.46%)</v>
      </c>
      <c r="BR147" s="10" t="str">
        <f>_xlfn.CONCAT("(",TEXT(Table1[[#This Row],[LCL_Conj.Pow%]],"0.00%"),", ",TEXT(Table1[[#This Row],[UCL_Conj.Pow%]],"0.00%"),")")</f>
        <v>(2.16%, 2.34%)</v>
      </c>
      <c r="BS147" s="10" t="str">
        <f>_xlfn.CONCAT("(",TEXT(Table1[[#This Row],[LCL_FWER%]],"0.00%"),", ",TEXT(Table1[[#This Row],[UCL_FWER%]],"0.00%"),")")</f>
        <v>(0.18%, 0.22%)</v>
      </c>
    </row>
    <row r="148" spans="1:71" x14ac:dyDescent="0.25">
      <c r="A148">
        <v>146</v>
      </c>
      <c r="B148" t="s">
        <v>947</v>
      </c>
      <c r="C148">
        <v>3749</v>
      </c>
      <c r="D148">
        <v>0.88849509999999998</v>
      </c>
      <c r="E148">
        <v>0.30050060000000001</v>
      </c>
      <c r="F148">
        <v>0.88849180000000005</v>
      </c>
      <c r="G148">
        <v>1.88796E-2</v>
      </c>
      <c r="H148" t="s">
        <v>948</v>
      </c>
      <c r="I148" t="s">
        <v>949</v>
      </c>
      <c r="J148" t="s">
        <v>950</v>
      </c>
      <c r="K148" t="s">
        <v>951</v>
      </c>
      <c r="L148" s="1">
        <v>1855370260</v>
      </c>
      <c r="M148" t="s">
        <v>952</v>
      </c>
      <c r="N148">
        <v>1.7635580366849899</v>
      </c>
      <c r="O148" t="s">
        <v>85</v>
      </c>
      <c r="P148" t="s">
        <v>41</v>
      </c>
      <c r="Q148">
        <v>500</v>
      </c>
      <c r="R148">
        <v>2.5000000000000001E-2</v>
      </c>
      <c r="S148" t="s">
        <v>654</v>
      </c>
      <c r="T148" t="s">
        <v>42</v>
      </c>
      <c r="U148" t="s">
        <v>64</v>
      </c>
      <c r="V148" t="s">
        <v>44</v>
      </c>
      <c r="W148">
        <v>5</v>
      </c>
      <c r="X148">
        <v>2</v>
      </c>
      <c r="Y148" t="s">
        <v>650</v>
      </c>
      <c r="Z148" t="s">
        <v>725</v>
      </c>
      <c r="AA148" t="s">
        <v>651</v>
      </c>
      <c r="AB148" t="s">
        <v>728</v>
      </c>
      <c r="AC148" t="s">
        <v>122</v>
      </c>
      <c r="AD148" t="s">
        <v>123</v>
      </c>
      <c r="AE148" t="s">
        <v>124</v>
      </c>
      <c r="AF148" t="s">
        <v>125</v>
      </c>
      <c r="AG148" t="s">
        <v>51</v>
      </c>
      <c r="AH148" t="s">
        <v>126</v>
      </c>
      <c r="AI148" t="s">
        <v>53</v>
      </c>
      <c r="AJ148" t="b">
        <v>1</v>
      </c>
      <c r="AK148" t="b">
        <v>1</v>
      </c>
      <c r="AL148">
        <v>1</v>
      </c>
      <c r="AM148">
        <v>1</v>
      </c>
      <c r="AN148" t="s">
        <v>56</v>
      </c>
      <c r="AO148" t="s">
        <v>57</v>
      </c>
      <c r="AP148">
        <v>0.5</v>
      </c>
      <c r="AQ148" t="b">
        <v>1</v>
      </c>
      <c r="AR148" t="s">
        <v>23</v>
      </c>
      <c r="AS148">
        <v>50000</v>
      </c>
      <c r="AT148">
        <v>200</v>
      </c>
      <c r="AU148" t="s">
        <v>121</v>
      </c>
      <c r="AV148" t="b">
        <v>0</v>
      </c>
      <c r="AW148" t="b">
        <v>0</v>
      </c>
      <c r="AX148" t="b">
        <v>1</v>
      </c>
      <c r="AY148" t="b">
        <v>0</v>
      </c>
      <c r="BA148">
        <f>INDEX(Inp_CER_Bin_2eps3arms!$AN$2:$AN$176,MATCH(Table1[[#This Row],[ModelID]],Inp_CER_Bin_2eps3arms!$A$2:$A$176,0))</f>
        <v>0</v>
      </c>
      <c r="BC148" t="s">
        <v>622</v>
      </c>
      <c r="BD148" t="s">
        <v>631</v>
      </c>
      <c r="BE148" s="10">
        <f>Table1[[#This Row],[Global.Power]]</f>
        <v>0.88849509999999998</v>
      </c>
      <c r="BF148" s="10">
        <f>Table1[[#This Row],[Conjunctive.Power]]</f>
        <v>0.30050060000000001</v>
      </c>
      <c r="BG148" s="10">
        <f>Table1[[#This Row],[Disjunctive.Power]]</f>
        <v>0.88849180000000005</v>
      </c>
      <c r="BH148" s="10">
        <f>Table1[[#This Row],[FWER]]</f>
        <v>1.88796E-2</v>
      </c>
      <c r="BI148" s="10">
        <f>_xlfn.NUMBERVALUE(MID(Table1[[#This Row],[CI_95perc_Global.Power]],2,FIND(",",Table1[[#This Row],[CI_95perc_Global.Power]])-2))</f>
        <v>0.88763000000000003</v>
      </c>
      <c r="BJ148" s="10">
        <f>_xlfn.NUMBERVALUE(MID(Table1[[#This Row],[CI_95perc_Global.Power]],FIND(",",Table1[[#This Row],[CI_95perc_Global.Power]])+1,LEN(Table1[[#This Row],[CI_95perc_Global.Power]])-FIND(",",Table1[[#This Row],[CI_95perc_Global.Power]])-1))</f>
        <v>0.88936000000000004</v>
      </c>
      <c r="BK148" s="10">
        <f>_xlfn.NUMBERVALUE(MID(Table1[[#This Row],[CI_95perc_Conjunctive.Power]],2,FIND(",",Table1[[#This Row],[CI_95perc_Conjunctive.Power]])-2))</f>
        <v>0.29905999999999999</v>
      </c>
      <c r="BL148" s="10">
        <f>_xlfn.NUMBERVALUE(MID(Table1[[#This Row],[CI_95perc_Conjunctive.Power]],FIND(",",Table1[[#This Row],[CI_95perc_Conjunctive.Power]])+1,LEN(Table1[[#This Row],[CI_95perc_Conjunctive.Power]])-FIND(",",Table1[[#This Row],[CI_95perc_Conjunctive.Power]])-1))</f>
        <v>0.30193999999999999</v>
      </c>
      <c r="BM148" s="10">
        <f>_xlfn.NUMBERVALUE(MID(Table1[[#This Row],[CI_95perc_Disjunctive.Power]],2,FIND(",",Table1[[#This Row],[CI_95perc_Disjunctive.Power]])-2))</f>
        <v>0.88761999999999996</v>
      </c>
      <c r="BN148" s="10">
        <f>_xlfn.NUMBERVALUE(MID(Table1[[#This Row],[CI_95perc_Disjunctive.Power]],FIND(",",Table1[[#This Row],[CI_95perc_Disjunctive.Power]])+1,LEN(Table1[[#This Row],[CI_95perc_Disjunctive.Power]])-FIND(",",Table1[[#This Row],[CI_95perc_Disjunctive.Power]])-1))</f>
        <v>0.88936000000000004</v>
      </c>
      <c r="BO148" s="10">
        <f>_xlfn.NUMBERVALUE(MID(Table1[[#This Row],[CI_95perc_FWER]],2,FIND(",",Table1[[#This Row],[CI_95perc_FWER]])-2))</f>
        <v>1.8530000000000001E-2</v>
      </c>
      <c r="BP148" s="10">
        <f>_xlfn.NUMBERVALUE(MID(Table1[[#This Row],[CI_95perc_FWER]],FIND(",",Table1[[#This Row],[CI_95perc_FWER]])+1,LEN(Table1[[#This Row],[CI_95perc_FWER]])-FIND(",",Table1[[#This Row],[CI_95perc_FWER]])-1))</f>
        <v>1.9230000000000001E-2</v>
      </c>
      <c r="BQ148" s="10" t="str">
        <f>_xlfn.CONCAT("(",TEXT(Table1[[#This Row],[LCL_Disj.Pow%]],"0.00%"), ", ",TEXT(Table1[[#This Row],[UCL_Disj.Pow%]],"0.00%"),")")</f>
        <v>(88.76%, 88.94%)</v>
      </c>
      <c r="BR148" s="10" t="str">
        <f>_xlfn.CONCAT("(",TEXT(Table1[[#This Row],[LCL_Conj.Pow%]],"0.00%"),", ",TEXT(Table1[[#This Row],[UCL_Conj.Pow%]],"0.00%"),")")</f>
        <v>(29.91%, 30.19%)</v>
      </c>
      <c r="BS148" s="10" t="str">
        <f>_xlfn.CONCAT("(",TEXT(Table1[[#This Row],[LCL_FWER%]],"0.00%"),", ",TEXT(Table1[[#This Row],[UCL_FWER%]],"0.00%"),")")</f>
        <v>(1.85%, 1.92%)</v>
      </c>
    </row>
    <row r="149" spans="1:71" x14ac:dyDescent="0.25">
      <c r="A149">
        <v>147</v>
      </c>
      <c r="B149" t="s">
        <v>953</v>
      </c>
      <c r="C149">
        <v>7208</v>
      </c>
      <c r="D149">
        <v>0.91510550000000002</v>
      </c>
      <c r="E149">
        <v>0.30296309999999999</v>
      </c>
      <c r="F149">
        <v>0.91510550000000002</v>
      </c>
      <c r="G149">
        <v>0</v>
      </c>
      <c r="H149" t="s">
        <v>954</v>
      </c>
      <c r="I149" t="s">
        <v>955</v>
      </c>
      <c r="J149" t="s">
        <v>954</v>
      </c>
      <c r="K149" t="s">
        <v>83</v>
      </c>
      <c r="L149" s="1">
        <v>2211069466</v>
      </c>
      <c r="M149" t="s">
        <v>956</v>
      </c>
      <c r="N149">
        <v>1.82446675750944</v>
      </c>
      <c r="O149" t="s">
        <v>85</v>
      </c>
      <c r="P149" t="s">
        <v>41</v>
      </c>
      <c r="Q149">
        <v>500</v>
      </c>
      <c r="R149">
        <v>2.5000000000000001E-2</v>
      </c>
      <c r="S149" t="s">
        <v>654</v>
      </c>
      <c r="T149" t="s">
        <v>42</v>
      </c>
      <c r="U149" t="s">
        <v>64</v>
      </c>
      <c r="V149" t="s">
        <v>44</v>
      </c>
      <c r="W149">
        <v>5</v>
      </c>
      <c r="X149">
        <v>2</v>
      </c>
      <c r="Y149" t="s">
        <v>650</v>
      </c>
      <c r="Z149" t="s">
        <v>726</v>
      </c>
      <c r="AA149" t="s">
        <v>651</v>
      </c>
      <c r="AB149" t="s">
        <v>729</v>
      </c>
      <c r="AC149" t="s">
        <v>122</v>
      </c>
      <c r="AD149" t="s">
        <v>123</v>
      </c>
      <c r="AE149" t="s">
        <v>124</v>
      </c>
      <c r="AF149" t="s">
        <v>125</v>
      </c>
      <c r="AG149" t="s">
        <v>51</v>
      </c>
      <c r="AH149" t="s">
        <v>126</v>
      </c>
      <c r="AI149" t="s">
        <v>53</v>
      </c>
      <c r="AJ149" t="b">
        <v>1</v>
      </c>
      <c r="AK149" t="b">
        <v>1</v>
      </c>
      <c r="AL149">
        <v>1</v>
      </c>
      <c r="AM149">
        <v>1</v>
      </c>
      <c r="AN149" t="s">
        <v>56</v>
      </c>
      <c r="AO149" t="s">
        <v>57</v>
      </c>
      <c r="AP149">
        <v>0.25</v>
      </c>
      <c r="AQ149" t="b">
        <v>1</v>
      </c>
      <c r="AR149" t="s">
        <v>23</v>
      </c>
      <c r="AS149">
        <v>50000</v>
      </c>
      <c r="AT149">
        <v>200</v>
      </c>
      <c r="AU149" t="s">
        <v>121</v>
      </c>
      <c r="AV149" t="b">
        <v>0</v>
      </c>
      <c r="AW149" t="b">
        <v>0</v>
      </c>
      <c r="AX149" t="b">
        <v>1</v>
      </c>
      <c r="AY149" t="b">
        <v>0</v>
      </c>
      <c r="BA149">
        <f>INDEX(Inp_CER_Bin_2eps3arms!$AN$2:$AN$176,MATCH(Table1[[#This Row],[ModelID]],Inp_CER_Bin_2eps3arms!$A$2:$A$176,0))</f>
        <v>0</v>
      </c>
      <c r="BC149" t="s">
        <v>621</v>
      </c>
      <c r="BD149" t="s">
        <v>632</v>
      </c>
      <c r="BE149" s="10">
        <f>Table1[[#This Row],[Global.Power]]</f>
        <v>0.91510550000000002</v>
      </c>
      <c r="BF149" s="10">
        <f>Table1[[#This Row],[Conjunctive.Power]]</f>
        <v>0.30296309999999999</v>
      </c>
      <c r="BG149" s="10">
        <f>Table1[[#This Row],[Disjunctive.Power]]</f>
        <v>0.91510550000000002</v>
      </c>
      <c r="BH149" s="10">
        <f>Table1[[#This Row],[FWER]]</f>
        <v>0</v>
      </c>
      <c r="BI149" s="10">
        <f>_xlfn.NUMBERVALUE(MID(Table1[[#This Row],[CI_95perc_Global.Power]],2,FIND(",",Table1[[#This Row],[CI_95perc_Global.Power]])-2))</f>
        <v>0.91434000000000004</v>
      </c>
      <c r="BJ149" s="10">
        <f>_xlfn.NUMBERVALUE(MID(Table1[[#This Row],[CI_95perc_Global.Power]],FIND(",",Table1[[#This Row],[CI_95perc_Global.Power]])+1,LEN(Table1[[#This Row],[CI_95perc_Global.Power]])-FIND(",",Table1[[#This Row],[CI_95perc_Global.Power]])-1))</f>
        <v>0.91586999999999996</v>
      </c>
      <c r="BK149" s="10">
        <f>_xlfn.NUMBERVALUE(MID(Table1[[#This Row],[CI_95perc_Conjunctive.Power]],2,FIND(",",Table1[[#This Row],[CI_95perc_Conjunctive.Power]])-2))</f>
        <v>0.30131000000000002</v>
      </c>
      <c r="BL149" s="10">
        <f>_xlfn.NUMBERVALUE(MID(Table1[[#This Row],[CI_95perc_Conjunctive.Power]],FIND(",",Table1[[#This Row],[CI_95perc_Conjunctive.Power]])+1,LEN(Table1[[#This Row],[CI_95perc_Conjunctive.Power]])-FIND(",",Table1[[#This Row],[CI_95perc_Conjunctive.Power]])-1))</f>
        <v>0.30462</v>
      </c>
      <c r="BM149" s="10">
        <f>_xlfn.NUMBERVALUE(MID(Table1[[#This Row],[CI_95perc_Disjunctive.Power]],2,FIND(",",Table1[[#This Row],[CI_95perc_Disjunctive.Power]])-2))</f>
        <v>0.91434000000000004</v>
      </c>
      <c r="BN149" s="10">
        <f>_xlfn.NUMBERVALUE(MID(Table1[[#This Row],[CI_95perc_Disjunctive.Power]],FIND(",",Table1[[#This Row],[CI_95perc_Disjunctive.Power]])+1,LEN(Table1[[#This Row],[CI_95perc_Disjunctive.Power]])-FIND(",",Table1[[#This Row],[CI_95perc_Disjunctive.Power]])-1))</f>
        <v>0.91586999999999996</v>
      </c>
      <c r="BO149" s="10">
        <f>_xlfn.NUMBERVALUE(MID(Table1[[#This Row],[CI_95perc_FWER]],2,FIND(",",Table1[[#This Row],[CI_95perc_FWER]])-2))</f>
        <v>0</v>
      </c>
      <c r="BP149" s="10">
        <f>_xlfn.NUMBERVALUE(MID(Table1[[#This Row],[CI_95perc_FWER]],FIND(",",Table1[[#This Row],[CI_95perc_FWER]])+1,LEN(Table1[[#This Row],[CI_95perc_FWER]])-FIND(",",Table1[[#This Row],[CI_95perc_FWER]])-1))</f>
        <v>0</v>
      </c>
      <c r="BQ149" s="10" t="str">
        <f>_xlfn.CONCAT("(",TEXT(Table1[[#This Row],[LCL_Disj.Pow%]],"0.00%"), ", ",TEXT(Table1[[#This Row],[UCL_Disj.Pow%]],"0.00%"),")")</f>
        <v>(91.43%, 91.59%)</v>
      </c>
      <c r="BR149" s="10" t="str">
        <f>_xlfn.CONCAT("(",TEXT(Table1[[#This Row],[LCL_Conj.Pow%]],"0.00%"),", ",TEXT(Table1[[#This Row],[UCL_Conj.Pow%]],"0.00%"),")")</f>
        <v>(30.13%, 30.46%)</v>
      </c>
      <c r="BS149" s="10" t="str">
        <f>_xlfn.CONCAT("(",TEXT(Table1[[#This Row],[LCL_FWER%]],"0.00%"),", ",TEXT(Table1[[#This Row],[UCL_FWER%]],"0.00%"),")")</f>
        <v>(0.00%, 0.00%)</v>
      </c>
    </row>
    <row r="150" spans="1:71" x14ac:dyDescent="0.25">
      <c r="A150">
        <v>148</v>
      </c>
      <c r="B150" t="s">
        <v>168</v>
      </c>
      <c r="C150">
        <v>9046</v>
      </c>
      <c r="D150">
        <v>0.999977701412753</v>
      </c>
      <c r="E150">
        <v>0.22802596410843801</v>
      </c>
      <c r="F150">
        <v>0.999977701412753</v>
      </c>
      <c r="G150">
        <v>1.15781596029019E-2</v>
      </c>
      <c r="H150" t="s">
        <v>975</v>
      </c>
      <c r="I150" t="s">
        <v>976</v>
      </c>
      <c r="J150" t="s">
        <v>975</v>
      </c>
      <c r="K150" t="s">
        <v>977</v>
      </c>
      <c r="L150" s="1">
        <v>61856910</v>
      </c>
      <c r="M150" t="s">
        <v>978</v>
      </c>
      <c r="N150">
        <v>0.405889068113433</v>
      </c>
      <c r="O150" t="s">
        <v>85</v>
      </c>
      <c r="P150" t="s">
        <v>41</v>
      </c>
      <c r="Q150" s="2">
        <v>2000</v>
      </c>
      <c r="R150">
        <v>2.5000000000000001E-2</v>
      </c>
      <c r="S150" t="s">
        <v>42</v>
      </c>
      <c r="T150" t="s">
        <v>42</v>
      </c>
      <c r="U150" t="s">
        <v>43</v>
      </c>
      <c r="V150" s="2" t="s">
        <v>44</v>
      </c>
      <c r="W150">
        <v>5</v>
      </c>
      <c r="X150">
        <v>2</v>
      </c>
      <c r="Y150" s="2" t="s">
        <v>118</v>
      </c>
      <c r="Z150" s="2" t="s">
        <v>42</v>
      </c>
      <c r="AA150" s="2" t="s">
        <v>42</v>
      </c>
      <c r="AB150" s="2" t="s">
        <v>128</v>
      </c>
      <c r="AC150" t="s">
        <v>122</v>
      </c>
      <c r="AD150" t="s">
        <v>123</v>
      </c>
      <c r="AE150" t="s">
        <v>124</v>
      </c>
      <c r="AF150" t="s">
        <v>125</v>
      </c>
      <c r="AG150" t="s">
        <v>51</v>
      </c>
      <c r="AH150" t="s">
        <v>126</v>
      </c>
      <c r="AI150" t="s">
        <v>53</v>
      </c>
      <c r="AJ150" t="b">
        <v>1</v>
      </c>
      <c r="AK150" t="b">
        <v>1</v>
      </c>
      <c r="AL150">
        <v>1</v>
      </c>
      <c r="AM150">
        <v>1</v>
      </c>
      <c r="AN150" t="s">
        <v>56</v>
      </c>
      <c r="AO150" t="s">
        <v>60</v>
      </c>
      <c r="AP150">
        <v>1</v>
      </c>
      <c r="AQ150" t="b">
        <v>0</v>
      </c>
      <c r="AR150" t="s">
        <v>23</v>
      </c>
      <c r="AS150">
        <v>20000</v>
      </c>
      <c r="AT150">
        <v>500</v>
      </c>
      <c r="AU150" t="s">
        <v>121</v>
      </c>
      <c r="AV150" t="b">
        <v>0</v>
      </c>
      <c r="AW150" t="b">
        <v>0</v>
      </c>
      <c r="AX150" t="b">
        <v>1</v>
      </c>
      <c r="AY150" t="b">
        <v>0</v>
      </c>
      <c r="AZ150">
        <v>47</v>
      </c>
      <c r="BA150">
        <f>INDEX(Inp_CER_Bin_2eps3arms!$AN$2:$AN$176,MATCH(Table1[[#This Row],[ModelID]],Inp_CER_Bin_2eps3arms!$A$2:$A$176,0))</f>
        <v>0</v>
      </c>
      <c r="BE150" s="10">
        <f>Table1[[#This Row],[Global.Power]]</f>
        <v>0.999977701412753</v>
      </c>
      <c r="BF150" s="10">
        <f>Table1[[#This Row],[Conjunctive.Power]]</f>
        <v>0.22802596410843801</v>
      </c>
      <c r="BG150" s="10">
        <f>Table1[[#This Row],[Disjunctive.Power]]</f>
        <v>0.999977701412753</v>
      </c>
      <c r="BH150" s="10">
        <f>Table1[[#This Row],[FWER]]</f>
        <v>1.15781596029019E-2</v>
      </c>
      <c r="BI150" s="10">
        <f>_xlfn.NUMBERVALUE(MID(Table1[[#This Row],[CI_95perc_Global.Power]],2,FIND(",",Table1[[#This Row],[CI_95perc_Global.Power]])-2))</f>
        <v>0.99997000000000003</v>
      </c>
      <c r="BJ150" s="10">
        <f>_xlfn.NUMBERVALUE(MID(Table1[[#This Row],[CI_95perc_Global.Power]],FIND(",",Table1[[#This Row],[CI_95perc_Global.Power]])+1,LEN(Table1[[#This Row],[CI_95perc_Global.Power]])-FIND(",",Table1[[#This Row],[CI_95perc_Global.Power]])-1))</f>
        <v>0.99997999999999998</v>
      </c>
      <c r="BK150" s="10">
        <f>_xlfn.NUMBERVALUE(MID(Table1[[#This Row],[CI_95perc_Conjunctive.Power]],2,FIND(",",Table1[[#This Row],[CI_95perc_Conjunctive.Power]])-2))</f>
        <v>0.22084000000000001</v>
      </c>
      <c r="BL150" s="10">
        <f>_xlfn.NUMBERVALUE(MID(Table1[[#This Row],[CI_95perc_Conjunctive.Power]],FIND(",",Table1[[#This Row],[CI_95perc_Conjunctive.Power]])+1,LEN(Table1[[#This Row],[CI_95perc_Conjunctive.Power]])-FIND(",",Table1[[#This Row],[CI_95perc_Conjunctive.Power]])-1))</f>
        <v>0.23521</v>
      </c>
      <c r="BM150" s="10">
        <f>_xlfn.NUMBERVALUE(MID(Table1[[#This Row],[CI_95perc_Disjunctive.Power]],2,FIND(",",Table1[[#This Row],[CI_95perc_Disjunctive.Power]])-2))</f>
        <v>0.99997000000000003</v>
      </c>
      <c r="BN150" s="10">
        <f>_xlfn.NUMBERVALUE(MID(Table1[[#This Row],[CI_95perc_Disjunctive.Power]],FIND(",",Table1[[#This Row],[CI_95perc_Disjunctive.Power]])+1,LEN(Table1[[#This Row],[CI_95perc_Disjunctive.Power]])-FIND(",",Table1[[#This Row],[CI_95perc_Disjunctive.Power]])-1))</f>
        <v>0.99997999999999998</v>
      </c>
      <c r="BO150" s="10">
        <f>_xlfn.NUMBERVALUE(MID(Table1[[#This Row],[CI_95perc_FWER]],2,FIND(",",Table1[[#This Row],[CI_95perc_FWER]])-2))</f>
        <v>1.085E-2</v>
      </c>
      <c r="BP150" s="10">
        <f>_xlfn.NUMBERVALUE(MID(Table1[[#This Row],[CI_95perc_FWER]],FIND(",",Table1[[#This Row],[CI_95perc_FWER]])+1,LEN(Table1[[#This Row],[CI_95perc_FWER]])-FIND(",",Table1[[#This Row],[CI_95perc_FWER]])-1))</f>
        <v>1.23E-2</v>
      </c>
      <c r="BQ150" s="10" t="str">
        <f>_xlfn.CONCAT("(",TEXT(Table1[[#This Row],[LCL_Disj.Pow%]],"0.00%"), ", ",TEXT(Table1[[#This Row],[UCL_Disj.Pow%]],"0.00%"),")")</f>
        <v>(100.00%, 100.00%)</v>
      </c>
      <c r="BR150" s="10" t="str">
        <f>_xlfn.CONCAT("(",TEXT(Table1[[#This Row],[LCL_Conj.Pow%]],"0.00%"),", ",TEXT(Table1[[#This Row],[UCL_Conj.Pow%]],"0.00%"),")")</f>
        <v>(22.08%, 23.52%)</v>
      </c>
      <c r="BS150" s="10" t="str">
        <f>_xlfn.CONCAT("(",TEXT(Table1[[#This Row],[LCL_FWER%]],"0.00%"),", ",TEXT(Table1[[#This Row],[UCL_FWER%]],"0.00%"),")")</f>
        <v>(1.09%, 1.23%)</v>
      </c>
    </row>
    <row r="151" spans="1:71" x14ac:dyDescent="0.25">
      <c r="A151">
        <v>149</v>
      </c>
      <c r="B151" t="s">
        <v>160</v>
      </c>
      <c r="C151">
        <v>4028</v>
      </c>
      <c r="D151">
        <v>0.99999501161090598</v>
      </c>
      <c r="E151">
        <v>0.211232476133138</v>
      </c>
      <c r="F151">
        <v>0.99999501161090598</v>
      </c>
      <c r="G151">
        <v>1.20471316762707E-2</v>
      </c>
      <c r="H151" t="s">
        <v>320</v>
      </c>
      <c r="I151" t="s">
        <v>979</v>
      </c>
      <c r="J151" t="s">
        <v>320</v>
      </c>
      <c r="K151" t="s">
        <v>980</v>
      </c>
      <c r="L151" s="1">
        <v>64995128</v>
      </c>
      <c r="M151" t="s">
        <v>981</v>
      </c>
      <c r="N151">
        <v>0.37037317918406598</v>
      </c>
      <c r="O151" t="s">
        <v>85</v>
      </c>
      <c r="P151" t="s">
        <v>41</v>
      </c>
      <c r="Q151" s="2">
        <v>2000</v>
      </c>
      <c r="R151">
        <v>2.5000000000000001E-2</v>
      </c>
      <c r="S151" t="s">
        <v>42</v>
      </c>
      <c r="T151" t="s">
        <v>42</v>
      </c>
      <c r="U151" t="s">
        <v>43</v>
      </c>
      <c r="V151" s="2" t="s">
        <v>44</v>
      </c>
      <c r="W151">
        <v>5</v>
      </c>
      <c r="X151">
        <v>2</v>
      </c>
      <c r="Y151" s="2" t="s">
        <v>118</v>
      </c>
      <c r="Z151" s="2" t="s">
        <v>42</v>
      </c>
      <c r="AA151" s="2" t="s">
        <v>42</v>
      </c>
      <c r="AB151" s="2" t="s">
        <v>129</v>
      </c>
      <c r="AC151" t="s">
        <v>122</v>
      </c>
      <c r="AD151" t="s">
        <v>123</v>
      </c>
      <c r="AE151" t="s">
        <v>124</v>
      </c>
      <c r="AF151" t="s">
        <v>125</v>
      </c>
      <c r="AG151" t="s">
        <v>51</v>
      </c>
      <c r="AH151" t="s">
        <v>126</v>
      </c>
      <c r="AI151" t="s">
        <v>53</v>
      </c>
      <c r="AJ151" t="b">
        <v>1</v>
      </c>
      <c r="AK151" t="b">
        <v>1</v>
      </c>
      <c r="AL151">
        <v>1</v>
      </c>
      <c r="AM151">
        <v>1</v>
      </c>
      <c r="AN151" t="s">
        <v>56</v>
      </c>
      <c r="AO151" t="s">
        <v>60</v>
      </c>
      <c r="AP151">
        <v>1</v>
      </c>
      <c r="AQ151" t="b">
        <v>0</v>
      </c>
      <c r="AR151" t="s">
        <v>23</v>
      </c>
      <c r="AS151">
        <v>20000</v>
      </c>
      <c r="AT151">
        <v>500</v>
      </c>
      <c r="AU151" t="s">
        <v>121</v>
      </c>
      <c r="AV151" t="b">
        <v>0</v>
      </c>
      <c r="AW151" t="b">
        <v>0</v>
      </c>
      <c r="AX151" t="b">
        <v>1</v>
      </c>
      <c r="AY151" t="b">
        <v>0</v>
      </c>
      <c r="AZ151">
        <v>57</v>
      </c>
      <c r="BA151">
        <f>INDEX(Inp_CER_Bin_2eps3arms!$AN$2:$AN$176,MATCH(Table1[[#This Row],[ModelID]],Inp_CER_Bin_2eps3arms!$A$2:$A$176,0))</f>
        <v>0</v>
      </c>
      <c r="BE151" s="10">
        <f>Table1[[#This Row],[Global.Power]]</f>
        <v>0.99999501161090598</v>
      </c>
      <c r="BF151" s="10">
        <f>Table1[[#This Row],[Conjunctive.Power]]</f>
        <v>0.211232476133138</v>
      </c>
      <c r="BG151" s="10">
        <f>Table1[[#This Row],[Disjunctive.Power]]</f>
        <v>0.99999501161090598</v>
      </c>
      <c r="BH151" s="10">
        <f>Table1[[#This Row],[FWER]]</f>
        <v>1.20471316762707E-2</v>
      </c>
      <c r="BI151" s="10">
        <f>_xlfn.NUMBERVALUE(MID(Table1[[#This Row],[CI_95perc_Global.Power]],2,FIND(",",Table1[[#This Row],[CI_95perc_Global.Power]])-2))</f>
        <v>0.99999000000000005</v>
      </c>
      <c r="BJ151" s="10">
        <f>_xlfn.NUMBERVALUE(MID(Table1[[#This Row],[CI_95perc_Global.Power]],FIND(",",Table1[[#This Row],[CI_95perc_Global.Power]])+1,LEN(Table1[[#This Row],[CI_95perc_Global.Power]])-FIND(",",Table1[[#This Row],[CI_95perc_Global.Power]])-1))</f>
        <v>1</v>
      </c>
      <c r="BK151" s="10">
        <f>_xlfn.NUMBERVALUE(MID(Table1[[#This Row],[CI_95perc_Conjunctive.Power]],2,FIND(",",Table1[[#This Row],[CI_95perc_Conjunctive.Power]])-2))</f>
        <v>0.20380999999999999</v>
      </c>
      <c r="BL151" s="10">
        <f>_xlfn.NUMBERVALUE(MID(Table1[[#This Row],[CI_95perc_Conjunctive.Power]],FIND(",",Table1[[#This Row],[CI_95perc_Conjunctive.Power]])+1,LEN(Table1[[#This Row],[CI_95perc_Conjunctive.Power]])-FIND(",",Table1[[#This Row],[CI_95perc_Conjunctive.Power]])-1))</f>
        <v>0.21865000000000001</v>
      </c>
      <c r="BM151" s="10">
        <f>_xlfn.NUMBERVALUE(MID(Table1[[#This Row],[CI_95perc_Disjunctive.Power]],2,FIND(",",Table1[[#This Row],[CI_95perc_Disjunctive.Power]])-2))</f>
        <v>0.99999000000000005</v>
      </c>
      <c r="BN151" s="10">
        <f>_xlfn.NUMBERVALUE(MID(Table1[[#This Row],[CI_95perc_Disjunctive.Power]],FIND(",",Table1[[#This Row],[CI_95perc_Disjunctive.Power]])+1,LEN(Table1[[#This Row],[CI_95perc_Disjunctive.Power]])-FIND(",",Table1[[#This Row],[CI_95perc_Disjunctive.Power]])-1))</f>
        <v>1</v>
      </c>
      <c r="BO151" s="10">
        <f>_xlfn.NUMBERVALUE(MID(Table1[[#This Row],[CI_95perc_FWER]],2,FIND(",",Table1[[#This Row],[CI_95perc_FWER]])-2))</f>
        <v>1.12E-2</v>
      </c>
      <c r="BP151" s="10">
        <f>_xlfn.NUMBERVALUE(MID(Table1[[#This Row],[CI_95perc_FWER]],FIND(",",Table1[[#This Row],[CI_95perc_FWER]])+1,LEN(Table1[[#This Row],[CI_95perc_FWER]])-FIND(",",Table1[[#This Row],[CI_95perc_FWER]])-1))</f>
        <v>1.289E-2</v>
      </c>
      <c r="BQ151" s="10" t="str">
        <f>_xlfn.CONCAT("(",TEXT(Table1[[#This Row],[LCL_Disj.Pow%]],"0.00%"), ", ",TEXT(Table1[[#This Row],[UCL_Disj.Pow%]],"0.00%"),")")</f>
        <v>(100.00%, 100.00%)</v>
      </c>
      <c r="BR151" s="10" t="str">
        <f>_xlfn.CONCAT("(",TEXT(Table1[[#This Row],[LCL_Conj.Pow%]],"0.00%"),", ",TEXT(Table1[[#This Row],[UCL_Conj.Pow%]],"0.00%"),")")</f>
        <v>(20.38%, 21.87%)</v>
      </c>
      <c r="BS151" s="10" t="str">
        <f>_xlfn.CONCAT("(",TEXT(Table1[[#This Row],[LCL_FWER%]],"0.00%"),", ",TEXT(Table1[[#This Row],[UCL_FWER%]],"0.00%"),")")</f>
        <v>(1.12%, 1.29%)</v>
      </c>
    </row>
    <row r="152" spans="1:71" x14ac:dyDescent="0.25">
      <c r="A152">
        <v>150</v>
      </c>
      <c r="B152" t="s">
        <v>148</v>
      </c>
      <c r="C152">
        <v>7431</v>
      </c>
      <c r="D152">
        <v>0.99999779998166705</v>
      </c>
      <c r="E152">
        <v>0.24191034925291</v>
      </c>
      <c r="F152">
        <v>0.99999779998166705</v>
      </c>
      <c r="G152">
        <v>0</v>
      </c>
      <c r="H152" t="s">
        <v>316</v>
      </c>
      <c r="I152" t="s">
        <v>982</v>
      </c>
      <c r="J152" t="s">
        <v>316</v>
      </c>
      <c r="K152" t="s">
        <v>83</v>
      </c>
      <c r="L152" s="1">
        <v>66914218</v>
      </c>
      <c r="M152" t="s">
        <v>983</v>
      </c>
      <c r="N152">
        <v>0.27794044110510102</v>
      </c>
      <c r="O152" t="s">
        <v>85</v>
      </c>
      <c r="P152" t="s">
        <v>41</v>
      </c>
      <c r="Q152" s="2">
        <v>2000</v>
      </c>
      <c r="R152">
        <v>2.5000000000000001E-2</v>
      </c>
      <c r="S152" t="s">
        <v>42</v>
      </c>
      <c r="T152" t="s">
        <v>42</v>
      </c>
      <c r="U152" t="s">
        <v>43</v>
      </c>
      <c r="V152" s="2" t="s">
        <v>44</v>
      </c>
      <c r="W152">
        <v>5</v>
      </c>
      <c r="X152">
        <v>2</v>
      </c>
      <c r="Y152" s="2" t="s">
        <v>118</v>
      </c>
      <c r="Z152" s="2" t="s">
        <v>42</v>
      </c>
      <c r="AA152" s="2" t="s">
        <v>42</v>
      </c>
      <c r="AB152" s="2" t="s">
        <v>130</v>
      </c>
      <c r="AC152" t="s">
        <v>122</v>
      </c>
      <c r="AD152" t="s">
        <v>123</v>
      </c>
      <c r="AE152" t="s">
        <v>124</v>
      </c>
      <c r="AF152" t="s">
        <v>125</v>
      </c>
      <c r="AG152" t="s">
        <v>51</v>
      </c>
      <c r="AH152" t="s">
        <v>126</v>
      </c>
      <c r="AI152" t="s">
        <v>53</v>
      </c>
      <c r="AJ152" t="b">
        <v>1</v>
      </c>
      <c r="AK152" t="b">
        <v>1</v>
      </c>
      <c r="AL152">
        <v>1</v>
      </c>
      <c r="AM152">
        <v>1</v>
      </c>
      <c r="AN152" t="s">
        <v>56</v>
      </c>
      <c r="AO152" t="s">
        <v>60</v>
      </c>
      <c r="AP152">
        <v>1</v>
      </c>
      <c r="AQ152" t="b">
        <v>0</v>
      </c>
      <c r="AR152" t="s">
        <v>23</v>
      </c>
      <c r="AS152">
        <v>20000</v>
      </c>
      <c r="AT152">
        <v>500</v>
      </c>
      <c r="AU152" t="s">
        <v>121</v>
      </c>
      <c r="AV152" t="b">
        <v>0</v>
      </c>
      <c r="AW152" t="b">
        <v>0</v>
      </c>
      <c r="AX152" t="b">
        <v>1</v>
      </c>
      <c r="AY152" t="b">
        <v>0</v>
      </c>
      <c r="AZ152">
        <v>67</v>
      </c>
      <c r="BA152">
        <f>INDEX(Inp_CER_Bin_2eps3arms!$AN$2:$AN$176,MATCH(Table1[[#This Row],[ModelID]],Inp_CER_Bin_2eps3arms!$A$2:$A$176,0))</f>
        <v>0</v>
      </c>
      <c r="BE152" s="10">
        <f>Table1[[#This Row],[Global.Power]]</f>
        <v>0.99999779998166705</v>
      </c>
      <c r="BF152" s="10">
        <f>Table1[[#This Row],[Conjunctive.Power]]</f>
        <v>0.24191034925291</v>
      </c>
      <c r="BG152" s="10">
        <f>Table1[[#This Row],[Disjunctive.Power]]</f>
        <v>0.99999779998166705</v>
      </c>
      <c r="BH152" s="10">
        <f>Table1[[#This Row],[FWER]]</f>
        <v>0</v>
      </c>
      <c r="BI152" s="10">
        <f>_xlfn.NUMBERVALUE(MID(Table1[[#This Row],[CI_95perc_Global.Power]],2,FIND(",",Table1[[#This Row],[CI_95perc_Global.Power]])-2))</f>
        <v>1</v>
      </c>
      <c r="BJ152" s="10">
        <f>_xlfn.NUMBERVALUE(MID(Table1[[#This Row],[CI_95perc_Global.Power]],FIND(",",Table1[[#This Row],[CI_95perc_Global.Power]])+1,LEN(Table1[[#This Row],[CI_95perc_Global.Power]])-FIND(",",Table1[[#This Row],[CI_95perc_Global.Power]])-1))</f>
        <v>1</v>
      </c>
      <c r="BK152" s="10">
        <f>_xlfn.NUMBERVALUE(MID(Table1[[#This Row],[CI_95perc_Conjunctive.Power]],2,FIND(",",Table1[[#This Row],[CI_95perc_Conjunctive.Power]])-2))</f>
        <v>0.23386999999999999</v>
      </c>
      <c r="BL152" s="10">
        <f>_xlfn.NUMBERVALUE(MID(Table1[[#This Row],[CI_95perc_Conjunctive.Power]],FIND(",",Table1[[#This Row],[CI_95perc_Conjunctive.Power]])+1,LEN(Table1[[#This Row],[CI_95perc_Conjunctive.Power]])-FIND(",",Table1[[#This Row],[CI_95perc_Conjunctive.Power]])-1))</f>
        <v>0.24995000000000001</v>
      </c>
      <c r="BM152" s="10">
        <f>_xlfn.NUMBERVALUE(MID(Table1[[#This Row],[CI_95perc_Disjunctive.Power]],2,FIND(",",Table1[[#This Row],[CI_95perc_Disjunctive.Power]])-2))</f>
        <v>1</v>
      </c>
      <c r="BN152" s="10">
        <f>_xlfn.NUMBERVALUE(MID(Table1[[#This Row],[CI_95perc_Disjunctive.Power]],FIND(",",Table1[[#This Row],[CI_95perc_Disjunctive.Power]])+1,LEN(Table1[[#This Row],[CI_95perc_Disjunctive.Power]])-FIND(",",Table1[[#This Row],[CI_95perc_Disjunctive.Power]])-1))</f>
        <v>1</v>
      </c>
      <c r="BO152" s="10">
        <f>_xlfn.NUMBERVALUE(MID(Table1[[#This Row],[CI_95perc_FWER]],2,FIND(",",Table1[[#This Row],[CI_95perc_FWER]])-2))</f>
        <v>0</v>
      </c>
      <c r="BP152" s="10">
        <f>_xlfn.NUMBERVALUE(MID(Table1[[#This Row],[CI_95perc_FWER]],FIND(",",Table1[[#This Row],[CI_95perc_FWER]])+1,LEN(Table1[[#This Row],[CI_95perc_FWER]])-FIND(",",Table1[[#This Row],[CI_95perc_FWER]])-1))</f>
        <v>0</v>
      </c>
      <c r="BQ152" s="10" t="str">
        <f>_xlfn.CONCAT("(",TEXT(Table1[[#This Row],[LCL_Disj.Pow%]],"0.00%"), ", ",TEXT(Table1[[#This Row],[UCL_Disj.Pow%]],"0.00%"),")")</f>
        <v>(100.00%, 100.00%)</v>
      </c>
      <c r="BR152" s="10" t="str">
        <f>_xlfn.CONCAT("(",TEXT(Table1[[#This Row],[LCL_Conj.Pow%]],"0.00%"),", ",TEXT(Table1[[#This Row],[UCL_Conj.Pow%]],"0.00%"),")")</f>
        <v>(23.39%, 25.00%)</v>
      </c>
      <c r="BS152" s="10" t="str">
        <f>_xlfn.CONCAT("(",TEXT(Table1[[#This Row],[LCL_FWER%]],"0.00%"),", ",TEXT(Table1[[#This Row],[UCL_FWER%]],"0.00%"),")")</f>
        <v>(0.00%, 0.00%)</v>
      </c>
    </row>
    <row r="153" spans="1:71" x14ac:dyDescent="0.25">
      <c r="A153">
        <v>151</v>
      </c>
      <c r="B153" t="s">
        <v>984</v>
      </c>
      <c r="C153">
        <v>7441</v>
      </c>
      <c r="D153">
        <v>0.95096163860440897</v>
      </c>
      <c r="E153">
        <v>3.3558988601515901E-3</v>
      </c>
      <c r="F153">
        <v>0.95054573858705105</v>
      </c>
      <c r="G153">
        <v>1.0135971764161299E-3</v>
      </c>
      <c r="H153" t="s">
        <v>985</v>
      </c>
      <c r="I153" t="s">
        <v>986</v>
      </c>
      <c r="J153" t="s">
        <v>987</v>
      </c>
      <c r="K153" t="s">
        <v>988</v>
      </c>
      <c r="L153" s="1">
        <v>50115923</v>
      </c>
      <c r="M153" t="s">
        <v>989</v>
      </c>
      <c r="N153">
        <v>0.54163080718782197</v>
      </c>
      <c r="O153" t="s">
        <v>85</v>
      </c>
      <c r="P153" t="s">
        <v>41</v>
      </c>
      <c r="Q153">
        <v>800</v>
      </c>
      <c r="R153">
        <v>2.5000000000000001E-2</v>
      </c>
      <c r="S153" t="s">
        <v>42</v>
      </c>
      <c r="T153" t="s">
        <v>42</v>
      </c>
      <c r="U153" t="s">
        <v>43</v>
      </c>
      <c r="V153" t="s">
        <v>44</v>
      </c>
      <c r="W153">
        <v>5</v>
      </c>
      <c r="X153">
        <v>2</v>
      </c>
      <c r="Y153" t="s">
        <v>118</v>
      </c>
      <c r="Z153" t="s">
        <v>42</v>
      </c>
      <c r="AA153" t="s">
        <v>42</v>
      </c>
      <c r="AB153" t="s">
        <v>128</v>
      </c>
      <c r="AC153" t="s">
        <v>122</v>
      </c>
      <c r="AD153" t="s">
        <v>123</v>
      </c>
      <c r="AE153" t="s">
        <v>124</v>
      </c>
      <c r="AF153" t="s">
        <v>125</v>
      </c>
      <c r="AG153" t="s">
        <v>51</v>
      </c>
      <c r="AH153" t="s">
        <v>126</v>
      </c>
      <c r="AI153" t="s">
        <v>53</v>
      </c>
      <c r="AJ153" t="b">
        <v>1</v>
      </c>
      <c r="AK153" t="b">
        <v>1</v>
      </c>
      <c r="AL153">
        <v>1</v>
      </c>
      <c r="AM153">
        <v>1</v>
      </c>
      <c r="AN153" t="s">
        <v>56</v>
      </c>
      <c r="AO153" t="s">
        <v>60</v>
      </c>
      <c r="AP153">
        <v>1</v>
      </c>
      <c r="AQ153" t="b">
        <v>0</v>
      </c>
      <c r="AR153" t="s">
        <v>23</v>
      </c>
      <c r="AS153">
        <v>20000</v>
      </c>
      <c r="AT153">
        <v>500</v>
      </c>
      <c r="AU153" t="s">
        <v>121</v>
      </c>
      <c r="AV153" t="b">
        <v>0</v>
      </c>
      <c r="AW153" t="b">
        <v>0</v>
      </c>
      <c r="AX153" t="b">
        <v>1</v>
      </c>
      <c r="AY153" t="b">
        <v>1</v>
      </c>
      <c r="AZ153">
        <v>87</v>
      </c>
      <c r="BA153">
        <f>INDEX(Inp_CER_Bin_2eps3arms!$AN$2:$AN$176,MATCH(Table1[[#This Row],[ModelID]],Inp_CER_Bin_2eps3arms!$A$2:$A$176,0))</f>
        <v>0</v>
      </c>
      <c r="BE153" s="10">
        <f>Table1[[#This Row],[Global.Power]]</f>
        <v>0.95096163860440897</v>
      </c>
      <c r="BF153" s="10">
        <f>Table1[[#This Row],[Conjunctive.Power]]</f>
        <v>3.3558988601515901E-3</v>
      </c>
      <c r="BG153" s="10">
        <f>Table1[[#This Row],[Disjunctive.Power]]</f>
        <v>0.95054573858705105</v>
      </c>
      <c r="BH153" s="10">
        <f>Table1[[#This Row],[FWER]]</f>
        <v>1.0135971764161299E-3</v>
      </c>
      <c r="BI153" s="10">
        <f>_xlfn.NUMBERVALUE(MID(Table1[[#This Row],[CI_95perc_Global.Power]],2,FIND(",",Table1[[#This Row],[CI_95perc_Global.Power]])-2))</f>
        <v>0.94945999999999997</v>
      </c>
      <c r="BJ153" s="10">
        <f>_xlfn.NUMBERVALUE(MID(Table1[[#This Row],[CI_95perc_Global.Power]],FIND(",",Table1[[#This Row],[CI_95perc_Global.Power]])+1,LEN(Table1[[#This Row],[CI_95perc_Global.Power]])-FIND(",",Table1[[#This Row],[CI_95perc_Global.Power]])-1))</f>
        <v>0.95245999999999997</v>
      </c>
      <c r="BK153" s="10">
        <f>_xlfn.NUMBERVALUE(MID(Table1[[#This Row],[CI_95perc_Conjunctive.Power]],2,FIND(",",Table1[[#This Row],[CI_95perc_Conjunctive.Power]])-2))</f>
        <v>2.49E-3</v>
      </c>
      <c r="BL153" s="10">
        <f>_xlfn.NUMBERVALUE(MID(Table1[[#This Row],[CI_95perc_Conjunctive.Power]],FIND(",",Table1[[#This Row],[CI_95perc_Conjunctive.Power]])+1,LEN(Table1[[#This Row],[CI_95perc_Conjunctive.Power]])-FIND(",",Table1[[#This Row],[CI_95perc_Conjunctive.Power]])-1))</f>
        <v>4.2199999999999998E-3</v>
      </c>
      <c r="BM153" s="10">
        <f>_xlfn.NUMBERVALUE(MID(Table1[[#This Row],[CI_95perc_Disjunctive.Power]],2,FIND(",",Table1[[#This Row],[CI_95perc_Disjunctive.Power]])-2))</f>
        <v>0.94899</v>
      </c>
      <c r="BN153" s="10">
        <f>_xlfn.NUMBERVALUE(MID(Table1[[#This Row],[CI_95perc_Disjunctive.Power]],FIND(",",Table1[[#This Row],[CI_95perc_Disjunctive.Power]])+1,LEN(Table1[[#This Row],[CI_95perc_Disjunctive.Power]])-FIND(",",Table1[[#This Row],[CI_95perc_Disjunctive.Power]])-1))</f>
        <v>0.95209999999999995</v>
      </c>
      <c r="BO153" s="10">
        <f>_xlfn.NUMBERVALUE(MID(Table1[[#This Row],[CI_95perc_FWER]],2,FIND(",",Table1[[#This Row],[CI_95perc_FWER]])-2))</f>
        <v>7.7999999999999999E-4</v>
      </c>
      <c r="BP153" s="10">
        <f>_xlfn.NUMBERVALUE(MID(Table1[[#This Row],[CI_95perc_FWER]],FIND(",",Table1[[#This Row],[CI_95perc_FWER]])+1,LEN(Table1[[#This Row],[CI_95perc_FWER]])-FIND(",",Table1[[#This Row],[CI_95perc_FWER]])-1))</f>
        <v>1.25E-3</v>
      </c>
      <c r="BQ153" s="10" t="str">
        <f>_xlfn.CONCAT("(",TEXT(Table1[[#This Row],[LCL_Disj.Pow%]],"0.00%"), ", ",TEXT(Table1[[#This Row],[UCL_Disj.Pow%]],"0.00%"),")")</f>
        <v>(94.90%, 95.21%)</v>
      </c>
      <c r="BR153" s="10" t="str">
        <f>_xlfn.CONCAT("(",TEXT(Table1[[#This Row],[LCL_Conj.Pow%]],"0.00%"),", ",TEXT(Table1[[#This Row],[UCL_Conj.Pow%]],"0.00%"),")")</f>
        <v>(0.25%, 0.42%)</v>
      </c>
      <c r="BS153" s="10" t="str">
        <f>_xlfn.CONCAT("(",TEXT(Table1[[#This Row],[LCL_FWER%]],"0.00%"),", ",TEXT(Table1[[#This Row],[UCL_FWER%]],"0.00%"),")")</f>
        <v>(0.08%, 0.13%)</v>
      </c>
    </row>
    <row r="154" spans="1:71" x14ac:dyDescent="0.25">
      <c r="A154">
        <v>152</v>
      </c>
      <c r="B154" t="s">
        <v>447</v>
      </c>
      <c r="C154">
        <v>6961</v>
      </c>
      <c r="D154">
        <v>0.97122620428597595</v>
      </c>
      <c r="E154">
        <v>1.7095060748519399E-3</v>
      </c>
      <c r="F154">
        <v>0.97116637157335595</v>
      </c>
      <c r="G154">
        <v>3.7877770315648102E-4</v>
      </c>
      <c r="H154" t="s">
        <v>990</v>
      </c>
      <c r="I154" t="s">
        <v>991</v>
      </c>
      <c r="J154" t="s">
        <v>992</v>
      </c>
      <c r="K154" t="s">
        <v>993</v>
      </c>
      <c r="L154" s="1">
        <v>61115293</v>
      </c>
      <c r="M154" t="s">
        <v>994</v>
      </c>
      <c r="N154">
        <v>0.51822445862823097</v>
      </c>
      <c r="O154" t="s">
        <v>85</v>
      </c>
      <c r="P154" t="s">
        <v>41</v>
      </c>
      <c r="Q154">
        <v>800</v>
      </c>
      <c r="R154">
        <v>2.5000000000000001E-2</v>
      </c>
      <c r="S154" t="s">
        <v>42</v>
      </c>
      <c r="T154" t="s">
        <v>42</v>
      </c>
      <c r="U154" t="s">
        <v>43</v>
      </c>
      <c r="V154" t="s">
        <v>44</v>
      </c>
      <c r="W154">
        <v>5</v>
      </c>
      <c r="X154">
        <v>2</v>
      </c>
      <c r="Y154" t="s">
        <v>118</v>
      </c>
      <c r="Z154" t="s">
        <v>42</v>
      </c>
      <c r="AA154" t="s">
        <v>42</v>
      </c>
      <c r="AB154" t="s">
        <v>129</v>
      </c>
      <c r="AC154" t="s">
        <v>122</v>
      </c>
      <c r="AD154" t="s">
        <v>123</v>
      </c>
      <c r="AE154" t="s">
        <v>124</v>
      </c>
      <c r="AF154" t="s">
        <v>125</v>
      </c>
      <c r="AG154" t="s">
        <v>51</v>
      </c>
      <c r="AH154" t="s">
        <v>126</v>
      </c>
      <c r="AI154" t="s">
        <v>53</v>
      </c>
      <c r="AJ154" t="b">
        <v>1</v>
      </c>
      <c r="AK154" t="b">
        <v>1</v>
      </c>
      <c r="AL154">
        <v>1</v>
      </c>
      <c r="AM154">
        <v>1</v>
      </c>
      <c r="AN154" t="s">
        <v>56</v>
      </c>
      <c r="AO154" t="s">
        <v>60</v>
      </c>
      <c r="AP154">
        <v>1</v>
      </c>
      <c r="AQ154" t="b">
        <v>0</v>
      </c>
      <c r="AR154" t="s">
        <v>23</v>
      </c>
      <c r="AS154">
        <v>20000</v>
      </c>
      <c r="AT154">
        <v>500</v>
      </c>
      <c r="AU154" t="s">
        <v>121</v>
      </c>
      <c r="AV154" t="b">
        <v>0</v>
      </c>
      <c r="AW154" t="b">
        <v>0</v>
      </c>
      <c r="AX154" t="b">
        <v>1</v>
      </c>
      <c r="AY154" t="b">
        <v>1</v>
      </c>
      <c r="AZ154">
        <v>97</v>
      </c>
      <c r="BA154">
        <f>INDEX(Inp_CER_Bin_2eps3arms!$AN$2:$AN$176,MATCH(Table1[[#This Row],[ModelID]],Inp_CER_Bin_2eps3arms!$A$2:$A$176,0))</f>
        <v>0</v>
      </c>
      <c r="BE154" s="10">
        <f>Table1[[#This Row],[Global.Power]]</f>
        <v>0.97122620428597595</v>
      </c>
      <c r="BF154" s="10">
        <f>Table1[[#This Row],[Conjunctive.Power]]</f>
        <v>1.7095060748519399E-3</v>
      </c>
      <c r="BG154" s="10">
        <f>Table1[[#This Row],[Disjunctive.Power]]</f>
        <v>0.97116637157335595</v>
      </c>
      <c r="BH154" s="10">
        <f>Table1[[#This Row],[FWER]]</f>
        <v>3.7877770315648102E-4</v>
      </c>
      <c r="BI154" s="10">
        <f>_xlfn.NUMBERVALUE(MID(Table1[[#This Row],[CI_95perc_Global.Power]],2,FIND(",",Table1[[#This Row],[CI_95perc_Global.Power]])-2))</f>
        <v>0.97030000000000005</v>
      </c>
      <c r="BJ154" s="10">
        <f>_xlfn.NUMBERVALUE(MID(Table1[[#This Row],[CI_95perc_Global.Power]],FIND(",",Table1[[#This Row],[CI_95perc_Global.Power]])+1,LEN(Table1[[#This Row],[CI_95perc_Global.Power]])-FIND(",",Table1[[#This Row],[CI_95perc_Global.Power]])-1))</f>
        <v>0.97214999999999996</v>
      </c>
      <c r="BK154" s="10">
        <f>_xlfn.NUMBERVALUE(MID(Table1[[#This Row],[CI_95perc_Conjunctive.Power]],2,FIND(",",Table1[[#This Row],[CI_95perc_Conjunctive.Power]])-2))</f>
        <v>1.08E-3</v>
      </c>
      <c r="BL154" s="10">
        <f>_xlfn.NUMBERVALUE(MID(Table1[[#This Row],[CI_95perc_Conjunctive.Power]],FIND(",",Table1[[#This Row],[CI_95perc_Conjunctive.Power]])+1,LEN(Table1[[#This Row],[CI_95perc_Conjunctive.Power]])-FIND(",",Table1[[#This Row],[CI_95perc_Conjunctive.Power]])-1))</f>
        <v>2.3400000000000001E-3</v>
      </c>
      <c r="BM154" s="10">
        <f>_xlfn.NUMBERVALUE(MID(Table1[[#This Row],[CI_95perc_Disjunctive.Power]],2,FIND(",",Table1[[#This Row],[CI_95perc_Disjunctive.Power]])-2))</f>
        <v>0.97023000000000004</v>
      </c>
      <c r="BN154" s="10">
        <f>_xlfn.NUMBERVALUE(MID(Table1[[#This Row],[CI_95perc_Disjunctive.Power]],FIND(",",Table1[[#This Row],[CI_95perc_Disjunctive.Power]])+1,LEN(Table1[[#This Row],[CI_95perc_Disjunctive.Power]])-FIND(",",Table1[[#This Row],[CI_95perc_Disjunctive.Power]])-1))</f>
        <v>0.97211000000000003</v>
      </c>
      <c r="BO154" s="10">
        <f>_xlfn.NUMBERVALUE(MID(Table1[[#This Row],[CI_95perc_FWER]],2,FIND(",",Table1[[#This Row],[CI_95perc_FWER]])-2))</f>
        <v>2.2000000000000001E-4</v>
      </c>
      <c r="BP154" s="10">
        <f>_xlfn.NUMBERVALUE(MID(Table1[[#This Row],[CI_95perc_FWER]],FIND(",",Table1[[#This Row],[CI_95perc_FWER]])+1,LEN(Table1[[#This Row],[CI_95perc_FWER]])-FIND(",",Table1[[#This Row],[CI_95perc_FWER]])-1))</f>
        <v>5.2999999999999998E-4</v>
      </c>
      <c r="BQ154" s="10" t="str">
        <f>_xlfn.CONCAT("(",TEXT(Table1[[#This Row],[LCL_Disj.Pow%]],"0.00%"), ", ",TEXT(Table1[[#This Row],[UCL_Disj.Pow%]],"0.00%"),")")</f>
        <v>(97.02%, 97.21%)</v>
      </c>
      <c r="BR154" s="10" t="str">
        <f>_xlfn.CONCAT("(",TEXT(Table1[[#This Row],[LCL_Conj.Pow%]],"0.00%"),", ",TEXT(Table1[[#This Row],[UCL_Conj.Pow%]],"0.00%"),")")</f>
        <v>(0.11%, 0.23%)</v>
      </c>
      <c r="BS154" s="10" t="str">
        <f>_xlfn.CONCAT("(",TEXT(Table1[[#This Row],[LCL_FWER%]],"0.00%"),", ",TEXT(Table1[[#This Row],[UCL_FWER%]],"0.00%"),")")</f>
        <v>(0.02%, 0.05%)</v>
      </c>
    </row>
    <row r="155" spans="1:71" x14ac:dyDescent="0.25">
      <c r="A155">
        <v>153</v>
      </c>
      <c r="B155" t="s">
        <v>457</v>
      </c>
      <c r="C155">
        <v>5587</v>
      </c>
      <c r="D155">
        <v>0.98016961717901196</v>
      </c>
      <c r="E155">
        <v>2.3646705438742201E-3</v>
      </c>
      <c r="F155">
        <v>0.98016961717901196</v>
      </c>
      <c r="G155">
        <v>0</v>
      </c>
      <c r="H155" t="s">
        <v>995</v>
      </c>
      <c r="I155" t="s">
        <v>996</v>
      </c>
      <c r="J155" t="s">
        <v>995</v>
      </c>
      <c r="K155" t="s">
        <v>83</v>
      </c>
      <c r="L155" s="1">
        <v>68414653</v>
      </c>
      <c r="M155" t="s">
        <v>997</v>
      </c>
      <c r="N155">
        <v>0.47725689027044499</v>
      </c>
      <c r="O155" t="s">
        <v>85</v>
      </c>
      <c r="P155" t="s">
        <v>41</v>
      </c>
      <c r="Q155">
        <v>800</v>
      </c>
      <c r="R155">
        <v>2.5000000000000001E-2</v>
      </c>
      <c r="S155" t="s">
        <v>42</v>
      </c>
      <c r="T155" t="s">
        <v>42</v>
      </c>
      <c r="U155" t="s">
        <v>43</v>
      </c>
      <c r="V155" t="s">
        <v>44</v>
      </c>
      <c r="W155">
        <v>5</v>
      </c>
      <c r="X155">
        <v>2</v>
      </c>
      <c r="Y155" t="s">
        <v>118</v>
      </c>
      <c r="Z155" t="s">
        <v>42</v>
      </c>
      <c r="AA155" t="s">
        <v>42</v>
      </c>
      <c r="AB155" t="s">
        <v>130</v>
      </c>
      <c r="AC155" t="s">
        <v>122</v>
      </c>
      <c r="AD155" t="s">
        <v>123</v>
      </c>
      <c r="AE155" t="s">
        <v>124</v>
      </c>
      <c r="AF155" t="s">
        <v>125</v>
      </c>
      <c r="AG155" t="s">
        <v>51</v>
      </c>
      <c r="AH155" t="s">
        <v>126</v>
      </c>
      <c r="AI155" t="s">
        <v>53</v>
      </c>
      <c r="AJ155" t="b">
        <v>1</v>
      </c>
      <c r="AK155" t="b">
        <v>1</v>
      </c>
      <c r="AL155">
        <v>1</v>
      </c>
      <c r="AM155">
        <v>1</v>
      </c>
      <c r="AN155" t="s">
        <v>56</v>
      </c>
      <c r="AO155" t="s">
        <v>60</v>
      </c>
      <c r="AP155">
        <v>1</v>
      </c>
      <c r="AQ155" t="b">
        <v>0</v>
      </c>
      <c r="AR155" t="s">
        <v>23</v>
      </c>
      <c r="AS155">
        <v>20000</v>
      </c>
      <c r="AT155">
        <v>500</v>
      </c>
      <c r="AU155" t="s">
        <v>121</v>
      </c>
      <c r="AV155" t="b">
        <v>0</v>
      </c>
      <c r="AW155" t="b">
        <v>0</v>
      </c>
      <c r="AX155" t="b">
        <v>1</v>
      </c>
      <c r="AY155" t="b">
        <v>1</v>
      </c>
      <c r="AZ155">
        <v>107</v>
      </c>
      <c r="BA155">
        <f>INDEX(Inp_CER_Bin_2eps3arms!$AN$2:$AN$176,MATCH(Table1[[#This Row],[ModelID]],Inp_CER_Bin_2eps3arms!$A$2:$A$176,0))</f>
        <v>0</v>
      </c>
      <c r="BE155" s="10">
        <f>Table1[[#This Row],[Global.Power]]</f>
        <v>0.98016961717901196</v>
      </c>
      <c r="BF155" s="10">
        <f>Table1[[#This Row],[Conjunctive.Power]]</f>
        <v>2.3646705438742201E-3</v>
      </c>
      <c r="BG155" s="10">
        <f>Table1[[#This Row],[Disjunctive.Power]]</f>
        <v>0.98016961717901196</v>
      </c>
      <c r="BH155" s="10">
        <f>Table1[[#This Row],[FWER]]</f>
        <v>0</v>
      </c>
      <c r="BI155" s="10">
        <f>_xlfn.NUMBERVALUE(MID(Table1[[#This Row],[CI_95perc_Global.Power]],2,FIND(",",Table1[[#This Row],[CI_95perc_Global.Power]])-2))</f>
        <v>0.97950000000000004</v>
      </c>
      <c r="BJ155" s="10">
        <f>_xlfn.NUMBERVALUE(MID(Table1[[#This Row],[CI_95perc_Global.Power]],FIND(",",Table1[[#This Row],[CI_95perc_Global.Power]])+1,LEN(Table1[[#This Row],[CI_95perc_Global.Power]])-FIND(",",Table1[[#This Row],[CI_95perc_Global.Power]])-1))</f>
        <v>0.98084000000000005</v>
      </c>
      <c r="BK155" s="10">
        <f>_xlfn.NUMBERVALUE(MID(Table1[[#This Row],[CI_95perc_Conjunctive.Power]],2,FIND(",",Table1[[#This Row],[CI_95perc_Conjunctive.Power]])-2))</f>
        <v>1.6000000000000001E-3</v>
      </c>
      <c r="BL155" s="10">
        <f>_xlfn.NUMBERVALUE(MID(Table1[[#This Row],[CI_95perc_Conjunctive.Power]],FIND(",",Table1[[#This Row],[CI_95perc_Conjunctive.Power]])+1,LEN(Table1[[#This Row],[CI_95perc_Conjunctive.Power]])-FIND(",",Table1[[#This Row],[CI_95perc_Conjunctive.Power]])-1))</f>
        <v>3.13E-3</v>
      </c>
      <c r="BM155" s="10">
        <f>_xlfn.NUMBERVALUE(MID(Table1[[#This Row],[CI_95perc_Disjunctive.Power]],2,FIND(",",Table1[[#This Row],[CI_95perc_Disjunctive.Power]])-2))</f>
        <v>0.97950000000000004</v>
      </c>
      <c r="BN155" s="10">
        <f>_xlfn.NUMBERVALUE(MID(Table1[[#This Row],[CI_95perc_Disjunctive.Power]],FIND(",",Table1[[#This Row],[CI_95perc_Disjunctive.Power]])+1,LEN(Table1[[#This Row],[CI_95perc_Disjunctive.Power]])-FIND(",",Table1[[#This Row],[CI_95perc_Disjunctive.Power]])-1))</f>
        <v>0.98084000000000005</v>
      </c>
      <c r="BO155" s="10">
        <f>_xlfn.NUMBERVALUE(MID(Table1[[#This Row],[CI_95perc_FWER]],2,FIND(",",Table1[[#This Row],[CI_95perc_FWER]])-2))</f>
        <v>0</v>
      </c>
      <c r="BP155" s="10">
        <f>_xlfn.NUMBERVALUE(MID(Table1[[#This Row],[CI_95perc_FWER]],FIND(",",Table1[[#This Row],[CI_95perc_FWER]])+1,LEN(Table1[[#This Row],[CI_95perc_FWER]])-FIND(",",Table1[[#This Row],[CI_95perc_FWER]])-1))</f>
        <v>0</v>
      </c>
      <c r="BQ155" s="10" t="str">
        <f>_xlfn.CONCAT("(",TEXT(Table1[[#This Row],[LCL_Disj.Pow%]],"0.00%"), ", ",TEXT(Table1[[#This Row],[UCL_Disj.Pow%]],"0.00%"),")")</f>
        <v>(97.95%, 98.08%)</v>
      </c>
      <c r="BR155" s="10" t="str">
        <f>_xlfn.CONCAT("(",TEXT(Table1[[#This Row],[LCL_Conj.Pow%]],"0.00%"),", ",TEXT(Table1[[#This Row],[UCL_Conj.Pow%]],"0.00%"),")")</f>
        <v>(0.16%, 0.31%)</v>
      </c>
      <c r="BS155" s="10" t="str">
        <f>_xlfn.CONCAT("(",TEXT(Table1[[#This Row],[LCL_FWER%]],"0.00%"),", ",TEXT(Table1[[#This Row],[UCL_FWER%]],"0.00%"),")")</f>
        <v>(0.00%, 0.00%)</v>
      </c>
    </row>
    <row r="156" spans="1:71" x14ac:dyDescent="0.25">
      <c r="A156">
        <v>154</v>
      </c>
      <c r="B156" t="s">
        <v>719</v>
      </c>
      <c r="C156">
        <v>2705</v>
      </c>
      <c r="D156">
        <v>0.95292535530873002</v>
      </c>
      <c r="E156">
        <v>1.25403081332856E-3</v>
      </c>
      <c r="F156">
        <v>0.95276985548787796</v>
      </c>
      <c r="G156">
        <v>3.7656753851666102E-4</v>
      </c>
      <c r="H156" t="s">
        <v>998</v>
      </c>
      <c r="I156" t="s">
        <v>999</v>
      </c>
      <c r="J156" t="s">
        <v>1000</v>
      </c>
      <c r="K156" t="s">
        <v>1001</v>
      </c>
      <c r="L156" s="1">
        <v>47915482</v>
      </c>
      <c r="M156" t="s">
        <v>1002</v>
      </c>
      <c r="N156">
        <v>0.51525209804376004</v>
      </c>
      <c r="O156" t="s">
        <v>85</v>
      </c>
      <c r="P156" t="s">
        <v>41</v>
      </c>
      <c r="Q156">
        <v>500</v>
      </c>
      <c r="R156">
        <v>2.5000000000000001E-2</v>
      </c>
      <c r="S156" t="s">
        <v>654</v>
      </c>
      <c r="T156" t="s">
        <v>42</v>
      </c>
      <c r="U156" t="s">
        <v>64</v>
      </c>
      <c r="V156" t="s">
        <v>44</v>
      </c>
      <c r="W156">
        <v>5</v>
      </c>
      <c r="X156">
        <v>2</v>
      </c>
      <c r="Y156" t="s">
        <v>650</v>
      </c>
      <c r="Z156" t="s">
        <v>725</v>
      </c>
      <c r="AA156" t="s">
        <v>651</v>
      </c>
      <c r="AB156" t="s">
        <v>728</v>
      </c>
      <c r="AC156" t="s">
        <v>122</v>
      </c>
      <c r="AD156" t="s">
        <v>123</v>
      </c>
      <c r="AE156" t="s">
        <v>124</v>
      </c>
      <c r="AF156" t="s">
        <v>125</v>
      </c>
      <c r="AG156" t="s">
        <v>51</v>
      </c>
      <c r="AH156" t="s">
        <v>126</v>
      </c>
      <c r="AI156" t="s">
        <v>53</v>
      </c>
      <c r="AJ156" t="b">
        <v>1</v>
      </c>
      <c r="AK156" t="b">
        <v>1</v>
      </c>
      <c r="AL156">
        <v>1</v>
      </c>
      <c r="AM156">
        <v>1</v>
      </c>
      <c r="AN156" t="s">
        <v>56</v>
      </c>
      <c r="AO156" t="s">
        <v>60</v>
      </c>
      <c r="AP156">
        <v>1</v>
      </c>
      <c r="AQ156" t="b">
        <v>0</v>
      </c>
      <c r="AR156" t="s">
        <v>23</v>
      </c>
      <c r="AS156">
        <v>20000</v>
      </c>
      <c r="AT156">
        <v>500</v>
      </c>
      <c r="AU156" t="s">
        <v>121</v>
      </c>
      <c r="AV156" t="b">
        <v>0</v>
      </c>
      <c r="AW156" t="b">
        <v>0</v>
      </c>
      <c r="AX156" t="b">
        <v>1</v>
      </c>
      <c r="AY156" t="b">
        <v>0</v>
      </c>
      <c r="AZ156">
        <v>135</v>
      </c>
      <c r="BA156">
        <f>INDEX(Inp_CER_Bin_2eps3arms!$AN$2:$AN$176,MATCH(Table1[[#This Row],[ModelID]],Inp_CER_Bin_2eps3arms!$A$2:$A$176,0))</f>
        <v>0</v>
      </c>
      <c r="BE156" s="10">
        <f>Table1[[#This Row],[Global.Power]]</f>
        <v>0.95292535530873002</v>
      </c>
      <c r="BF156" s="10">
        <f>Table1[[#This Row],[Conjunctive.Power]]</f>
        <v>1.25403081332856E-3</v>
      </c>
      <c r="BG156" s="10">
        <f>Table1[[#This Row],[Disjunctive.Power]]</f>
        <v>0.95276985548787796</v>
      </c>
      <c r="BH156" s="10">
        <f>Table1[[#This Row],[FWER]]</f>
        <v>3.7656753851666102E-4</v>
      </c>
      <c r="BI156" s="10">
        <f>_xlfn.NUMBERVALUE(MID(Table1[[#This Row],[CI_95perc_Global.Power]],2,FIND(",",Table1[[#This Row],[CI_95perc_Global.Power]])-2))</f>
        <v>0.95162000000000002</v>
      </c>
      <c r="BJ156" s="10">
        <f>_xlfn.NUMBERVALUE(MID(Table1[[#This Row],[CI_95perc_Global.Power]],FIND(",",Table1[[#This Row],[CI_95perc_Global.Power]])+1,LEN(Table1[[#This Row],[CI_95perc_Global.Power]])-FIND(",",Table1[[#This Row],[CI_95perc_Global.Power]])-1))</f>
        <v>0.95423000000000002</v>
      </c>
      <c r="BK156" s="10">
        <f>_xlfn.NUMBERVALUE(MID(Table1[[#This Row],[CI_95perc_Conjunctive.Power]],2,FIND(",",Table1[[#This Row],[CI_95perc_Conjunctive.Power]])-2))</f>
        <v>7.2000000000000005E-4</v>
      </c>
      <c r="BL156" s="10">
        <f>_xlfn.NUMBERVALUE(MID(Table1[[#This Row],[CI_95perc_Conjunctive.Power]],FIND(",",Table1[[#This Row],[CI_95perc_Conjunctive.Power]])+1,LEN(Table1[[#This Row],[CI_95perc_Conjunctive.Power]])-FIND(",",Table1[[#This Row],[CI_95perc_Conjunctive.Power]])-1))</f>
        <v>1.7899999999999999E-3</v>
      </c>
      <c r="BM156" s="10">
        <f>_xlfn.NUMBERVALUE(MID(Table1[[#This Row],[CI_95perc_Disjunctive.Power]],2,FIND(",",Table1[[#This Row],[CI_95perc_Disjunctive.Power]])-2))</f>
        <v>0.95143999999999995</v>
      </c>
      <c r="BN156" s="10">
        <f>_xlfn.NUMBERVALUE(MID(Table1[[#This Row],[CI_95perc_Disjunctive.Power]],FIND(",",Table1[[#This Row],[CI_95perc_Disjunctive.Power]])+1,LEN(Table1[[#This Row],[CI_95perc_Disjunctive.Power]])-FIND(",",Table1[[#This Row],[CI_95perc_Disjunctive.Power]])-1))</f>
        <v>0.95409999999999995</v>
      </c>
      <c r="BO156" s="10">
        <f>_xlfn.NUMBERVALUE(MID(Table1[[#This Row],[CI_95perc_FWER]],2,FIND(",",Table1[[#This Row],[CI_95perc_FWER]])-2))</f>
        <v>2.3000000000000001E-4</v>
      </c>
      <c r="BP156" s="10">
        <f>_xlfn.NUMBERVALUE(MID(Table1[[#This Row],[CI_95perc_FWER]],FIND(",",Table1[[#This Row],[CI_95perc_FWER]])+1,LEN(Table1[[#This Row],[CI_95perc_FWER]])-FIND(",",Table1[[#This Row],[CI_95perc_FWER]])-1))</f>
        <v>5.2999999999999998E-4</v>
      </c>
      <c r="BQ156" s="10" t="str">
        <f>_xlfn.CONCAT("(",TEXT(Table1[[#This Row],[LCL_Disj.Pow%]],"0.00%"), ", ",TEXT(Table1[[#This Row],[UCL_Disj.Pow%]],"0.00%"),")")</f>
        <v>(95.14%, 95.41%)</v>
      </c>
      <c r="BR156" s="10" t="str">
        <f>_xlfn.CONCAT("(",TEXT(Table1[[#This Row],[LCL_Conj.Pow%]],"0.00%"),", ",TEXT(Table1[[#This Row],[UCL_Conj.Pow%]],"0.00%"),")")</f>
        <v>(0.07%, 0.18%)</v>
      </c>
      <c r="BS156" s="10" t="str">
        <f>_xlfn.CONCAT("(",TEXT(Table1[[#This Row],[LCL_FWER%]],"0.00%"),", ",TEXT(Table1[[#This Row],[UCL_FWER%]],"0.00%"),")")</f>
        <v>(0.02%, 0.05%)</v>
      </c>
    </row>
    <row r="157" spans="1:71" x14ac:dyDescent="0.25">
      <c r="A157">
        <v>155</v>
      </c>
      <c r="B157" t="s">
        <v>723</v>
      </c>
      <c r="C157">
        <v>1320</v>
      </c>
      <c r="D157">
        <v>0.96633642071237602</v>
      </c>
      <c r="E157">
        <v>1.4918878597625399E-3</v>
      </c>
      <c r="F157">
        <v>0.96633642071237602</v>
      </c>
      <c r="G157">
        <v>0</v>
      </c>
      <c r="H157" t="s">
        <v>1003</v>
      </c>
      <c r="I157" t="s">
        <v>1004</v>
      </c>
      <c r="J157" t="s">
        <v>1003</v>
      </c>
      <c r="K157" t="s">
        <v>83</v>
      </c>
      <c r="L157" s="1">
        <v>52115028</v>
      </c>
      <c r="M157" t="s">
        <v>1005</v>
      </c>
      <c r="N157">
        <v>0.50189388917552102</v>
      </c>
      <c r="O157" t="s">
        <v>85</v>
      </c>
      <c r="P157" t="s">
        <v>41</v>
      </c>
      <c r="Q157">
        <v>500</v>
      </c>
      <c r="R157">
        <v>2.5000000000000001E-2</v>
      </c>
      <c r="S157" t="s">
        <v>654</v>
      </c>
      <c r="T157" t="s">
        <v>42</v>
      </c>
      <c r="U157" t="s">
        <v>64</v>
      </c>
      <c r="V157" t="s">
        <v>44</v>
      </c>
      <c r="W157">
        <v>5</v>
      </c>
      <c r="X157">
        <v>2</v>
      </c>
      <c r="Y157" t="s">
        <v>650</v>
      </c>
      <c r="Z157" t="s">
        <v>726</v>
      </c>
      <c r="AA157" t="s">
        <v>651</v>
      </c>
      <c r="AB157" t="s">
        <v>729</v>
      </c>
      <c r="AC157" t="s">
        <v>122</v>
      </c>
      <c r="AD157" t="s">
        <v>123</v>
      </c>
      <c r="AE157" t="s">
        <v>124</v>
      </c>
      <c r="AF157" t="s">
        <v>125</v>
      </c>
      <c r="AG157" t="s">
        <v>51</v>
      </c>
      <c r="AH157" t="s">
        <v>126</v>
      </c>
      <c r="AI157" t="s">
        <v>53</v>
      </c>
      <c r="AJ157" t="b">
        <v>1</v>
      </c>
      <c r="AK157" t="b">
        <v>1</v>
      </c>
      <c r="AL157">
        <v>1</v>
      </c>
      <c r="AM157">
        <v>1</v>
      </c>
      <c r="AN157" t="s">
        <v>56</v>
      </c>
      <c r="AO157" t="s">
        <v>60</v>
      </c>
      <c r="AP157">
        <v>1</v>
      </c>
      <c r="AQ157" t="b">
        <v>0</v>
      </c>
      <c r="AR157" t="s">
        <v>23</v>
      </c>
      <c r="AS157">
        <v>20000</v>
      </c>
      <c r="AT157">
        <v>500</v>
      </c>
      <c r="AU157" t="s">
        <v>121</v>
      </c>
      <c r="AV157" t="b">
        <v>0</v>
      </c>
      <c r="AW157" t="b">
        <v>0</v>
      </c>
      <c r="AX157" t="b">
        <v>1</v>
      </c>
      <c r="AY157" t="b">
        <v>0</v>
      </c>
      <c r="AZ157">
        <v>139</v>
      </c>
      <c r="BA157">
        <f>INDEX(Inp_CER_Bin_2eps3arms!$AN$2:$AN$176,MATCH(Table1[[#This Row],[ModelID]],Inp_CER_Bin_2eps3arms!$A$2:$A$176,0))</f>
        <v>0</v>
      </c>
      <c r="BE157" s="10">
        <f>Table1[[#This Row],[Global.Power]]</f>
        <v>0.96633642071237602</v>
      </c>
      <c r="BF157" s="10">
        <f>Table1[[#This Row],[Conjunctive.Power]]</f>
        <v>1.4918878597625399E-3</v>
      </c>
      <c r="BG157" s="10">
        <f>Table1[[#This Row],[Disjunctive.Power]]</f>
        <v>0.96633642071237602</v>
      </c>
      <c r="BH157" s="10">
        <f>Table1[[#This Row],[FWER]]</f>
        <v>0</v>
      </c>
      <c r="BI157" s="10">
        <f>_xlfn.NUMBERVALUE(MID(Table1[[#This Row],[CI_95perc_Global.Power]],2,FIND(",",Table1[[#This Row],[CI_95perc_Global.Power]])-2))</f>
        <v>0.96533000000000002</v>
      </c>
      <c r="BJ157" s="10">
        <f>_xlfn.NUMBERVALUE(MID(Table1[[#This Row],[CI_95perc_Global.Power]],FIND(",",Table1[[#This Row],[CI_95perc_Global.Power]])+1,LEN(Table1[[#This Row],[CI_95perc_Global.Power]])-FIND(",",Table1[[#This Row],[CI_95perc_Global.Power]])-1))</f>
        <v>0.96735000000000004</v>
      </c>
      <c r="BK157" s="10">
        <f>_xlfn.NUMBERVALUE(MID(Table1[[#This Row],[CI_95perc_Conjunctive.Power]],2,FIND(",",Table1[[#This Row],[CI_95perc_Conjunctive.Power]])-2))</f>
        <v>8.9999999999999998E-4</v>
      </c>
      <c r="BL157" s="10">
        <f>_xlfn.NUMBERVALUE(MID(Table1[[#This Row],[CI_95perc_Conjunctive.Power]],FIND(",",Table1[[#This Row],[CI_95perc_Conjunctive.Power]])+1,LEN(Table1[[#This Row],[CI_95perc_Conjunctive.Power]])-FIND(",",Table1[[#This Row],[CI_95perc_Conjunctive.Power]])-1))</f>
        <v>2.0899999999999998E-3</v>
      </c>
      <c r="BM157" s="10">
        <f>_xlfn.NUMBERVALUE(MID(Table1[[#This Row],[CI_95perc_Disjunctive.Power]],2,FIND(",",Table1[[#This Row],[CI_95perc_Disjunctive.Power]])-2))</f>
        <v>0.96533000000000002</v>
      </c>
      <c r="BN157" s="10">
        <f>_xlfn.NUMBERVALUE(MID(Table1[[#This Row],[CI_95perc_Disjunctive.Power]],FIND(",",Table1[[#This Row],[CI_95perc_Disjunctive.Power]])+1,LEN(Table1[[#This Row],[CI_95perc_Disjunctive.Power]])-FIND(",",Table1[[#This Row],[CI_95perc_Disjunctive.Power]])-1))</f>
        <v>0.96735000000000004</v>
      </c>
      <c r="BO157" s="10">
        <f>_xlfn.NUMBERVALUE(MID(Table1[[#This Row],[CI_95perc_FWER]],2,FIND(",",Table1[[#This Row],[CI_95perc_FWER]])-2))</f>
        <v>0</v>
      </c>
      <c r="BP157" s="10">
        <f>_xlfn.NUMBERVALUE(MID(Table1[[#This Row],[CI_95perc_FWER]],FIND(",",Table1[[#This Row],[CI_95perc_FWER]])+1,LEN(Table1[[#This Row],[CI_95perc_FWER]])-FIND(",",Table1[[#This Row],[CI_95perc_FWER]])-1))</f>
        <v>0</v>
      </c>
      <c r="BQ157" s="10" t="str">
        <f>_xlfn.CONCAT("(",TEXT(Table1[[#This Row],[LCL_Disj.Pow%]],"0.00%"), ", ",TEXT(Table1[[#This Row],[UCL_Disj.Pow%]],"0.00%"),")")</f>
        <v>(96.53%, 96.74%)</v>
      </c>
      <c r="BR157" s="10" t="str">
        <f>_xlfn.CONCAT("(",TEXT(Table1[[#This Row],[LCL_Conj.Pow%]],"0.00%"),", ",TEXT(Table1[[#This Row],[UCL_Conj.Pow%]],"0.00%"),")")</f>
        <v>(0.09%, 0.21%)</v>
      </c>
      <c r="BS157" s="10" t="str">
        <f>_xlfn.CONCAT("(",TEXT(Table1[[#This Row],[LCL_FWER%]],"0.00%"),", ",TEXT(Table1[[#This Row],[UCL_FWER%]],"0.00%"),")")</f>
        <v>(0.00%, 0.00%)</v>
      </c>
    </row>
    <row r="158" spans="1:71" x14ac:dyDescent="0.25">
      <c r="A158">
        <v>156</v>
      </c>
      <c r="B158" t="s">
        <v>813</v>
      </c>
      <c r="C158">
        <v>9337</v>
      </c>
      <c r="D158">
        <v>2.2115800000000001E-2</v>
      </c>
      <c r="E158">
        <v>0</v>
      </c>
      <c r="F158">
        <v>0</v>
      </c>
      <c r="G158">
        <v>2.2115800000000001E-2</v>
      </c>
      <c r="H158" t="s">
        <v>1006</v>
      </c>
      <c r="I158" t="s">
        <v>83</v>
      </c>
      <c r="J158" t="s">
        <v>83</v>
      </c>
      <c r="K158" t="s">
        <v>1006</v>
      </c>
      <c r="L158" s="1">
        <v>581089</v>
      </c>
      <c r="M158" t="s">
        <v>1007</v>
      </c>
      <c r="N158">
        <v>1.1254862750238801</v>
      </c>
      <c r="O158" t="s">
        <v>85</v>
      </c>
      <c r="P158" t="s">
        <v>41</v>
      </c>
      <c r="Q158">
        <v>500</v>
      </c>
      <c r="R158">
        <v>2.5000000000000001E-2</v>
      </c>
      <c r="S158" t="s">
        <v>654</v>
      </c>
      <c r="T158" t="s">
        <v>42</v>
      </c>
      <c r="U158" t="s">
        <v>64</v>
      </c>
      <c r="V158" t="s">
        <v>44</v>
      </c>
      <c r="W158">
        <v>5</v>
      </c>
      <c r="X158">
        <v>2</v>
      </c>
      <c r="Y158" t="s">
        <v>650</v>
      </c>
      <c r="Z158" t="s">
        <v>652</v>
      </c>
      <c r="AA158" t="s">
        <v>651</v>
      </c>
      <c r="AB158" t="s">
        <v>653</v>
      </c>
      <c r="AC158" t="s">
        <v>122</v>
      </c>
      <c r="AD158" t="s">
        <v>123</v>
      </c>
      <c r="AE158" t="s">
        <v>124</v>
      </c>
      <c r="AF158" t="s">
        <v>125</v>
      </c>
      <c r="AG158" t="s">
        <v>51</v>
      </c>
      <c r="AH158" t="s">
        <v>126</v>
      </c>
      <c r="AI158" t="s">
        <v>53</v>
      </c>
      <c r="AJ158" t="b">
        <v>1</v>
      </c>
      <c r="AK158" t="b">
        <v>1</v>
      </c>
      <c r="AL158">
        <v>1</v>
      </c>
      <c r="AM158">
        <v>1</v>
      </c>
      <c r="AN158" t="s">
        <v>56</v>
      </c>
      <c r="AO158" t="s">
        <v>57</v>
      </c>
      <c r="AP158">
        <v>0.75</v>
      </c>
      <c r="AQ158" t="b">
        <v>0</v>
      </c>
      <c r="AR158" t="s">
        <v>23</v>
      </c>
      <c r="AS158">
        <v>50000</v>
      </c>
      <c r="AT158">
        <v>200</v>
      </c>
      <c r="AU158" t="s">
        <v>121</v>
      </c>
      <c r="AV158" t="b">
        <v>0</v>
      </c>
      <c r="AW158" t="b">
        <v>0</v>
      </c>
      <c r="AX158" t="b">
        <v>1</v>
      </c>
      <c r="AY158" t="b">
        <v>0</v>
      </c>
      <c r="AZ158">
        <v>140</v>
      </c>
      <c r="BA158">
        <f>INDEX(Inp_CER_Bin_2eps3arms!$AN$2:$AN$176,MATCH(Table1[[#This Row],[ModelID]],Inp_CER_Bin_2eps3arms!$A$2:$A$176,0))</f>
        <v>0</v>
      </c>
      <c r="BE158" s="10">
        <f>Table1[[#This Row],[Global.Power]]</f>
        <v>2.2115800000000001E-2</v>
      </c>
      <c r="BF158" s="10">
        <f>Table1[[#This Row],[Conjunctive.Power]]</f>
        <v>0</v>
      </c>
      <c r="BG158" s="10">
        <f>Table1[[#This Row],[Disjunctive.Power]]</f>
        <v>0</v>
      </c>
      <c r="BH158" s="10">
        <f>Table1[[#This Row],[FWER]]</f>
        <v>2.2115800000000001E-2</v>
      </c>
      <c r="BI158" s="10">
        <f>_xlfn.NUMBERVALUE(MID(Table1[[#This Row],[CI_95perc_Global.Power]],2,FIND(",",Table1[[#This Row],[CI_95perc_Global.Power]])-2))</f>
        <v>2.1600000000000001E-2</v>
      </c>
      <c r="BJ158" s="10">
        <f>_xlfn.NUMBERVALUE(MID(Table1[[#This Row],[CI_95perc_Global.Power]],FIND(",",Table1[[#This Row],[CI_95perc_Global.Power]])+1,LEN(Table1[[#This Row],[CI_95perc_Global.Power]])-FIND(",",Table1[[#This Row],[CI_95perc_Global.Power]])-1))</f>
        <v>2.2630000000000001E-2</v>
      </c>
      <c r="BK158" s="10">
        <f>_xlfn.NUMBERVALUE(MID(Table1[[#This Row],[CI_95perc_Conjunctive.Power]],2,FIND(",",Table1[[#This Row],[CI_95perc_Conjunctive.Power]])-2))</f>
        <v>0</v>
      </c>
      <c r="BL158" s="10">
        <f>_xlfn.NUMBERVALUE(MID(Table1[[#This Row],[CI_95perc_Conjunctive.Power]],FIND(",",Table1[[#This Row],[CI_95perc_Conjunctive.Power]])+1,LEN(Table1[[#This Row],[CI_95perc_Conjunctive.Power]])-FIND(",",Table1[[#This Row],[CI_95perc_Conjunctive.Power]])-1))</f>
        <v>0</v>
      </c>
      <c r="BM158" s="10">
        <f>_xlfn.NUMBERVALUE(MID(Table1[[#This Row],[CI_95perc_Disjunctive.Power]],2,FIND(",",Table1[[#This Row],[CI_95perc_Disjunctive.Power]])-2))</f>
        <v>0</v>
      </c>
      <c r="BN158" s="10">
        <f>_xlfn.NUMBERVALUE(MID(Table1[[#This Row],[CI_95perc_Disjunctive.Power]],FIND(",",Table1[[#This Row],[CI_95perc_Disjunctive.Power]])+1,LEN(Table1[[#This Row],[CI_95perc_Disjunctive.Power]])-FIND(",",Table1[[#This Row],[CI_95perc_Disjunctive.Power]])-1))</f>
        <v>0</v>
      </c>
      <c r="BO158" s="10">
        <f>_xlfn.NUMBERVALUE(MID(Table1[[#This Row],[CI_95perc_FWER]],2,FIND(",",Table1[[#This Row],[CI_95perc_FWER]])-2))</f>
        <v>2.1600000000000001E-2</v>
      </c>
      <c r="BP158" s="10">
        <f>_xlfn.NUMBERVALUE(MID(Table1[[#This Row],[CI_95perc_FWER]],FIND(",",Table1[[#This Row],[CI_95perc_FWER]])+1,LEN(Table1[[#This Row],[CI_95perc_FWER]])-FIND(",",Table1[[#This Row],[CI_95perc_FWER]])-1))</f>
        <v>2.2630000000000001E-2</v>
      </c>
      <c r="BQ158" s="10" t="str">
        <f>_xlfn.CONCAT("(",TEXT(Table1[[#This Row],[LCL_Disj.Pow%]],"0.00%"), ", ",TEXT(Table1[[#This Row],[UCL_Disj.Pow%]],"0.00%"),")")</f>
        <v>(0.00%, 0.00%)</v>
      </c>
      <c r="BR158" s="10" t="str">
        <f>_xlfn.CONCAT("(",TEXT(Table1[[#This Row],[LCL_Conj.Pow%]],"0.00%"),", ",TEXT(Table1[[#This Row],[UCL_Conj.Pow%]],"0.00%"),")")</f>
        <v>(0.00%, 0.00%)</v>
      </c>
      <c r="BS158" s="10" t="str">
        <f>_xlfn.CONCAT("(",TEXT(Table1[[#This Row],[LCL_FWER%]],"0.00%"),", ",TEXT(Table1[[#This Row],[UCL_FWER%]],"0.00%"),")")</f>
        <v>(2.16%, 2.26%)</v>
      </c>
    </row>
    <row r="159" spans="1:71" x14ac:dyDescent="0.25">
      <c r="A159">
        <v>157</v>
      </c>
      <c r="B159" t="s">
        <v>814</v>
      </c>
      <c r="C159">
        <v>9879</v>
      </c>
      <c r="D159">
        <v>2.2021200000000001E-2</v>
      </c>
      <c r="E159">
        <v>0</v>
      </c>
      <c r="F159">
        <v>0</v>
      </c>
      <c r="G159">
        <v>2.2021200000000001E-2</v>
      </c>
      <c r="H159" t="s">
        <v>1008</v>
      </c>
      <c r="I159" t="s">
        <v>83</v>
      </c>
      <c r="J159" t="s">
        <v>83</v>
      </c>
      <c r="K159" t="s">
        <v>1008</v>
      </c>
      <c r="L159" s="1">
        <v>601095</v>
      </c>
      <c r="M159" t="s">
        <v>1009</v>
      </c>
      <c r="N159">
        <v>0.815804195337825</v>
      </c>
      <c r="O159" t="s">
        <v>85</v>
      </c>
      <c r="P159" t="s">
        <v>41</v>
      </c>
      <c r="Q159">
        <v>500</v>
      </c>
      <c r="R159">
        <v>2.5000000000000001E-2</v>
      </c>
      <c r="S159" t="s">
        <v>654</v>
      </c>
      <c r="T159" t="s">
        <v>42</v>
      </c>
      <c r="U159" t="s">
        <v>64</v>
      </c>
      <c r="V159" t="s">
        <v>44</v>
      </c>
      <c r="W159">
        <v>5</v>
      </c>
      <c r="X159">
        <v>2</v>
      </c>
      <c r="Y159" t="s">
        <v>650</v>
      </c>
      <c r="Z159" t="s">
        <v>652</v>
      </c>
      <c r="AA159" t="s">
        <v>651</v>
      </c>
      <c r="AB159" t="s">
        <v>653</v>
      </c>
      <c r="AC159" t="s">
        <v>122</v>
      </c>
      <c r="AD159" t="s">
        <v>123</v>
      </c>
      <c r="AE159" t="s">
        <v>124</v>
      </c>
      <c r="AF159" t="s">
        <v>125</v>
      </c>
      <c r="AG159" t="s">
        <v>51</v>
      </c>
      <c r="AH159" t="s">
        <v>126</v>
      </c>
      <c r="AI159" t="s">
        <v>53</v>
      </c>
      <c r="AJ159" t="b">
        <v>1</v>
      </c>
      <c r="AK159" t="b">
        <v>1</v>
      </c>
      <c r="AL159">
        <v>1</v>
      </c>
      <c r="AM159">
        <v>1</v>
      </c>
      <c r="AN159" t="s">
        <v>56</v>
      </c>
      <c r="AO159" t="s">
        <v>57</v>
      </c>
      <c r="AP159">
        <v>0.5</v>
      </c>
      <c r="AQ159" t="b">
        <v>0</v>
      </c>
      <c r="AR159" t="s">
        <v>23</v>
      </c>
      <c r="AS159">
        <v>50000</v>
      </c>
      <c r="AT159">
        <v>200</v>
      </c>
      <c r="AU159" t="s">
        <v>121</v>
      </c>
      <c r="AV159" t="b">
        <v>0</v>
      </c>
      <c r="AW159" t="b">
        <v>0</v>
      </c>
      <c r="AX159" t="b">
        <v>1</v>
      </c>
      <c r="AY159" t="b">
        <v>0</v>
      </c>
      <c r="AZ159">
        <v>141</v>
      </c>
      <c r="BA159">
        <f>INDEX(Inp_CER_Bin_2eps3arms!$AN$2:$AN$176,MATCH(Table1[[#This Row],[ModelID]],Inp_CER_Bin_2eps3arms!$A$2:$A$176,0))</f>
        <v>0</v>
      </c>
      <c r="BE159" s="10">
        <f>Table1[[#This Row],[Global.Power]]</f>
        <v>2.2021200000000001E-2</v>
      </c>
      <c r="BF159" s="10">
        <f>Table1[[#This Row],[Conjunctive.Power]]</f>
        <v>0</v>
      </c>
      <c r="BG159" s="10">
        <f>Table1[[#This Row],[Disjunctive.Power]]</f>
        <v>0</v>
      </c>
      <c r="BH159" s="10">
        <f>Table1[[#This Row],[FWER]]</f>
        <v>2.2021200000000001E-2</v>
      </c>
      <c r="BI159" s="10">
        <f>_xlfn.NUMBERVALUE(MID(Table1[[#This Row],[CI_95perc_Global.Power]],2,FIND(",",Table1[[#This Row],[CI_95perc_Global.Power]])-2))</f>
        <v>2.1499999999999998E-2</v>
      </c>
      <c r="BJ159" s="10">
        <f>_xlfn.NUMBERVALUE(MID(Table1[[#This Row],[CI_95perc_Global.Power]],FIND(",",Table1[[#This Row],[CI_95perc_Global.Power]])+1,LEN(Table1[[#This Row],[CI_95perc_Global.Power]])-FIND(",",Table1[[#This Row],[CI_95perc_Global.Power]])-1))</f>
        <v>2.2540000000000001E-2</v>
      </c>
      <c r="BK159" s="10">
        <f>_xlfn.NUMBERVALUE(MID(Table1[[#This Row],[CI_95perc_Conjunctive.Power]],2,FIND(",",Table1[[#This Row],[CI_95perc_Conjunctive.Power]])-2))</f>
        <v>0</v>
      </c>
      <c r="BL159" s="10">
        <f>_xlfn.NUMBERVALUE(MID(Table1[[#This Row],[CI_95perc_Conjunctive.Power]],FIND(",",Table1[[#This Row],[CI_95perc_Conjunctive.Power]])+1,LEN(Table1[[#This Row],[CI_95perc_Conjunctive.Power]])-FIND(",",Table1[[#This Row],[CI_95perc_Conjunctive.Power]])-1))</f>
        <v>0</v>
      </c>
      <c r="BM159" s="10">
        <f>_xlfn.NUMBERVALUE(MID(Table1[[#This Row],[CI_95perc_Disjunctive.Power]],2,FIND(",",Table1[[#This Row],[CI_95perc_Disjunctive.Power]])-2))</f>
        <v>0</v>
      </c>
      <c r="BN159" s="10">
        <f>_xlfn.NUMBERVALUE(MID(Table1[[#This Row],[CI_95perc_Disjunctive.Power]],FIND(",",Table1[[#This Row],[CI_95perc_Disjunctive.Power]])+1,LEN(Table1[[#This Row],[CI_95perc_Disjunctive.Power]])-FIND(",",Table1[[#This Row],[CI_95perc_Disjunctive.Power]])-1))</f>
        <v>0</v>
      </c>
      <c r="BO159" s="10">
        <f>_xlfn.NUMBERVALUE(MID(Table1[[#This Row],[CI_95perc_FWER]],2,FIND(",",Table1[[#This Row],[CI_95perc_FWER]])-2))</f>
        <v>2.1499999999999998E-2</v>
      </c>
      <c r="BP159" s="10">
        <f>_xlfn.NUMBERVALUE(MID(Table1[[#This Row],[CI_95perc_FWER]],FIND(",",Table1[[#This Row],[CI_95perc_FWER]])+1,LEN(Table1[[#This Row],[CI_95perc_FWER]])-FIND(",",Table1[[#This Row],[CI_95perc_FWER]])-1))</f>
        <v>2.2540000000000001E-2</v>
      </c>
      <c r="BQ159" s="10" t="str">
        <f>_xlfn.CONCAT("(",TEXT(Table1[[#This Row],[LCL_Disj.Pow%]],"0.00%"), ", ",TEXT(Table1[[#This Row],[UCL_Disj.Pow%]],"0.00%"),")")</f>
        <v>(0.00%, 0.00%)</v>
      </c>
      <c r="BR159" s="10" t="str">
        <f>_xlfn.CONCAT("(",TEXT(Table1[[#This Row],[LCL_Conj.Pow%]],"0.00%"),", ",TEXT(Table1[[#This Row],[UCL_Conj.Pow%]],"0.00%"),")")</f>
        <v>(0.00%, 0.00%)</v>
      </c>
      <c r="BS159" s="10" t="str">
        <f>_xlfn.CONCAT("(",TEXT(Table1[[#This Row],[LCL_FWER%]],"0.00%"),", ",TEXT(Table1[[#This Row],[UCL_FWER%]],"0.00%"),")")</f>
        <v>(2.15%, 2.25%)</v>
      </c>
    </row>
    <row r="160" spans="1:71" x14ac:dyDescent="0.25">
      <c r="A160">
        <v>158</v>
      </c>
      <c r="B160" t="s">
        <v>815</v>
      </c>
      <c r="C160">
        <v>9206</v>
      </c>
      <c r="D160">
        <v>2.1426528530570602E-2</v>
      </c>
      <c r="E160">
        <v>0</v>
      </c>
      <c r="F160">
        <v>0</v>
      </c>
      <c r="G160">
        <v>2.1426528530570602E-2</v>
      </c>
      <c r="H160" t="s">
        <v>1010</v>
      </c>
      <c r="I160" t="s">
        <v>83</v>
      </c>
      <c r="J160" t="s">
        <v>83</v>
      </c>
      <c r="K160" t="s">
        <v>1010</v>
      </c>
      <c r="L160" s="1">
        <v>571083</v>
      </c>
      <c r="M160" t="s">
        <v>1011</v>
      </c>
      <c r="N160">
        <v>0.50753814498583505</v>
      </c>
      <c r="O160" t="s">
        <v>85</v>
      </c>
      <c r="P160" t="s">
        <v>41</v>
      </c>
      <c r="Q160">
        <v>500</v>
      </c>
      <c r="R160">
        <v>2.5000000000000001E-2</v>
      </c>
      <c r="S160" t="s">
        <v>654</v>
      </c>
      <c r="T160" t="s">
        <v>42</v>
      </c>
      <c r="U160" t="s">
        <v>64</v>
      </c>
      <c r="V160" t="s">
        <v>44</v>
      </c>
      <c r="W160">
        <v>5</v>
      </c>
      <c r="X160">
        <v>2</v>
      </c>
      <c r="Y160" t="s">
        <v>650</v>
      </c>
      <c r="Z160" t="s">
        <v>652</v>
      </c>
      <c r="AA160" t="s">
        <v>651</v>
      </c>
      <c r="AB160" t="s">
        <v>653</v>
      </c>
      <c r="AC160" t="s">
        <v>122</v>
      </c>
      <c r="AD160" t="s">
        <v>123</v>
      </c>
      <c r="AE160" t="s">
        <v>124</v>
      </c>
      <c r="AF160" t="s">
        <v>125</v>
      </c>
      <c r="AG160" t="s">
        <v>51</v>
      </c>
      <c r="AH160" t="s">
        <v>126</v>
      </c>
      <c r="AI160" t="s">
        <v>53</v>
      </c>
      <c r="AJ160" t="b">
        <v>1</v>
      </c>
      <c r="AK160" t="b">
        <v>1</v>
      </c>
      <c r="AL160">
        <v>1</v>
      </c>
      <c r="AM160">
        <v>1</v>
      </c>
      <c r="AN160" t="s">
        <v>56</v>
      </c>
      <c r="AO160" t="s">
        <v>57</v>
      </c>
      <c r="AP160">
        <v>0.25</v>
      </c>
      <c r="AQ160" t="b">
        <v>0</v>
      </c>
      <c r="AR160" t="s">
        <v>23</v>
      </c>
      <c r="AS160">
        <v>50000</v>
      </c>
      <c r="AT160">
        <v>200</v>
      </c>
      <c r="AU160" t="s">
        <v>121</v>
      </c>
      <c r="AV160" t="b">
        <v>0</v>
      </c>
      <c r="AW160" t="b">
        <v>0</v>
      </c>
      <c r="AX160" t="b">
        <v>1</v>
      </c>
      <c r="AY160" t="b">
        <v>0</v>
      </c>
      <c r="AZ160">
        <v>142</v>
      </c>
      <c r="BA160">
        <f>INDEX(Inp_CER_Bin_2eps3arms!$AN$2:$AN$176,MATCH(Table1[[#This Row],[ModelID]],Inp_CER_Bin_2eps3arms!$A$2:$A$176,0))</f>
        <v>0</v>
      </c>
      <c r="BE160" s="10">
        <f>Table1[[#This Row],[Global.Power]]</f>
        <v>2.1426528530570602E-2</v>
      </c>
      <c r="BF160" s="10">
        <f>Table1[[#This Row],[Conjunctive.Power]]</f>
        <v>0</v>
      </c>
      <c r="BG160" s="10">
        <f>Table1[[#This Row],[Disjunctive.Power]]</f>
        <v>0</v>
      </c>
      <c r="BH160" s="10">
        <f>Table1[[#This Row],[FWER]]</f>
        <v>2.1426528530570602E-2</v>
      </c>
      <c r="BI160" s="10">
        <f>_xlfn.NUMBERVALUE(MID(Table1[[#This Row],[CI_95perc_Global.Power]],2,FIND(",",Table1[[#This Row],[CI_95perc_Global.Power]])-2))</f>
        <v>2.0910000000000002E-2</v>
      </c>
      <c r="BJ160" s="10">
        <f>_xlfn.NUMBERVALUE(MID(Table1[[#This Row],[CI_95perc_Global.Power]],FIND(",",Table1[[#This Row],[CI_95perc_Global.Power]])+1,LEN(Table1[[#This Row],[CI_95perc_Global.Power]])-FIND(",",Table1[[#This Row],[CI_95perc_Global.Power]])-1))</f>
        <v>2.1940000000000001E-2</v>
      </c>
      <c r="BK160" s="10">
        <f>_xlfn.NUMBERVALUE(MID(Table1[[#This Row],[CI_95perc_Conjunctive.Power]],2,FIND(",",Table1[[#This Row],[CI_95perc_Conjunctive.Power]])-2))</f>
        <v>0</v>
      </c>
      <c r="BL160" s="10">
        <f>_xlfn.NUMBERVALUE(MID(Table1[[#This Row],[CI_95perc_Conjunctive.Power]],FIND(",",Table1[[#This Row],[CI_95perc_Conjunctive.Power]])+1,LEN(Table1[[#This Row],[CI_95perc_Conjunctive.Power]])-FIND(",",Table1[[#This Row],[CI_95perc_Conjunctive.Power]])-1))</f>
        <v>0</v>
      </c>
      <c r="BM160" s="10">
        <f>_xlfn.NUMBERVALUE(MID(Table1[[#This Row],[CI_95perc_Disjunctive.Power]],2,FIND(",",Table1[[#This Row],[CI_95perc_Disjunctive.Power]])-2))</f>
        <v>0</v>
      </c>
      <c r="BN160" s="10">
        <f>_xlfn.NUMBERVALUE(MID(Table1[[#This Row],[CI_95perc_Disjunctive.Power]],FIND(",",Table1[[#This Row],[CI_95perc_Disjunctive.Power]])+1,LEN(Table1[[#This Row],[CI_95perc_Disjunctive.Power]])-FIND(",",Table1[[#This Row],[CI_95perc_Disjunctive.Power]])-1))</f>
        <v>0</v>
      </c>
      <c r="BO160" s="10">
        <f>_xlfn.NUMBERVALUE(MID(Table1[[#This Row],[CI_95perc_FWER]],2,FIND(",",Table1[[#This Row],[CI_95perc_FWER]])-2))</f>
        <v>2.0910000000000002E-2</v>
      </c>
      <c r="BP160" s="10">
        <f>_xlfn.NUMBERVALUE(MID(Table1[[#This Row],[CI_95perc_FWER]],FIND(",",Table1[[#This Row],[CI_95perc_FWER]])+1,LEN(Table1[[#This Row],[CI_95perc_FWER]])-FIND(",",Table1[[#This Row],[CI_95perc_FWER]])-1))</f>
        <v>2.1940000000000001E-2</v>
      </c>
      <c r="BQ160" s="10" t="str">
        <f>_xlfn.CONCAT("(",TEXT(Table1[[#This Row],[LCL_Disj.Pow%]],"0.00%"), ", ",TEXT(Table1[[#This Row],[UCL_Disj.Pow%]],"0.00%"),")")</f>
        <v>(0.00%, 0.00%)</v>
      </c>
      <c r="BR160" s="10" t="str">
        <f>_xlfn.CONCAT("(",TEXT(Table1[[#This Row],[LCL_Conj.Pow%]],"0.00%"),", ",TEXT(Table1[[#This Row],[UCL_Conj.Pow%]],"0.00%"),")")</f>
        <v>(0.00%, 0.00%)</v>
      </c>
      <c r="BS160" s="10" t="str">
        <f>_xlfn.CONCAT("(",TEXT(Table1[[#This Row],[LCL_FWER%]],"0.00%"),", ",TEXT(Table1[[#This Row],[UCL_FWER%]],"0.00%"),")")</f>
        <v>(2.09%, 2.19%)</v>
      </c>
    </row>
    <row r="161" spans="1:71" x14ac:dyDescent="0.25">
      <c r="A161">
        <v>159</v>
      </c>
      <c r="B161" t="s">
        <v>816</v>
      </c>
      <c r="C161">
        <v>7523</v>
      </c>
      <c r="D161">
        <v>1.9373610972069299E-2</v>
      </c>
      <c r="E161">
        <v>0</v>
      </c>
      <c r="F161">
        <v>0</v>
      </c>
      <c r="G161">
        <v>1.9373610972069299E-2</v>
      </c>
      <c r="H161" t="s">
        <v>1012</v>
      </c>
      <c r="I161" t="s">
        <v>83</v>
      </c>
      <c r="J161" t="s">
        <v>83</v>
      </c>
      <c r="K161" t="s">
        <v>1012</v>
      </c>
      <c r="L161" s="1" t="s">
        <v>1013</v>
      </c>
      <c r="M161" t="s">
        <v>1014</v>
      </c>
      <c r="N161">
        <v>0.67370773136615802</v>
      </c>
      <c r="O161" t="s">
        <v>85</v>
      </c>
      <c r="P161" t="s">
        <v>41</v>
      </c>
      <c r="Q161">
        <v>500</v>
      </c>
      <c r="R161">
        <v>2.5000000000000001E-2</v>
      </c>
      <c r="S161" t="s">
        <v>654</v>
      </c>
      <c r="T161" t="s">
        <v>42</v>
      </c>
      <c r="U161" t="s">
        <v>64</v>
      </c>
      <c r="V161" t="s">
        <v>44</v>
      </c>
      <c r="W161">
        <v>5</v>
      </c>
      <c r="X161">
        <v>2</v>
      </c>
      <c r="Y161" t="s">
        <v>650</v>
      </c>
      <c r="Z161" t="s">
        <v>652</v>
      </c>
      <c r="AA161" t="s">
        <v>651</v>
      </c>
      <c r="AB161" t="s">
        <v>653</v>
      </c>
      <c r="AC161" t="s">
        <v>122</v>
      </c>
      <c r="AD161" t="s">
        <v>123</v>
      </c>
      <c r="AE161" t="s">
        <v>124</v>
      </c>
      <c r="AF161" t="s">
        <v>125</v>
      </c>
      <c r="AG161" t="s">
        <v>51</v>
      </c>
      <c r="AH161" t="s">
        <v>126</v>
      </c>
      <c r="AI161" t="s">
        <v>53</v>
      </c>
      <c r="AJ161" t="b">
        <v>1</v>
      </c>
      <c r="AK161" t="b">
        <v>1</v>
      </c>
      <c r="AL161">
        <v>1</v>
      </c>
      <c r="AM161">
        <v>1</v>
      </c>
      <c r="AN161" t="s">
        <v>56</v>
      </c>
      <c r="AO161" t="s">
        <v>60</v>
      </c>
      <c r="AP161">
        <v>1</v>
      </c>
      <c r="AQ161" t="b">
        <v>0</v>
      </c>
      <c r="AR161" t="s">
        <v>23</v>
      </c>
      <c r="AS161">
        <v>50000</v>
      </c>
      <c r="AT161">
        <v>200</v>
      </c>
      <c r="AU161" t="s">
        <v>121</v>
      </c>
      <c r="AV161" t="b">
        <v>0</v>
      </c>
      <c r="AW161" t="b">
        <v>0</v>
      </c>
      <c r="AX161" t="b">
        <v>1</v>
      </c>
      <c r="AY161" t="b">
        <v>0</v>
      </c>
      <c r="AZ161">
        <v>143</v>
      </c>
      <c r="BA161">
        <f>INDEX(Inp_CER_Bin_2eps3arms!$AN$2:$AN$176,MATCH(Table1[[#This Row],[ModelID]],Inp_CER_Bin_2eps3arms!$A$2:$A$176,0))</f>
        <v>0</v>
      </c>
      <c r="BE161" s="10">
        <f>Table1[[#This Row],[Global.Power]]</f>
        <v>1.9373610972069299E-2</v>
      </c>
      <c r="BF161" s="10">
        <f>Table1[[#This Row],[Conjunctive.Power]]</f>
        <v>0</v>
      </c>
      <c r="BG161" s="10">
        <f>Table1[[#This Row],[Disjunctive.Power]]</f>
        <v>0</v>
      </c>
      <c r="BH161" s="10">
        <f>Table1[[#This Row],[FWER]]</f>
        <v>1.9373610972069299E-2</v>
      </c>
      <c r="BI161" s="10">
        <f>_xlfn.NUMBERVALUE(MID(Table1[[#This Row],[CI_95perc_Global.Power]],2,FIND(",",Table1[[#This Row],[CI_95perc_Global.Power]])-2))</f>
        <v>1.898E-2</v>
      </c>
      <c r="BJ161" s="10">
        <f>_xlfn.NUMBERVALUE(MID(Table1[[#This Row],[CI_95perc_Global.Power]],FIND(",",Table1[[#This Row],[CI_95perc_Global.Power]])+1,LEN(Table1[[#This Row],[CI_95perc_Global.Power]])-FIND(",",Table1[[#This Row],[CI_95perc_Global.Power]])-1))</f>
        <v>1.9769999999999999E-2</v>
      </c>
      <c r="BK161" s="10">
        <f>_xlfn.NUMBERVALUE(MID(Table1[[#This Row],[CI_95perc_Conjunctive.Power]],2,FIND(",",Table1[[#This Row],[CI_95perc_Conjunctive.Power]])-2))</f>
        <v>0</v>
      </c>
      <c r="BL161" s="10">
        <f>_xlfn.NUMBERVALUE(MID(Table1[[#This Row],[CI_95perc_Conjunctive.Power]],FIND(",",Table1[[#This Row],[CI_95perc_Conjunctive.Power]])+1,LEN(Table1[[#This Row],[CI_95perc_Conjunctive.Power]])-FIND(",",Table1[[#This Row],[CI_95perc_Conjunctive.Power]])-1))</f>
        <v>0</v>
      </c>
      <c r="BM161" s="10">
        <f>_xlfn.NUMBERVALUE(MID(Table1[[#This Row],[CI_95perc_Disjunctive.Power]],2,FIND(",",Table1[[#This Row],[CI_95perc_Disjunctive.Power]])-2))</f>
        <v>0</v>
      </c>
      <c r="BN161" s="10">
        <f>_xlfn.NUMBERVALUE(MID(Table1[[#This Row],[CI_95perc_Disjunctive.Power]],FIND(",",Table1[[#This Row],[CI_95perc_Disjunctive.Power]])+1,LEN(Table1[[#This Row],[CI_95perc_Disjunctive.Power]])-FIND(",",Table1[[#This Row],[CI_95perc_Disjunctive.Power]])-1))</f>
        <v>0</v>
      </c>
      <c r="BO161" s="10">
        <f>_xlfn.NUMBERVALUE(MID(Table1[[#This Row],[CI_95perc_FWER]],2,FIND(",",Table1[[#This Row],[CI_95perc_FWER]])-2))</f>
        <v>1.898E-2</v>
      </c>
      <c r="BP161" s="10">
        <f>_xlfn.NUMBERVALUE(MID(Table1[[#This Row],[CI_95perc_FWER]],FIND(",",Table1[[#This Row],[CI_95perc_FWER]])+1,LEN(Table1[[#This Row],[CI_95perc_FWER]])-FIND(",",Table1[[#This Row],[CI_95perc_FWER]])-1))</f>
        <v>1.9769999999999999E-2</v>
      </c>
      <c r="BQ161" s="10" t="str">
        <f>_xlfn.CONCAT("(",TEXT(Table1[[#This Row],[LCL_Disj.Pow%]],"0.00%"), ", ",TEXT(Table1[[#This Row],[UCL_Disj.Pow%]],"0.00%"),")")</f>
        <v>(0.00%, 0.00%)</v>
      </c>
      <c r="BR161" s="10" t="str">
        <f>_xlfn.CONCAT("(",TEXT(Table1[[#This Row],[LCL_Conj.Pow%]],"0.00%"),", ",TEXT(Table1[[#This Row],[UCL_Conj.Pow%]],"0.00%"),")")</f>
        <v>(0.00%, 0.00%)</v>
      </c>
      <c r="BS161" s="10" t="str">
        <f>_xlfn.CONCAT("(",TEXT(Table1[[#This Row],[LCL_FWER%]],"0.00%"),", ",TEXT(Table1[[#This Row],[UCL_FWER%]],"0.00%"),")")</f>
        <v>(1.90%, 1.98%)</v>
      </c>
    </row>
    <row r="162" spans="1:71" x14ac:dyDescent="0.25">
      <c r="A162">
        <v>160</v>
      </c>
      <c r="B162" t="s">
        <v>817</v>
      </c>
      <c r="C162">
        <v>1758</v>
      </c>
      <c r="D162">
        <v>0.695480057606913</v>
      </c>
      <c r="E162">
        <v>1.37016441973037E-2</v>
      </c>
      <c r="F162">
        <v>0.69512701524182896</v>
      </c>
      <c r="G162">
        <v>2.1841821018522199E-2</v>
      </c>
      <c r="H162" t="s">
        <v>1015</v>
      </c>
      <c r="I162" t="s">
        <v>1016</v>
      </c>
      <c r="J162" t="s">
        <v>1017</v>
      </c>
      <c r="K162" t="s">
        <v>1018</v>
      </c>
      <c r="L162" s="1">
        <v>412630740</v>
      </c>
      <c r="M162" t="s">
        <v>1019</v>
      </c>
      <c r="N162">
        <v>1.1433967832724301</v>
      </c>
      <c r="O162" t="s">
        <v>85</v>
      </c>
      <c r="P162" t="s">
        <v>41</v>
      </c>
      <c r="Q162">
        <v>500</v>
      </c>
      <c r="R162">
        <v>2.5000000000000001E-2</v>
      </c>
      <c r="S162" t="s">
        <v>654</v>
      </c>
      <c r="T162" t="s">
        <v>42</v>
      </c>
      <c r="U162" t="s">
        <v>64</v>
      </c>
      <c r="V162" t="s">
        <v>44</v>
      </c>
      <c r="W162">
        <v>5</v>
      </c>
      <c r="X162">
        <v>2</v>
      </c>
      <c r="Y162" t="s">
        <v>650</v>
      </c>
      <c r="Z162" t="s">
        <v>710</v>
      </c>
      <c r="AA162" t="s">
        <v>651</v>
      </c>
      <c r="AB162" t="s">
        <v>711</v>
      </c>
      <c r="AC162" t="s">
        <v>122</v>
      </c>
      <c r="AD162" t="s">
        <v>123</v>
      </c>
      <c r="AE162" t="s">
        <v>124</v>
      </c>
      <c r="AF162" t="s">
        <v>125</v>
      </c>
      <c r="AG162" t="s">
        <v>51</v>
      </c>
      <c r="AH162" t="s">
        <v>126</v>
      </c>
      <c r="AI162" t="s">
        <v>53</v>
      </c>
      <c r="AJ162" t="b">
        <v>1</v>
      </c>
      <c r="AK162" t="b">
        <v>1</v>
      </c>
      <c r="AL162">
        <v>1</v>
      </c>
      <c r="AM162">
        <v>1</v>
      </c>
      <c r="AN162" t="s">
        <v>56</v>
      </c>
      <c r="AO162" t="s">
        <v>57</v>
      </c>
      <c r="AP162">
        <v>0.75</v>
      </c>
      <c r="AQ162" t="b">
        <v>0</v>
      </c>
      <c r="AR162" t="s">
        <v>23</v>
      </c>
      <c r="AS162">
        <v>50000</v>
      </c>
      <c r="AT162">
        <v>200</v>
      </c>
      <c r="AU162" t="s">
        <v>121</v>
      </c>
      <c r="AV162" t="b">
        <v>0</v>
      </c>
      <c r="AW162" t="b">
        <v>0</v>
      </c>
      <c r="AX162" t="b">
        <v>1</v>
      </c>
      <c r="AY162" t="b">
        <v>0</v>
      </c>
      <c r="AZ162">
        <v>144</v>
      </c>
      <c r="BA162">
        <f>INDEX(Inp_CER_Bin_2eps3arms!$AN$2:$AN$176,MATCH(Table1[[#This Row],[ModelID]],Inp_CER_Bin_2eps3arms!$A$2:$A$176,0))</f>
        <v>0</v>
      </c>
      <c r="BE162" s="10">
        <f>Table1[[#This Row],[Global.Power]]</f>
        <v>0.695480057606913</v>
      </c>
      <c r="BF162" s="10">
        <f>Table1[[#This Row],[Conjunctive.Power]]</f>
        <v>1.37016441973037E-2</v>
      </c>
      <c r="BG162" s="10">
        <f>Table1[[#This Row],[Disjunctive.Power]]</f>
        <v>0.69512701524182896</v>
      </c>
      <c r="BH162" s="10">
        <f>Table1[[#This Row],[FWER]]</f>
        <v>2.1841821018522199E-2</v>
      </c>
      <c r="BI162" s="10">
        <f>_xlfn.NUMBERVALUE(MID(Table1[[#This Row],[CI_95perc_Global.Power]],2,FIND(",",Table1[[#This Row],[CI_95perc_Global.Power]])-2))</f>
        <v>0.69333999999999996</v>
      </c>
      <c r="BJ162" s="10">
        <f>_xlfn.NUMBERVALUE(MID(Table1[[#This Row],[CI_95perc_Global.Power]],FIND(",",Table1[[#This Row],[CI_95perc_Global.Power]])+1,LEN(Table1[[#This Row],[CI_95perc_Global.Power]])-FIND(",",Table1[[#This Row],[CI_95perc_Global.Power]])-1))</f>
        <v>0.69762000000000002</v>
      </c>
      <c r="BK162" s="10">
        <f>_xlfn.NUMBERVALUE(MID(Table1[[#This Row],[CI_95perc_Conjunctive.Power]],2,FIND(",",Table1[[#This Row],[CI_95perc_Conjunctive.Power]])-2))</f>
        <v>1.268E-2</v>
      </c>
      <c r="BL162" s="10">
        <f>_xlfn.NUMBERVALUE(MID(Table1[[#This Row],[CI_95perc_Conjunctive.Power]],FIND(",",Table1[[#This Row],[CI_95perc_Conjunctive.Power]])+1,LEN(Table1[[#This Row],[CI_95perc_Conjunctive.Power]])-FIND(",",Table1[[#This Row],[CI_95perc_Conjunctive.Power]])-1))</f>
        <v>1.472E-2</v>
      </c>
      <c r="BM162" s="10">
        <f>_xlfn.NUMBERVALUE(MID(Table1[[#This Row],[CI_95perc_Disjunctive.Power]],2,FIND(",",Table1[[#This Row],[CI_95perc_Disjunctive.Power]])-2))</f>
        <v>0.69298999999999999</v>
      </c>
      <c r="BN162" s="10">
        <f>_xlfn.NUMBERVALUE(MID(Table1[[#This Row],[CI_95perc_Disjunctive.Power]],FIND(",",Table1[[#This Row],[CI_95perc_Disjunctive.Power]])+1,LEN(Table1[[#This Row],[CI_95perc_Disjunctive.Power]])-FIND(",",Table1[[#This Row],[CI_95perc_Disjunctive.Power]])-1))</f>
        <v>0.69726999999999995</v>
      </c>
      <c r="BO162" s="10">
        <f>_xlfn.NUMBERVALUE(MID(Table1[[#This Row],[CI_95perc_FWER]],2,FIND(",",Table1[[#This Row],[CI_95perc_FWER]])-2))</f>
        <v>2.1329999999999998E-2</v>
      </c>
      <c r="BP162" s="10">
        <f>_xlfn.NUMBERVALUE(MID(Table1[[#This Row],[CI_95perc_FWER]],FIND(",",Table1[[#This Row],[CI_95perc_FWER]])+1,LEN(Table1[[#This Row],[CI_95perc_FWER]])-FIND(",",Table1[[#This Row],[CI_95perc_FWER]])-1))</f>
        <v>2.2349999999999998E-2</v>
      </c>
      <c r="BQ162" s="10" t="str">
        <f>_xlfn.CONCAT("(",TEXT(Table1[[#This Row],[LCL_Disj.Pow%]],"0.00%"), ", ",TEXT(Table1[[#This Row],[UCL_Disj.Pow%]],"0.00%"),")")</f>
        <v>(69.30%, 69.73%)</v>
      </c>
      <c r="BR162" s="10" t="str">
        <f>_xlfn.CONCAT("(",TEXT(Table1[[#This Row],[LCL_Conj.Pow%]],"0.00%"),", ",TEXT(Table1[[#This Row],[UCL_Conj.Pow%]],"0.00%"),")")</f>
        <v>(1.27%, 1.47%)</v>
      </c>
      <c r="BS162" s="10" t="str">
        <f>_xlfn.CONCAT("(",TEXT(Table1[[#This Row],[LCL_FWER%]],"0.00%"),", ",TEXT(Table1[[#This Row],[UCL_FWER%]],"0.00%"),")")</f>
        <v>(2.13%, 2.24%)</v>
      </c>
    </row>
    <row r="163" spans="1:71" x14ac:dyDescent="0.25">
      <c r="A163">
        <v>161</v>
      </c>
      <c r="B163" t="s">
        <v>818</v>
      </c>
      <c r="C163">
        <v>2994</v>
      </c>
      <c r="D163">
        <v>0.925662012189575</v>
      </c>
      <c r="E163">
        <v>1.84208132447921E-3</v>
      </c>
      <c r="F163">
        <v>0.92489788956608798</v>
      </c>
      <c r="G163">
        <v>1.2578459019376E-3</v>
      </c>
      <c r="H163" t="s">
        <v>1020</v>
      </c>
      <c r="I163" t="s">
        <v>1021</v>
      </c>
      <c r="J163" t="s">
        <v>1022</v>
      </c>
      <c r="K163" t="s">
        <v>1023</v>
      </c>
      <c r="L163" s="1">
        <v>100639720</v>
      </c>
      <c r="M163" t="s">
        <v>1024</v>
      </c>
      <c r="N163">
        <v>0.60480418966876104</v>
      </c>
      <c r="O163" t="s">
        <v>85</v>
      </c>
      <c r="P163" t="s">
        <v>41</v>
      </c>
      <c r="Q163">
        <v>500</v>
      </c>
      <c r="R163">
        <v>2.5000000000000001E-2</v>
      </c>
      <c r="S163" t="s">
        <v>654</v>
      </c>
      <c r="T163" t="s">
        <v>42</v>
      </c>
      <c r="U163" t="s">
        <v>64</v>
      </c>
      <c r="V163" t="s">
        <v>44</v>
      </c>
      <c r="W163">
        <v>5</v>
      </c>
      <c r="X163">
        <v>2</v>
      </c>
      <c r="Y163" t="s">
        <v>650</v>
      </c>
      <c r="Z163" t="s">
        <v>724</v>
      </c>
      <c r="AA163" t="s">
        <v>651</v>
      </c>
      <c r="AB163" t="s">
        <v>727</v>
      </c>
      <c r="AC163" t="s">
        <v>122</v>
      </c>
      <c r="AD163" t="s">
        <v>123</v>
      </c>
      <c r="AE163" t="s">
        <v>124</v>
      </c>
      <c r="AF163" t="s">
        <v>125</v>
      </c>
      <c r="AG163" t="s">
        <v>51</v>
      </c>
      <c r="AH163" t="s">
        <v>126</v>
      </c>
      <c r="AI163" t="s">
        <v>53</v>
      </c>
      <c r="AJ163" t="b">
        <v>1</v>
      </c>
      <c r="AK163" t="b">
        <v>1</v>
      </c>
      <c r="AL163">
        <v>1</v>
      </c>
      <c r="AM163">
        <v>1</v>
      </c>
      <c r="AN163" t="s">
        <v>56</v>
      </c>
      <c r="AO163" t="s">
        <v>60</v>
      </c>
      <c r="AP163">
        <v>1</v>
      </c>
      <c r="AQ163" t="b">
        <v>0</v>
      </c>
      <c r="AR163" t="s">
        <v>23</v>
      </c>
      <c r="AS163">
        <v>50000</v>
      </c>
      <c r="AT163">
        <v>200</v>
      </c>
      <c r="AU163" t="s">
        <v>121</v>
      </c>
      <c r="AV163" t="b">
        <v>0</v>
      </c>
      <c r="AW163" t="b">
        <v>0</v>
      </c>
      <c r="AX163" t="b">
        <v>1</v>
      </c>
      <c r="AY163" t="b">
        <v>0</v>
      </c>
      <c r="AZ163">
        <v>145</v>
      </c>
      <c r="BA163">
        <f>INDEX(Inp_CER_Bin_2eps3arms!$AN$2:$AN$176,MATCH(Table1[[#This Row],[ModelID]],Inp_CER_Bin_2eps3arms!$A$2:$A$176,0))</f>
        <v>0</v>
      </c>
      <c r="BE163" s="10">
        <f>Table1[[#This Row],[Global.Power]]</f>
        <v>0.925662012189575</v>
      </c>
      <c r="BF163" s="10">
        <f>Table1[[#This Row],[Conjunctive.Power]]</f>
        <v>1.84208132447921E-3</v>
      </c>
      <c r="BG163" s="10">
        <f>Table1[[#This Row],[Disjunctive.Power]]</f>
        <v>0.92489788956608798</v>
      </c>
      <c r="BH163" s="10">
        <f>Table1[[#This Row],[FWER]]</f>
        <v>1.2578459019376E-3</v>
      </c>
      <c r="BI163" s="10">
        <f>_xlfn.NUMBERVALUE(MID(Table1[[#This Row],[CI_95perc_Global.Power]],2,FIND(",",Table1[[#This Row],[CI_95perc_Global.Power]])-2))</f>
        <v>0.92444000000000004</v>
      </c>
      <c r="BJ163" s="10">
        <f>_xlfn.NUMBERVALUE(MID(Table1[[#This Row],[CI_95perc_Global.Power]],FIND(",",Table1[[#This Row],[CI_95perc_Global.Power]])+1,LEN(Table1[[#This Row],[CI_95perc_Global.Power]])-FIND(",",Table1[[#This Row],[CI_95perc_Global.Power]])-1))</f>
        <v>0.92688999999999999</v>
      </c>
      <c r="BK163" s="10">
        <f>_xlfn.NUMBERVALUE(MID(Table1[[#This Row],[CI_95perc_Conjunctive.Power]],2,FIND(",",Table1[[#This Row],[CI_95perc_Conjunctive.Power]])-2))</f>
        <v>1.4400000000000001E-3</v>
      </c>
      <c r="BL163" s="10">
        <f>_xlfn.NUMBERVALUE(MID(Table1[[#This Row],[CI_95perc_Conjunctive.Power]],FIND(",",Table1[[#This Row],[CI_95perc_Conjunctive.Power]])+1,LEN(Table1[[#This Row],[CI_95perc_Conjunctive.Power]])-FIND(",",Table1[[#This Row],[CI_95perc_Conjunctive.Power]])-1))</f>
        <v>2.2399999999999998E-3</v>
      </c>
      <c r="BM163" s="10">
        <f>_xlfn.NUMBERVALUE(MID(Table1[[#This Row],[CI_95perc_Disjunctive.Power]],2,FIND(",",Table1[[#This Row],[CI_95perc_Disjunctive.Power]])-2))</f>
        <v>0.92362999999999995</v>
      </c>
      <c r="BN163" s="10">
        <f>_xlfn.NUMBERVALUE(MID(Table1[[#This Row],[CI_95perc_Disjunctive.Power]],FIND(",",Table1[[#This Row],[CI_95perc_Disjunctive.Power]])+1,LEN(Table1[[#This Row],[CI_95perc_Disjunctive.Power]])-FIND(",",Table1[[#This Row],[CI_95perc_Disjunctive.Power]])-1))</f>
        <v>0.92617000000000005</v>
      </c>
      <c r="BO163" s="10">
        <f>_xlfn.NUMBERVALUE(MID(Table1[[#This Row],[CI_95perc_FWER]],2,FIND(",",Table1[[#This Row],[CI_95perc_FWER]])-2))</f>
        <v>1.1000000000000001E-3</v>
      </c>
      <c r="BP163" s="10">
        <f>_xlfn.NUMBERVALUE(MID(Table1[[#This Row],[CI_95perc_FWER]],FIND(",",Table1[[#This Row],[CI_95perc_FWER]])+1,LEN(Table1[[#This Row],[CI_95perc_FWER]])-FIND(",",Table1[[#This Row],[CI_95perc_FWER]])-1))</f>
        <v>1.42E-3</v>
      </c>
      <c r="BQ163" s="10" t="str">
        <f>_xlfn.CONCAT("(",TEXT(Table1[[#This Row],[LCL_Disj.Pow%]],"0.00%"), ", ",TEXT(Table1[[#This Row],[UCL_Disj.Pow%]],"0.00%"),")")</f>
        <v>(92.36%, 92.62%)</v>
      </c>
      <c r="BR163" s="10" t="str">
        <f>_xlfn.CONCAT("(",TEXT(Table1[[#This Row],[LCL_Conj.Pow%]],"0.00%"),", ",TEXT(Table1[[#This Row],[UCL_Conj.Pow%]],"0.00%"),")")</f>
        <v>(0.14%, 0.22%)</v>
      </c>
      <c r="BS163" s="10" t="str">
        <f>_xlfn.CONCAT("(",TEXT(Table1[[#This Row],[LCL_FWER%]],"0.00%"),", ",TEXT(Table1[[#This Row],[UCL_FWER%]],"0.00%"),")")</f>
        <v>(0.11%, 0.14%)</v>
      </c>
    </row>
    <row r="164" spans="1:71" x14ac:dyDescent="0.25">
      <c r="A164">
        <v>162</v>
      </c>
      <c r="B164" t="s">
        <v>819</v>
      </c>
      <c r="C164">
        <v>4712</v>
      </c>
      <c r="D164">
        <v>0.88846968392817804</v>
      </c>
      <c r="E164">
        <v>1.02087795504134E-3</v>
      </c>
      <c r="F164">
        <v>0.88846698160418003</v>
      </c>
      <c r="G164">
        <v>1.9630782472926701E-2</v>
      </c>
      <c r="H164" t="s">
        <v>1025</v>
      </c>
      <c r="I164" t="s">
        <v>1026</v>
      </c>
      <c r="J164" t="s">
        <v>1027</v>
      </c>
      <c r="K164" t="s">
        <v>1028</v>
      </c>
      <c r="L164" s="1">
        <v>916435209</v>
      </c>
      <c r="M164" t="s">
        <v>1029</v>
      </c>
      <c r="N164">
        <v>1.13540626724561</v>
      </c>
      <c r="O164" t="s">
        <v>85</v>
      </c>
      <c r="P164" t="s">
        <v>41</v>
      </c>
      <c r="Q164">
        <v>500</v>
      </c>
      <c r="R164">
        <v>2.5000000000000001E-2</v>
      </c>
      <c r="S164" t="s">
        <v>654</v>
      </c>
      <c r="T164" t="s">
        <v>42</v>
      </c>
      <c r="U164" t="s">
        <v>64</v>
      </c>
      <c r="V164" t="s">
        <v>44</v>
      </c>
      <c r="W164">
        <v>5</v>
      </c>
      <c r="X164">
        <v>2</v>
      </c>
      <c r="Y164" t="s">
        <v>650</v>
      </c>
      <c r="Z164" t="s">
        <v>725</v>
      </c>
      <c r="AA164" t="s">
        <v>651</v>
      </c>
      <c r="AB164" t="s">
        <v>728</v>
      </c>
      <c r="AC164" t="s">
        <v>122</v>
      </c>
      <c r="AD164" t="s">
        <v>123</v>
      </c>
      <c r="AE164" t="s">
        <v>124</v>
      </c>
      <c r="AF164" t="s">
        <v>125</v>
      </c>
      <c r="AG164" t="s">
        <v>51</v>
      </c>
      <c r="AH164" t="s">
        <v>126</v>
      </c>
      <c r="AI164" t="s">
        <v>53</v>
      </c>
      <c r="AJ164" t="b">
        <v>1</v>
      </c>
      <c r="AK164" t="b">
        <v>1</v>
      </c>
      <c r="AL164">
        <v>1</v>
      </c>
      <c r="AM164">
        <v>1</v>
      </c>
      <c r="AN164" t="s">
        <v>56</v>
      </c>
      <c r="AO164" t="s">
        <v>57</v>
      </c>
      <c r="AP164">
        <v>0.5</v>
      </c>
      <c r="AQ164" t="b">
        <v>0</v>
      </c>
      <c r="AR164" t="s">
        <v>23</v>
      </c>
      <c r="AS164">
        <v>50000</v>
      </c>
      <c r="AT164">
        <v>200</v>
      </c>
      <c r="AU164" t="s">
        <v>121</v>
      </c>
      <c r="AV164" t="b">
        <v>0</v>
      </c>
      <c r="AW164" t="b">
        <v>0</v>
      </c>
      <c r="AX164" t="b">
        <v>1</v>
      </c>
      <c r="AY164" t="b">
        <v>0</v>
      </c>
      <c r="AZ164">
        <v>146</v>
      </c>
      <c r="BA164">
        <f>INDEX(Inp_CER_Bin_2eps3arms!$AN$2:$AN$176,MATCH(Table1[[#This Row],[ModelID]],Inp_CER_Bin_2eps3arms!$A$2:$A$176,0))</f>
        <v>0</v>
      </c>
      <c r="BE164" s="10">
        <f>Table1[[#This Row],[Global.Power]]</f>
        <v>0.88846968392817804</v>
      </c>
      <c r="BF164" s="10">
        <f>Table1[[#This Row],[Conjunctive.Power]]</f>
        <v>1.02087795504134E-3</v>
      </c>
      <c r="BG164" s="10">
        <f>Table1[[#This Row],[Disjunctive.Power]]</f>
        <v>0.88846698160418003</v>
      </c>
      <c r="BH164" s="10">
        <f>Table1[[#This Row],[FWER]]</f>
        <v>1.9630782472926701E-2</v>
      </c>
      <c r="BI164" s="10">
        <f>_xlfn.NUMBERVALUE(MID(Table1[[#This Row],[CI_95perc_Global.Power]],2,FIND(",",Table1[[#This Row],[CI_95perc_Global.Power]])-2))</f>
        <v>0.88726000000000005</v>
      </c>
      <c r="BJ164" s="10">
        <f>_xlfn.NUMBERVALUE(MID(Table1[[#This Row],[CI_95perc_Global.Power]],FIND(",",Table1[[#This Row],[CI_95perc_Global.Power]])+1,LEN(Table1[[#This Row],[CI_95perc_Global.Power]])-FIND(",",Table1[[#This Row],[CI_95perc_Global.Power]])-1))</f>
        <v>0.88968000000000003</v>
      </c>
      <c r="BK164" s="10">
        <f>_xlfn.NUMBERVALUE(MID(Table1[[#This Row],[CI_95perc_Conjunctive.Power]],2,FIND(",",Table1[[#This Row],[CI_95perc_Conjunctive.Power]])-2))</f>
        <v>7.3999999999999999E-4</v>
      </c>
      <c r="BL164" s="10">
        <f>_xlfn.NUMBERVALUE(MID(Table1[[#This Row],[CI_95perc_Conjunctive.Power]],FIND(",",Table1[[#This Row],[CI_95perc_Conjunctive.Power]])+1,LEN(Table1[[#This Row],[CI_95perc_Conjunctive.Power]])-FIND(",",Table1[[#This Row],[CI_95perc_Conjunctive.Power]])-1))</f>
        <v>1.2999999999999999E-3</v>
      </c>
      <c r="BM164" s="10">
        <f>_xlfn.NUMBERVALUE(MID(Table1[[#This Row],[CI_95perc_Disjunctive.Power]],2,FIND(",",Table1[[#This Row],[CI_95perc_Disjunctive.Power]])-2))</f>
        <v>0.88724999999999998</v>
      </c>
      <c r="BN164" s="10">
        <f>_xlfn.NUMBERVALUE(MID(Table1[[#This Row],[CI_95perc_Disjunctive.Power]],FIND(",",Table1[[#This Row],[CI_95perc_Disjunctive.Power]])+1,LEN(Table1[[#This Row],[CI_95perc_Disjunctive.Power]])-FIND(",",Table1[[#This Row],[CI_95perc_Disjunctive.Power]])-1))</f>
        <v>0.88968000000000003</v>
      </c>
      <c r="BO164" s="10">
        <f>_xlfn.NUMBERVALUE(MID(Table1[[#This Row],[CI_95perc_FWER]],2,FIND(",",Table1[[#This Row],[CI_95perc_FWER]])-2))</f>
        <v>1.917E-2</v>
      </c>
      <c r="BP164" s="10">
        <f>_xlfn.NUMBERVALUE(MID(Table1[[#This Row],[CI_95perc_FWER]],FIND(",",Table1[[#This Row],[CI_95perc_FWER]])+1,LEN(Table1[[#This Row],[CI_95perc_FWER]])-FIND(",",Table1[[#This Row],[CI_95perc_FWER]])-1))</f>
        <v>2.01E-2</v>
      </c>
      <c r="BQ164" s="10" t="str">
        <f>_xlfn.CONCAT("(",TEXT(Table1[[#This Row],[LCL_Disj.Pow%]],"0.00%"), ", ",TEXT(Table1[[#This Row],[UCL_Disj.Pow%]],"0.00%"),")")</f>
        <v>(88.73%, 88.97%)</v>
      </c>
      <c r="BR164" s="10" t="str">
        <f>_xlfn.CONCAT("(",TEXT(Table1[[#This Row],[LCL_Conj.Pow%]],"0.00%"),", ",TEXT(Table1[[#This Row],[UCL_Conj.Pow%]],"0.00%"),")")</f>
        <v>(0.07%, 0.13%)</v>
      </c>
      <c r="BS164" s="10" t="str">
        <f>_xlfn.CONCAT("(",TEXT(Table1[[#This Row],[LCL_FWER%]],"0.00%"),", ",TEXT(Table1[[#This Row],[UCL_FWER%]],"0.00%"),")")</f>
        <v>(1.92%, 2.01%)</v>
      </c>
    </row>
    <row r="165" spans="1:71" x14ac:dyDescent="0.25">
      <c r="A165">
        <v>163</v>
      </c>
      <c r="B165" t="s">
        <v>820</v>
      </c>
      <c r="C165">
        <v>5559</v>
      </c>
      <c r="D165">
        <v>0.91454217183433895</v>
      </c>
      <c r="E165">
        <v>1.0086542534949901E-3</v>
      </c>
      <c r="F165">
        <v>0.91454217183433895</v>
      </c>
      <c r="G165">
        <v>0</v>
      </c>
      <c r="H165" t="s">
        <v>1030</v>
      </c>
      <c r="I165" t="s">
        <v>1031</v>
      </c>
      <c r="J165" t="s">
        <v>1030</v>
      </c>
      <c r="K165" t="s">
        <v>83</v>
      </c>
      <c r="L165" s="1">
        <v>1053234770</v>
      </c>
      <c r="M165" t="s">
        <v>1032</v>
      </c>
      <c r="N165">
        <v>1.1529432544443301</v>
      </c>
      <c r="O165" t="s">
        <v>85</v>
      </c>
      <c r="P165" t="s">
        <v>41</v>
      </c>
      <c r="Q165">
        <v>500</v>
      </c>
      <c r="R165">
        <v>2.5000000000000001E-2</v>
      </c>
      <c r="S165" t="s">
        <v>654</v>
      </c>
      <c r="T165" t="s">
        <v>42</v>
      </c>
      <c r="U165" t="s">
        <v>64</v>
      </c>
      <c r="V165" t="s">
        <v>44</v>
      </c>
      <c r="W165">
        <v>5</v>
      </c>
      <c r="X165">
        <v>2</v>
      </c>
      <c r="Y165" t="s">
        <v>650</v>
      </c>
      <c r="Z165" t="s">
        <v>726</v>
      </c>
      <c r="AA165" t="s">
        <v>651</v>
      </c>
      <c r="AB165" t="s">
        <v>729</v>
      </c>
      <c r="AC165" t="s">
        <v>122</v>
      </c>
      <c r="AD165" t="s">
        <v>123</v>
      </c>
      <c r="AE165" t="s">
        <v>124</v>
      </c>
      <c r="AF165" t="s">
        <v>125</v>
      </c>
      <c r="AG165" t="s">
        <v>51</v>
      </c>
      <c r="AH165" t="s">
        <v>126</v>
      </c>
      <c r="AI165" t="s">
        <v>53</v>
      </c>
      <c r="AJ165" t="b">
        <v>1</v>
      </c>
      <c r="AK165" t="b">
        <v>1</v>
      </c>
      <c r="AL165">
        <v>1</v>
      </c>
      <c r="AM165">
        <v>1</v>
      </c>
      <c r="AN165" t="s">
        <v>56</v>
      </c>
      <c r="AO165" t="s">
        <v>57</v>
      </c>
      <c r="AP165">
        <v>0.25</v>
      </c>
      <c r="AQ165" t="b">
        <v>0</v>
      </c>
      <c r="AR165" t="s">
        <v>23</v>
      </c>
      <c r="AS165">
        <v>50000</v>
      </c>
      <c r="AT165">
        <v>200</v>
      </c>
      <c r="AU165" t="s">
        <v>121</v>
      </c>
      <c r="AV165" t="b">
        <v>0</v>
      </c>
      <c r="AW165" t="b">
        <v>0</v>
      </c>
      <c r="AX165" t="b">
        <v>1</v>
      </c>
      <c r="AY165" t="b">
        <v>0</v>
      </c>
      <c r="AZ165">
        <v>147</v>
      </c>
      <c r="BA165">
        <f>INDEX(Inp_CER_Bin_2eps3arms!$AN$2:$AN$176,MATCH(Table1[[#This Row],[ModelID]],Inp_CER_Bin_2eps3arms!$A$2:$A$176,0))</f>
        <v>0</v>
      </c>
      <c r="BE165" s="10">
        <f>Table1[[#This Row],[Global.Power]]</f>
        <v>0.91454217183433895</v>
      </c>
      <c r="BF165" s="10">
        <f>Table1[[#This Row],[Conjunctive.Power]]</f>
        <v>1.0086542534949901E-3</v>
      </c>
      <c r="BG165" s="10">
        <f>Table1[[#This Row],[Disjunctive.Power]]</f>
        <v>0.91454217183433895</v>
      </c>
      <c r="BH165" s="10">
        <f>Table1[[#This Row],[FWER]]</f>
        <v>0</v>
      </c>
      <c r="BI165" s="10">
        <f>_xlfn.NUMBERVALUE(MID(Table1[[#This Row],[CI_95perc_Global.Power]],2,FIND(",",Table1[[#This Row],[CI_95perc_Global.Power]])-2))</f>
        <v>0.91347</v>
      </c>
      <c r="BJ165" s="10">
        <f>_xlfn.NUMBERVALUE(MID(Table1[[#This Row],[CI_95perc_Global.Power]],FIND(",",Table1[[#This Row],[CI_95perc_Global.Power]])+1,LEN(Table1[[#This Row],[CI_95perc_Global.Power]])-FIND(",",Table1[[#This Row],[CI_95perc_Global.Power]])-1))</f>
        <v>0.91561999999999999</v>
      </c>
      <c r="BK165" s="10">
        <f>_xlfn.NUMBERVALUE(MID(Table1[[#This Row],[CI_95perc_Conjunctive.Power]],2,FIND(",",Table1[[#This Row],[CI_95perc_Conjunctive.Power]])-2))</f>
        <v>7.2999999999999996E-4</v>
      </c>
      <c r="BL165" s="10">
        <f>_xlfn.NUMBERVALUE(MID(Table1[[#This Row],[CI_95perc_Conjunctive.Power]],FIND(",",Table1[[#This Row],[CI_95perc_Conjunctive.Power]])+1,LEN(Table1[[#This Row],[CI_95perc_Conjunctive.Power]])-FIND(",",Table1[[#This Row],[CI_95perc_Conjunctive.Power]])-1))</f>
        <v>1.2899999999999999E-3</v>
      </c>
      <c r="BM165" s="10">
        <f>_xlfn.NUMBERVALUE(MID(Table1[[#This Row],[CI_95perc_Disjunctive.Power]],2,FIND(",",Table1[[#This Row],[CI_95perc_Disjunctive.Power]])-2))</f>
        <v>0.91347</v>
      </c>
      <c r="BN165" s="10">
        <f>_xlfn.NUMBERVALUE(MID(Table1[[#This Row],[CI_95perc_Disjunctive.Power]],FIND(",",Table1[[#This Row],[CI_95perc_Disjunctive.Power]])+1,LEN(Table1[[#This Row],[CI_95perc_Disjunctive.Power]])-FIND(",",Table1[[#This Row],[CI_95perc_Disjunctive.Power]])-1))</f>
        <v>0.91561999999999999</v>
      </c>
      <c r="BO165" s="10">
        <f>_xlfn.NUMBERVALUE(MID(Table1[[#This Row],[CI_95perc_FWER]],2,FIND(",",Table1[[#This Row],[CI_95perc_FWER]])-2))</f>
        <v>0</v>
      </c>
      <c r="BP165" s="10">
        <f>_xlfn.NUMBERVALUE(MID(Table1[[#This Row],[CI_95perc_FWER]],FIND(",",Table1[[#This Row],[CI_95perc_FWER]])+1,LEN(Table1[[#This Row],[CI_95perc_FWER]])-FIND(",",Table1[[#This Row],[CI_95perc_FWER]])-1))</f>
        <v>0</v>
      </c>
      <c r="BQ165" s="10" t="str">
        <f>_xlfn.CONCAT("(",TEXT(Table1[[#This Row],[LCL_Disj.Pow%]],"0.00%"), ", ",TEXT(Table1[[#This Row],[UCL_Disj.Pow%]],"0.00%"),")")</f>
        <v>(91.35%, 91.56%)</v>
      </c>
      <c r="BR165" s="10" t="str">
        <f>_xlfn.CONCAT("(",TEXT(Table1[[#This Row],[LCL_Conj.Pow%]],"0.00%"),", ",TEXT(Table1[[#This Row],[UCL_Conj.Pow%]],"0.00%"),")")</f>
        <v>(0.07%, 0.13%)</v>
      </c>
      <c r="BS165" s="10" t="str">
        <f>_xlfn.CONCAT("(",TEXT(Table1[[#This Row],[LCL_FWER%]],"0.00%"),", ",TEXT(Table1[[#This Row],[UCL_FWER%]],"0.00%"),")")</f>
        <v>(0.00%, 0.00%)</v>
      </c>
    </row>
    <row r="166" spans="1:71" x14ac:dyDescent="0.25">
      <c r="A166">
        <v>164</v>
      </c>
      <c r="B166" t="s">
        <v>1054</v>
      </c>
      <c r="C166">
        <v>7481</v>
      </c>
      <c r="D166">
        <v>8.2500000000000004E-3</v>
      </c>
      <c r="E166">
        <v>0</v>
      </c>
      <c r="F166">
        <v>0</v>
      </c>
      <c r="G166">
        <v>8.2500000000000004E-3</v>
      </c>
      <c r="H166" t="s">
        <v>368</v>
      </c>
      <c r="I166" t="s">
        <v>83</v>
      </c>
      <c r="J166" t="s">
        <v>83</v>
      </c>
      <c r="K166" t="s">
        <v>368</v>
      </c>
      <c r="L166" s="1">
        <v>23142</v>
      </c>
      <c r="M166" t="s">
        <v>1033</v>
      </c>
      <c r="N166">
        <v>0.102756609121958</v>
      </c>
      <c r="O166" t="s">
        <v>85</v>
      </c>
      <c r="P166" t="s">
        <v>117</v>
      </c>
      <c r="Q166">
        <v>500</v>
      </c>
      <c r="R166">
        <v>2.5000000000000001E-2</v>
      </c>
      <c r="S166" t="s">
        <v>654</v>
      </c>
      <c r="T166" t="s">
        <v>42</v>
      </c>
      <c r="U166" t="s">
        <v>64</v>
      </c>
      <c r="V166" t="s">
        <v>44</v>
      </c>
      <c r="W166">
        <v>5</v>
      </c>
      <c r="X166">
        <v>2</v>
      </c>
      <c r="Y166" t="s">
        <v>650</v>
      </c>
      <c r="Z166" t="s">
        <v>652</v>
      </c>
      <c r="AA166" t="s">
        <v>651</v>
      </c>
      <c r="AB166" t="s">
        <v>653</v>
      </c>
      <c r="AC166" t="s">
        <v>122</v>
      </c>
      <c r="AD166" t="s">
        <v>663</v>
      </c>
      <c r="AE166" t="s">
        <v>124</v>
      </c>
      <c r="AF166" t="s">
        <v>125</v>
      </c>
      <c r="AG166" t="s">
        <v>51</v>
      </c>
      <c r="AH166" t="s">
        <v>126</v>
      </c>
      <c r="AI166" t="s">
        <v>53</v>
      </c>
      <c r="AJ166" t="b">
        <v>1</v>
      </c>
      <c r="AK166" t="b">
        <v>1</v>
      </c>
      <c r="AL166">
        <v>1</v>
      </c>
      <c r="AM166">
        <v>1</v>
      </c>
      <c r="AN166" t="s">
        <v>56</v>
      </c>
      <c r="AO166" t="s">
        <v>57</v>
      </c>
      <c r="AP166">
        <v>0.75</v>
      </c>
      <c r="AQ166" t="b">
        <v>1</v>
      </c>
      <c r="AR166" t="s">
        <v>23</v>
      </c>
      <c r="AS166">
        <v>20000</v>
      </c>
      <c r="AT166">
        <v>500</v>
      </c>
      <c r="AU166">
        <v>7481</v>
      </c>
      <c r="AV166" t="b">
        <v>0</v>
      </c>
      <c r="AW166" t="b">
        <v>0</v>
      </c>
      <c r="AX166" t="b">
        <v>1</v>
      </c>
      <c r="AY166" t="b">
        <v>0</v>
      </c>
      <c r="AZ166">
        <v>108</v>
      </c>
      <c r="BA166">
        <f>INDEX(Inp_CER_Bin_2eps3arms!$AN$2:$AN$176,MATCH(Table1[[#This Row],[ModelID]],Inp_CER_Bin_2eps3arms!$A$2:$A$176,0))</f>
        <v>0</v>
      </c>
      <c r="BE166" s="10">
        <f>Table1[[#This Row],[Global.Power]]</f>
        <v>8.2500000000000004E-3</v>
      </c>
      <c r="BF166" s="10">
        <f>Table1[[#This Row],[Conjunctive.Power]]</f>
        <v>0</v>
      </c>
      <c r="BG166" s="10">
        <f>Table1[[#This Row],[Disjunctive.Power]]</f>
        <v>0</v>
      </c>
      <c r="BH166" s="10">
        <f>Table1[[#This Row],[FWER]]</f>
        <v>8.2500000000000004E-3</v>
      </c>
      <c r="BI166" s="10">
        <f>_xlfn.NUMBERVALUE(MID(Table1[[#This Row],[CI_95perc_Global.Power]],2,FIND(",",Table1[[#This Row],[CI_95perc_Global.Power]])-2))</f>
        <v>7.0000000000000001E-3</v>
      </c>
      <c r="BJ166" s="10">
        <f>_xlfn.NUMBERVALUE(MID(Table1[[#This Row],[CI_95perc_Global.Power]],FIND(",",Table1[[#This Row],[CI_95perc_Global.Power]])+1,LEN(Table1[[#This Row],[CI_95perc_Global.Power]])-FIND(",",Table1[[#This Row],[CI_95perc_Global.Power]])-1))</f>
        <v>9.4999999999999998E-3</v>
      </c>
      <c r="BK166" s="10">
        <f>_xlfn.NUMBERVALUE(MID(Table1[[#This Row],[CI_95perc_Conjunctive.Power]],2,FIND(",",Table1[[#This Row],[CI_95perc_Conjunctive.Power]])-2))</f>
        <v>0</v>
      </c>
      <c r="BL166" s="10">
        <f>_xlfn.NUMBERVALUE(MID(Table1[[#This Row],[CI_95perc_Conjunctive.Power]],FIND(",",Table1[[#This Row],[CI_95perc_Conjunctive.Power]])+1,LEN(Table1[[#This Row],[CI_95perc_Conjunctive.Power]])-FIND(",",Table1[[#This Row],[CI_95perc_Conjunctive.Power]])-1))</f>
        <v>0</v>
      </c>
      <c r="BM166" s="10">
        <f>_xlfn.NUMBERVALUE(MID(Table1[[#This Row],[CI_95perc_Disjunctive.Power]],2,FIND(",",Table1[[#This Row],[CI_95perc_Disjunctive.Power]])-2))</f>
        <v>0</v>
      </c>
      <c r="BN166" s="10">
        <f>_xlfn.NUMBERVALUE(MID(Table1[[#This Row],[CI_95perc_Disjunctive.Power]],FIND(",",Table1[[#This Row],[CI_95perc_Disjunctive.Power]])+1,LEN(Table1[[#This Row],[CI_95perc_Disjunctive.Power]])-FIND(",",Table1[[#This Row],[CI_95perc_Disjunctive.Power]])-1))</f>
        <v>0</v>
      </c>
      <c r="BO166" s="10">
        <f>_xlfn.NUMBERVALUE(MID(Table1[[#This Row],[CI_95perc_FWER]],2,FIND(",",Table1[[#This Row],[CI_95perc_FWER]])-2))</f>
        <v>7.0000000000000001E-3</v>
      </c>
      <c r="BP166" s="10">
        <f>_xlfn.NUMBERVALUE(MID(Table1[[#This Row],[CI_95perc_FWER]],FIND(",",Table1[[#This Row],[CI_95perc_FWER]])+1,LEN(Table1[[#This Row],[CI_95perc_FWER]])-FIND(",",Table1[[#This Row],[CI_95perc_FWER]])-1))</f>
        <v>9.4999999999999998E-3</v>
      </c>
      <c r="BQ166" s="10" t="str">
        <f>_xlfn.CONCAT("(",TEXT(Table1[[#This Row],[LCL_Disj.Pow%]],"0.00%"), ", ",TEXT(Table1[[#This Row],[UCL_Disj.Pow%]],"0.00%"),")")</f>
        <v>(0.00%, 0.00%)</v>
      </c>
      <c r="BR166" s="10" t="str">
        <f>_xlfn.CONCAT("(",TEXT(Table1[[#This Row],[LCL_Conj.Pow%]],"0.00%"),", ",TEXT(Table1[[#This Row],[UCL_Conj.Pow%]],"0.00%"),")")</f>
        <v>(0.00%, 0.00%)</v>
      </c>
      <c r="BS166" s="10" t="str">
        <f>_xlfn.CONCAT("(",TEXT(Table1[[#This Row],[LCL_FWER%]],"0.00%"),", ",TEXT(Table1[[#This Row],[UCL_FWER%]],"0.00%"),")")</f>
        <v>(0.70%, 0.95%)</v>
      </c>
    </row>
    <row r="167" spans="1:71" x14ac:dyDescent="0.25">
      <c r="A167">
        <v>165</v>
      </c>
      <c r="B167" t="s">
        <v>1055</v>
      </c>
      <c r="C167">
        <v>8212</v>
      </c>
      <c r="D167">
        <v>9.1000000000000004E-3</v>
      </c>
      <c r="E167">
        <v>0</v>
      </c>
      <c r="F167">
        <v>0</v>
      </c>
      <c r="G167">
        <v>9.1000000000000004E-3</v>
      </c>
      <c r="H167" t="s">
        <v>181</v>
      </c>
      <c r="I167" t="s">
        <v>83</v>
      </c>
      <c r="J167" t="s">
        <v>83</v>
      </c>
      <c r="K167" t="s">
        <v>181</v>
      </c>
      <c r="L167" s="1">
        <v>25157</v>
      </c>
      <c r="M167" t="s">
        <v>1034</v>
      </c>
      <c r="N167">
        <v>8.8786292804612102E-2</v>
      </c>
      <c r="O167" t="s">
        <v>85</v>
      </c>
      <c r="P167" t="s">
        <v>117</v>
      </c>
      <c r="Q167">
        <v>500</v>
      </c>
      <c r="R167">
        <v>2.5000000000000001E-2</v>
      </c>
      <c r="S167" t="s">
        <v>654</v>
      </c>
      <c r="T167" t="s">
        <v>42</v>
      </c>
      <c r="U167" t="s">
        <v>64</v>
      </c>
      <c r="V167" t="s">
        <v>44</v>
      </c>
      <c r="W167">
        <v>5</v>
      </c>
      <c r="X167">
        <v>2</v>
      </c>
      <c r="Y167" t="s">
        <v>650</v>
      </c>
      <c r="Z167" t="s">
        <v>652</v>
      </c>
      <c r="AA167" t="s">
        <v>651</v>
      </c>
      <c r="AB167" t="s">
        <v>653</v>
      </c>
      <c r="AC167" t="s">
        <v>122</v>
      </c>
      <c r="AD167" t="s">
        <v>663</v>
      </c>
      <c r="AE167" t="s">
        <v>124</v>
      </c>
      <c r="AF167" t="s">
        <v>125</v>
      </c>
      <c r="AG167" t="s">
        <v>51</v>
      </c>
      <c r="AH167" t="s">
        <v>126</v>
      </c>
      <c r="AI167" t="s">
        <v>53</v>
      </c>
      <c r="AJ167" t="b">
        <v>1</v>
      </c>
      <c r="AK167" t="b">
        <v>1</v>
      </c>
      <c r="AL167">
        <v>1</v>
      </c>
      <c r="AM167">
        <v>1</v>
      </c>
      <c r="AN167" t="s">
        <v>56</v>
      </c>
      <c r="AO167" t="s">
        <v>57</v>
      </c>
      <c r="AP167">
        <v>0.5</v>
      </c>
      <c r="AQ167" t="b">
        <v>1</v>
      </c>
      <c r="AR167" t="s">
        <v>23</v>
      </c>
      <c r="AS167">
        <v>20000</v>
      </c>
      <c r="AT167">
        <v>500</v>
      </c>
      <c r="AU167">
        <v>8212</v>
      </c>
      <c r="AV167" t="b">
        <v>0</v>
      </c>
      <c r="AW167" t="b">
        <v>0</v>
      </c>
      <c r="AX167" t="b">
        <v>1</v>
      </c>
      <c r="AY167" t="b">
        <v>0</v>
      </c>
      <c r="AZ167">
        <v>109</v>
      </c>
      <c r="BA167">
        <f>INDEX(Inp_CER_Bin_2eps3arms!$AN$2:$AN$176,MATCH(Table1[[#This Row],[ModelID]],Inp_CER_Bin_2eps3arms!$A$2:$A$176,0))</f>
        <v>0</v>
      </c>
      <c r="BE167" s="10">
        <f>Table1[[#This Row],[Global.Power]]</f>
        <v>9.1000000000000004E-3</v>
      </c>
      <c r="BF167" s="10">
        <f>Table1[[#This Row],[Conjunctive.Power]]</f>
        <v>0</v>
      </c>
      <c r="BG167" s="10">
        <f>Table1[[#This Row],[Disjunctive.Power]]</f>
        <v>0</v>
      </c>
      <c r="BH167" s="10">
        <f>Table1[[#This Row],[FWER]]</f>
        <v>9.1000000000000004E-3</v>
      </c>
      <c r="BI167" s="10">
        <f>_xlfn.NUMBERVALUE(MID(Table1[[#This Row],[CI_95perc_Global.Power]],2,FIND(",",Table1[[#This Row],[CI_95perc_Global.Power]])-2))</f>
        <v>7.7799999999999996E-3</v>
      </c>
      <c r="BJ167" s="10">
        <f>_xlfn.NUMBERVALUE(MID(Table1[[#This Row],[CI_95perc_Global.Power]],FIND(",",Table1[[#This Row],[CI_95perc_Global.Power]])+1,LEN(Table1[[#This Row],[CI_95perc_Global.Power]])-FIND(",",Table1[[#This Row],[CI_95perc_Global.Power]])-1))</f>
        <v>1.042E-2</v>
      </c>
      <c r="BK167" s="10">
        <f>_xlfn.NUMBERVALUE(MID(Table1[[#This Row],[CI_95perc_Conjunctive.Power]],2,FIND(",",Table1[[#This Row],[CI_95perc_Conjunctive.Power]])-2))</f>
        <v>0</v>
      </c>
      <c r="BL167" s="10">
        <f>_xlfn.NUMBERVALUE(MID(Table1[[#This Row],[CI_95perc_Conjunctive.Power]],FIND(",",Table1[[#This Row],[CI_95perc_Conjunctive.Power]])+1,LEN(Table1[[#This Row],[CI_95perc_Conjunctive.Power]])-FIND(",",Table1[[#This Row],[CI_95perc_Conjunctive.Power]])-1))</f>
        <v>0</v>
      </c>
      <c r="BM167" s="10">
        <f>_xlfn.NUMBERVALUE(MID(Table1[[#This Row],[CI_95perc_Disjunctive.Power]],2,FIND(",",Table1[[#This Row],[CI_95perc_Disjunctive.Power]])-2))</f>
        <v>0</v>
      </c>
      <c r="BN167" s="10">
        <f>_xlfn.NUMBERVALUE(MID(Table1[[#This Row],[CI_95perc_Disjunctive.Power]],FIND(",",Table1[[#This Row],[CI_95perc_Disjunctive.Power]])+1,LEN(Table1[[#This Row],[CI_95perc_Disjunctive.Power]])-FIND(",",Table1[[#This Row],[CI_95perc_Disjunctive.Power]])-1))</f>
        <v>0</v>
      </c>
      <c r="BO167" s="10">
        <f>_xlfn.NUMBERVALUE(MID(Table1[[#This Row],[CI_95perc_FWER]],2,FIND(",",Table1[[#This Row],[CI_95perc_FWER]])-2))</f>
        <v>7.7799999999999996E-3</v>
      </c>
      <c r="BP167" s="10">
        <f>_xlfn.NUMBERVALUE(MID(Table1[[#This Row],[CI_95perc_FWER]],FIND(",",Table1[[#This Row],[CI_95perc_FWER]])+1,LEN(Table1[[#This Row],[CI_95perc_FWER]])-FIND(",",Table1[[#This Row],[CI_95perc_FWER]])-1))</f>
        <v>1.042E-2</v>
      </c>
      <c r="BQ167" s="10" t="str">
        <f>_xlfn.CONCAT("(",TEXT(Table1[[#This Row],[LCL_Disj.Pow%]],"0.00%"), ", ",TEXT(Table1[[#This Row],[UCL_Disj.Pow%]],"0.00%"),")")</f>
        <v>(0.00%, 0.00%)</v>
      </c>
      <c r="BR167" s="10" t="str">
        <f>_xlfn.CONCAT("(",TEXT(Table1[[#This Row],[LCL_Conj.Pow%]],"0.00%"),", ",TEXT(Table1[[#This Row],[UCL_Conj.Pow%]],"0.00%"),")")</f>
        <v>(0.00%, 0.00%)</v>
      </c>
      <c r="BS167" s="10" t="str">
        <f>_xlfn.CONCAT("(",TEXT(Table1[[#This Row],[LCL_FWER%]],"0.00%"),", ",TEXT(Table1[[#This Row],[UCL_FWER%]],"0.00%"),")")</f>
        <v>(0.78%, 1.04%)</v>
      </c>
    </row>
    <row r="168" spans="1:71" x14ac:dyDescent="0.25">
      <c r="A168">
        <v>166</v>
      </c>
      <c r="B168" t="s">
        <v>1056</v>
      </c>
      <c r="C168">
        <v>5244</v>
      </c>
      <c r="D168">
        <v>1.26E-2</v>
      </c>
      <c r="E168">
        <v>0</v>
      </c>
      <c r="F168">
        <v>0</v>
      </c>
      <c r="G168">
        <v>1.26E-2</v>
      </c>
      <c r="H168" t="s">
        <v>1035</v>
      </c>
      <c r="I168" t="s">
        <v>83</v>
      </c>
      <c r="J168" t="s">
        <v>83</v>
      </c>
      <c r="K168" t="s">
        <v>1035</v>
      </c>
      <c r="L168" s="1">
        <v>24228</v>
      </c>
      <c r="M168" t="s">
        <v>1036</v>
      </c>
      <c r="N168">
        <v>7.3613161378436598E-2</v>
      </c>
      <c r="O168" t="s">
        <v>85</v>
      </c>
      <c r="P168" t="s">
        <v>117</v>
      </c>
      <c r="Q168">
        <v>500</v>
      </c>
      <c r="R168">
        <v>2.5000000000000001E-2</v>
      </c>
      <c r="S168" t="s">
        <v>654</v>
      </c>
      <c r="T168" t="s">
        <v>42</v>
      </c>
      <c r="U168" t="s">
        <v>64</v>
      </c>
      <c r="V168" t="s">
        <v>44</v>
      </c>
      <c r="W168">
        <v>5</v>
      </c>
      <c r="X168">
        <v>2</v>
      </c>
      <c r="Y168" t="s">
        <v>650</v>
      </c>
      <c r="Z168" t="s">
        <v>652</v>
      </c>
      <c r="AA168" t="s">
        <v>651</v>
      </c>
      <c r="AB168" t="s">
        <v>653</v>
      </c>
      <c r="AC168" t="s">
        <v>122</v>
      </c>
      <c r="AD168" t="s">
        <v>663</v>
      </c>
      <c r="AE168" t="s">
        <v>124</v>
      </c>
      <c r="AF168" t="s">
        <v>125</v>
      </c>
      <c r="AG168" t="s">
        <v>51</v>
      </c>
      <c r="AH168" t="s">
        <v>126</v>
      </c>
      <c r="AI168" t="s">
        <v>53</v>
      </c>
      <c r="AJ168" t="b">
        <v>1</v>
      </c>
      <c r="AK168" t="b">
        <v>1</v>
      </c>
      <c r="AL168">
        <v>1</v>
      </c>
      <c r="AM168">
        <v>1</v>
      </c>
      <c r="AN168" t="s">
        <v>56</v>
      </c>
      <c r="AO168" t="s">
        <v>57</v>
      </c>
      <c r="AP168">
        <v>0.25</v>
      </c>
      <c r="AQ168" t="b">
        <v>1</v>
      </c>
      <c r="AR168" t="s">
        <v>23</v>
      </c>
      <c r="AS168">
        <v>20000</v>
      </c>
      <c r="AT168">
        <v>500</v>
      </c>
      <c r="AU168">
        <v>5244</v>
      </c>
      <c r="AV168" t="b">
        <v>0</v>
      </c>
      <c r="AW168" t="b">
        <v>0</v>
      </c>
      <c r="AX168" t="b">
        <v>1</v>
      </c>
      <c r="AY168" t="b">
        <v>0</v>
      </c>
      <c r="AZ168">
        <v>110</v>
      </c>
      <c r="BA168">
        <f>INDEX(Inp_CER_Bin_2eps3arms!$AN$2:$AN$176,MATCH(Table1[[#This Row],[ModelID]],Inp_CER_Bin_2eps3arms!$A$2:$A$176,0))</f>
        <v>0</v>
      </c>
      <c r="BE168" s="10">
        <f>Table1[[#This Row],[Global.Power]]</f>
        <v>1.26E-2</v>
      </c>
      <c r="BF168" s="10">
        <f>Table1[[#This Row],[Conjunctive.Power]]</f>
        <v>0</v>
      </c>
      <c r="BG168" s="10">
        <f>Table1[[#This Row],[Disjunctive.Power]]</f>
        <v>0</v>
      </c>
      <c r="BH168" s="10">
        <f>Table1[[#This Row],[FWER]]</f>
        <v>1.26E-2</v>
      </c>
      <c r="BI168" s="10">
        <f>_xlfn.NUMBERVALUE(MID(Table1[[#This Row],[CI_95perc_Global.Power]],2,FIND(",",Table1[[#This Row],[CI_95perc_Global.Power]])-2))</f>
        <v>1.1050000000000001E-2</v>
      </c>
      <c r="BJ168" s="10">
        <f>_xlfn.NUMBERVALUE(MID(Table1[[#This Row],[CI_95perc_Global.Power]],FIND(",",Table1[[#This Row],[CI_95perc_Global.Power]])+1,LEN(Table1[[#This Row],[CI_95perc_Global.Power]])-FIND(",",Table1[[#This Row],[CI_95perc_Global.Power]])-1))</f>
        <v>1.4149999999999999E-2</v>
      </c>
      <c r="BK168" s="10">
        <f>_xlfn.NUMBERVALUE(MID(Table1[[#This Row],[CI_95perc_Conjunctive.Power]],2,FIND(",",Table1[[#This Row],[CI_95perc_Conjunctive.Power]])-2))</f>
        <v>0</v>
      </c>
      <c r="BL168" s="10">
        <f>_xlfn.NUMBERVALUE(MID(Table1[[#This Row],[CI_95perc_Conjunctive.Power]],FIND(",",Table1[[#This Row],[CI_95perc_Conjunctive.Power]])+1,LEN(Table1[[#This Row],[CI_95perc_Conjunctive.Power]])-FIND(",",Table1[[#This Row],[CI_95perc_Conjunctive.Power]])-1))</f>
        <v>0</v>
      </c>
      <c r="BM168" s="10">
        <f>_xlfn.NUMBERVALUE(MID(Table1[[#This Row],[CI_95perc_Disjunctive.Power]],2,FIND(",",Table1[[#This Row],[CI_95perc_Disjunctive.Power]])-2))</f>
        <v>0</v>
      </c>
      <c r="BN168" s="10">
        <f>_xlfn.NUMBERVALUE(MID(Table1[[#This Row],[CI_95perc_Disjunctive.Power]],FIND(",",Table1[[#This Row],[CI_95perc_Disjunctive.Power]])+1,LEN(Table1[[#This Row],[CI_95perc_Disjunctive.Power]])-FIND(",",Table1[[#This Row],[CI_95perc_Disjunctive.Power]])-1))</f>
        <v>0</v>
      </c>
      <c r="BO168" s="10">
        <f>_xlfn.NUMBERVALUE(MID(Table1[[#This Row],[CI_95perc_FWER]],2,FIND(",",Table1[[#This Row],[CI_95perc_FWER]])-2))</f>
        <v>1.1050000000000001E-2</v>
      </c>
      <c r="BP168" s="10">
        <f>_xlfn.NUMBERVALUE(MID(Table1[[#This Row],[CI_95perc_FWER]],FIND(",",Table1[[#This Row],[CI_95perc_FWER]])+1,LEN(Table1[[#This Row],[CI_95perc_FWER]])-FIND(",",Table1[[#This Row],[CI_95perc_FWER]])-1))</f>
        <v>1.4149999999999999E-2</v>
      </c>
      <c r="BQ168" s="10" t="str">
        <f>_xlfn.CONCAT("(",TEXT(Table1[[#This Row],[LCL_Disj.Pow%]],"0.00%"), ", ",TEXT(Table1[[#This Row],[UCL_Disj.Pow%]],"0.00%"),")")</f>
        <v>(0.00%, 0.00%)</v>
      </c>
      <c r="BR168" s="10" t="str">
        <f>_xlfn.CONCAT("(",TEXT(Table1[[#This Row],[LCL_Conj.Pow%]],"0.00%"),", ",TEXT(Table1[[#This Row],[UCL_Conj.Pow%]],"0.00%"),")")</f>
        <v>(0.00%, 0.00%)</v>
      </c>
      <c r="BS168" s="10" t="str">
        <f>_xlfn.CONCAT("(",TEXT(Table1[[#This Row],[LCL_FWER%]],"0.00%"),", ",TEXT(Table1[[#This Row],[UCL_FWER%]],"0.00%"),")")</f>
        <v>(1.11%, 1.42%)</v>
      </c>
    </row>
    <row r="169" spans="1:71" x14ac:dyDescent="0.25">
      <c r="A169">
        <v>167</v>
      </c>
      <c r="B169" t="s">
        <v>1057</v>
      </c>
      <c r="C169">
        <v>2167</v>
      </c>
      <c r="D169">
        <v>0.02</v>
      </c>
      <c r="E169">
        <v>0</v>
      </c>
      <c r="F169">
        <v>0</v>
      </c>
      <c r="G169">
        <v>0.02</v>
      </c>
      <c r="H169" t="s">
        <v>1037</v>
      </c>
      <c r="I169" t="s">
        <v>83</v>
      </c>
      <c r="J169" t="s">
        <v>83</v>
      </c>
      <c r="K169" t="s">
        <v>1037</v>
      </c>
      <c r="L169" s="1">
        <v>22378</v>
      </c>
      <c r="M169" t="s">
        <v>1038</v>
      </c>
      <c r="N169">
        <v>8.7499306665526494E-2</v>
      </c>
      <c r="O169" t="s">
        <v>85</v>
      </c>
      <c r="P169" t="s">
        <v>117</v>
      </c>
      <c r="Q169">
        <v>500</v>
      </c>
      <c r="R169">
        <v>2.5000000000000001E-2</v>
      </c>
      <c r="S169" t="s">
        <v>654</v>
      </c>
      <c r="T169" t="s">
        <v>42</v>
      </c>
      <c r="U169" t="s">
        <v>64</v>
      </c>
      <c r="V169" t="s">
        <v>44</v>
      </c>
      <c r="W169">
        <v>5</v>
      </c>
      <c r="X169">
        <v>2</v>
      </c>
      <c r="Y169" t="s">
        <v>650</v>
      </c>
      <c r="Z169" t="s">
        <v>652</v>
      </c>
      <c r="AA169" t="s">
        <v>651</v>
      </c>
      <c r="AB169" t="s">
        <v>653</v>
      </c>
      <c r="AC169" t="s">
        <v>122</v>
      </c>
      <c r="AD169" t="s">
        <v>663</v>
      </c>
      <c r="AE169" t="s">
        <v>124</v>
      </c>
      <c r="AF169" t="s">
        <v>125</v>
      </c>
      <c r="AG169" t="s">
        <v>51</v>
      </c>
      <c r="AH169" t="s">
        <v>126</v>
      </c>
      <c r="AI169" t="s">
        <v>53</v>
      </c>
      <c r="AJ169" t="b">
        <v>1</v>
      </c>
      <c r="AK169" t="b">
        <v>1</v>
      </c>
      <c r="AL169">
        <v>1</v>
      </c>
      <c r="AM169">
        <v>1</v>
      </c>
      <c r="AN169" t="s">
        <v>56</v>
      </c>
      <c r="AO169" t="s">
        <v>60</v>
      </c>
      <c r="AP169">
        <v>1</v>
      </c>
      <c r="AQ169" t="b">
        <v>1</v>
      </c>
      <c r="AR169" t="s">
        <v>23</v>
      </c>
      <c r="AS169">
        <v>20000</v>
      </c>
      <c r="AT169">
        <v>500</v>
      </c>
      <c r="AU169">
        <v>2167</v>
      </c>
      <c r="AV169" t="b">
        <v>0</v>
      </c>
      <c r="AW169" t="b">
        <v>0</v>
      </c>
      <c r="AX169" t="b">
        <v>1</v>
      </c>
      <c r="AY169" t="b">
        <v>0</v>
      </c>
      <c r="AZ169">
        <v>111</v>
      </c>
      <c r="BA169">
        <f>INDEX(Inp_CER_Bin_2eps3arms!$AN$2:$AN$176,MATCH(Table1[[#This Row],[ModelID]],Inp_CER_Bin_2eps3arms!$A$2:$A$176,0))</f>
        <v>0</v>
      </c>
      <c r="BE169" s="10">
        <f>Table1[[#This Row],[Global.Power]]</f>
        <v>0.02</v>
      </c>
      <c r="BF169" s="10">
        <f>Table1[[#This Row],[Conjunctive.Power]]</f>
        <v>0</v>
      </c>
      <c r="BG169" s="10">
        <f>Table1[[#This Row],[Disjunctive.Power]]</f>
        <v>0</v>
      </c>
      <c r="BH169" s="10">
        <f>Table1[[#This Row],[FWER]]</f>
        <v>0.02</v>
      </c>
      <c r="BI169" s="10">
        <f>_xlfn.NUMBERVALUE(MID(Table1[[#This Row],[CI_95perc_Global.Power]],2,FIND(",",Table1[[#This Row],[CI_95perc_Global.Power]])-2))</f>
        <v>1.806E-2</v>
      </c>
      <c r="BJ169" s="10">
        <f>_xlfn.NUMBERVALUE(MID(Table1[[#This Row],[CI_95perc_Global.Power]],FIND(",",Table1[[#This Row],[CI_95perc_Global.Power]])+1,LEN(Table1[[#This Row],[CI_95perc_Global.Power]])-FIND(",",Table1[[#This Row],[CI_95perc_Global.Power]])-1))</f>
        <v>2.1940000000000001E-2</v>
      </c>
      <c r="BK169" s="10">
        <f>_xlfn.NUMBERVALUE(MID(Table1[[#This Row],[CI_95perc_Conjunctive.Power]],2,FIND(",",Table1[[#This Row],[CI_95perc_Conjunctive.Power]])-2))</f>
        <v>0</v>
      </c>
      <c r="BL169" s="10">
        <f>_xlfn.NUMBERVALUE(MID(Table1[[#This Row],[CI_95perc_Conjunctive.Power]],FIND(",",Table1[[#This Row],[CI_95perc_Conjunctive.Power]])+1,LEN(Table1[[#This Row],[CI_95perc_Conjunctive.Power]])-FIND(",",Table1[[#This Row],[CI_95perc_Conjunctive.Power]])-1))</f>
        <v>0</v>
      </c>
      <c r="BM169" s="10">
        <f>_xlfn.NUMBERVALUE(MID(Table1[[#This Row],[CI_95perc_Disjunctive.Power]],2,FIND(",",Table1[[#This Row],[CI_95perc_Disjunctive.Power]])-2))</f>
        <v>0</v>
      </c>
      <c r="BN169" s="10">
        <f>_xlfn.NUMBERVALUE(MID(Table1[[#This Row],[CI_95perc_Disjunctive.Power]],FIND(",",Table1[[#This Row],[CI_95perc_Disjunctive.Power]])+1,LEN(Table1[[#This Row],[CI_95perc_Disjunctive.Power]])-FIND(",",Table1[[#This Row],[CI_95perc_Disjunctive.Power]])-1))</f>
        <v>0</v>
      </c>
      <c r="BO169" s="10">
        <f>_xlfn.NUMBERVALUE(MID(Table1[[#This Row],[CI_95perc_FWER]],2,FIND(",",Table1[[#This Row],[CI_95perc_FWER]])-2))</f>
        <v>1.806E-2</v>
      </c>
      <c r="BP169" s="10">
        <f>_xlfn.NUMBERVALUE(MID(Table1[[#This Row],[CI_95perc_FWER]],FIND(",",Table1[[#This Row],[CI_95perc_FWER]])+1,LEN(Table1[[#This Row],[CI_95perc_FWER]])-FIND(",",Table1[[#This Row],[CI_95perc_FWER]])-1))</f>
        <v>2.1940000000000001E-2</v>
      </c>
      <c r="BQ169" s="10" t="str">
        <f>_xlfn.CONCAT("(",TEXT(Table1[[#This Row],[LCL_Disj.Pow%]],"0.00%"), ", ",TEXT(Table1[[#This Row],[UCL_Disj.Pow%]],"0.00%"),")")</f>
        <v>(0.00%, 0.00%)</v>
      </c>
      <c r="BR169" s="10" t="str">
        <f>_xlfn.CONCAT("(",TEXT(Table1[[#This Row],[LCL_Conj.Pow%]],"0.00%"),", ",TEXT(Table1[[#This Row],[UCL_Conj.Pow%]],"0.00%"),")")</f>
        <v>(0.00%, 0.00%)</v>
      </c>
      <c r="BS169" s="10" t="str">
        <f>_xlfn.CONCAT("(",TEXT(Table1[[#This Row],[LCL_FWER%]],"0.00%"),", ",TEXT(Table1[[#This Row],[UCL_FWER%]],"0.00%"),")")</f>
        <v>(1.81%, 2.19%)</v>
      </c>
    </row>
    <row r="170" spans="1:71" x14ac:dyDescent="0.25">
      <c r="A170">
        <v>168</v>
      </c>
      <c r="B170" t="s">
        <v>1058</v>
      </c>
      <c r="C170">
        <v>9485</v>
      </c>
      <c r="D170">
        <v>8.5000000000000006E-3</v>
      </c>
      <c r="E170">
        <v>0</v>
      </c>
      <c r="F170">
        <v>0</v>
      </c>
      <c r="G170">
        <v>8.5000000000000006E-3</v>
      </c>
      <c r="H170" t="s">
        <v>1039</v>
      </c>
      <c r="I170" t="s">
        <v>83</v>
      </c>
      <c r="J170" t="s">
        <v>83</v>
      </c>
      <c r="K170" t="s">
        <v>1039</v>
      </c>
      <c r="L170" s="1">
        <v>30140</v>
      </c>
      <c r="M170" t="s">
        <v>1040</v>
      </c>
      <c r="N170">
        <v>0.102738055255678</v>
      </c>
      <c r="O170" t="s">
        <v>85</v>
      </c>
      <c r="P170" t="s">
        <v>117</v>
      </c>
      <c r="Q170">
        <v>500</v>
      </c>
      <c r="R170">
        <v>2.5000000000000001E-2</v>
      </c>
      <c r="S170" t="s">
        <v>654</v>
      </c>
      <c r="T170" t="s">
        <v>42</v>
      </c>
      <c r="U170" t="s">
        <v>64</v>
      </c>
      <c r="V170" t="s">
        <v>44</v>
      </c>
      <c r="W170">
        <v>5</v>
      </c>
      <c r="X170">
        <v>2</v>
      </c>
      <c r="Y170" t="s">
        <v>650</v>
      </c>
      <c r="Z170" t="s">
        <v>652</v>
      </c>
      <c r="AA170" t="s">
        <v>651</v>
      </c>
      <c r="AB170" t="s">
        <v>653</v>
      </c>
      <c r="AC170" t="s">
        <v>122</v>
      </c>
      <c r="AD170" t="s">
        <v>123</v>
      </c>
      <c r="AE170" t="s">
        <v>124</v>
      </c>
      <c r="AF170" t="s">
        <v>125</v>
      </c>
      <c r="AG170" t="s">
        <v>51</v>
      </c>
      <c r="AH170" t="s">
        <v>126</v>
      </c>
      <c r="AI170" t="s">
        <v>53</v>
      </c>
      <c r="AJ170" t="b">
        <v>1</v>
      </c>
      <c r="AK170" t="b">
        <v>1</v>
      </c>
      <c r="AL170">
        <v>1</v>
      </c>
      <c r="AM170">
        <v>1</v>
      </c>
      <c r="AN170" t="s">
        <v>56</v>
      </c>
      <c r="AO170" t="s">
        <v>57</v>
      </c>
      <c r="AP170">
        <v>0.75</v>
      </c>
      <c r="AQ170" t="b">
        <v>1</v>
      </c>
      <c r="AR170" t="s">
        <v>23</v>
      </c>
      <c r="AS170">
        <v>20000</v>
      </c>
      <c r="AT170">
        <v>500</v>
      </c>
      <c r="AU170">
        <v>9485</v>
      </c>
      <c r="AV170" t="b">
        <v>0</v>
      </c>
      <c r="AW170" t="b">
        <v>0</v>
      </c>
      <c r="AX170" t="b">
        <v>1</v>
      </c>
      <c r="AY170" t="b">
        <v>0</v>
      </c>
      <c r="AZ170">
        <v>116</v>
      </c>
      <c r="BA170">
        <f>INDEX(Inp_CER_Bin_2eps3arms!$AN$2:$AN$176,MATCH(Table1[[#This Row],[ModelID]],Inp_CER_Bin_2eps3arms!$A$2:$A$176,0))</f>
        <v>0</v>
      </c>
      <c r="BE170" s="10">
        <f>Table1[[#This Row],[Global.Power]]</f>
        <v>8.5000000000000006E-3</v>
      </c>
      <c r="BF170" s="10">
        <f>Table1[[#This Row],[Conjunctive.Power]]</f>
        <v>0</v>
      </c>
      <c r="BG170" s="10">
        <f>Table1[[#This Row],[Disjunctive.Power]]</f>
        <v>0</v>
      </c>
      <c r="BH170" s="10">
        <f>Table1[[#This Row],[FWER]]</f>
        <v>8.5000000000000006E-3</v>
      </c>
      <c r="BI170" s="10">
        <f>_xlfn.NUMBERVALUE(MID(Table1[[#This Row],[CI_95perc_Global.Power]],2,FIND(",",Table1[[#This Row],[CI_95perc_Global.Power]])-2))</f>
        <v>7.2300000000000003E-3</v>
      </c>
      <c r="BJ170" s="10">
        <f>_xlfn.NUMBERVALUE(MID(Table1[[#This Row],[CI_95perc_Global.Power]],FIND(",",Table1[[#This Row],[CI_95perc_Global.Power]])+1,LEN(Table1[[#This Row],[CI_95perc_Global.Power]])-FIND(",",Table1[[#This Row],[CI_95perc_Global.Power]])-1))</f>
        <v>9.7699999999999992E-3</v>
      </c>
      <c r="BK170" s="10">
        <f>_xlfn.NUMBERVALUE(MID(Table1[[#This Row],[CI_95perc_Conjunctive.Power]],2,FIND(",",Table1[[#This Row],[CI_95perc_Conjunctive.Power]])-2))</f>
        <v>0</v>
      </c>
      <c r="BL170" s="10">
        <f>_xlfn.NUMBERVALUE(MID(Table1[[#This Row],[CI_95perc_Conjunctive.Power]],FIND(",",Table1[[#This Row],[CI_95perc_Conjunctive.Power]])+1,LEN(Table1[[#This Row],[CI_95perc_Conjunctive.Power]])-FIND(",",Table1[[#This Row],[CI_95perc_Conjunctive.Power]])-1))</f>
        <v>0</v>
      </c>
      <c r="BM170" s="10">
        <f>_xlfn.NUMBERVALUE(MID(Table1[[#This Row],[CI_95perc_Disjunctive.Power]],2,FIND(",",Table1[[#This Row],[CI_95perc_Disjunctive.Power]])-2))</f>
        <v>0</v>
      </c>
      <c r="BN170" s="10">
        <f>_xlfn.NUMBERVALUE(MID(Table1[[#This Row],[CI_95perc_Disjunctive.Power]],FIND(",",Table1[[#This Row],[CI_95perc_Disjunctive.Power]])+1,LEN(Table1[[#This Row],[CI_95perc_Disjunctive.Power]])-FIND(",",Table1[[#This Row],[CI_95perc_Disjunctive.Power]])-1))</f>
        <v>0</v>
      </c>
      <c r="BO170" s="10">
        <f>_xlfn.NUMBERVALUE(MID(Table1[[#This Row],[CI_95perc_FWER]],2,FIND(",",Table1[[#This Row],[CI_95perc_FWER]])-2))</f>
        <v>7.2300000000000003E-3</v>
      </c>
      <c r="BP170" s="10">
        <f>_xlfn.NUMBERVALUE(MID(Table1[[#This Row],[CI_95perc_FWER]],FIND(",",Table1[[#This Row],[CI_95perc_FWER]])+1,LEN(Table1[[#This Row],[CI_95perc_FWER]])-FIND(",",Table1[[#This Row],[CI_95perc_FWER]])-1))</f>
        <v>9.7699999999999992E-3</v>
      </c>
      <c r="BQ170" s="10" t="str">
        <f>_xlfn.CONCAT("(",TEXT(Table1[[#This Row],[LCL_Disj.Pow%]],"0.00%"), ", ",TEXT(Table1[[#This Row],[UCL_Disj.Pow%]],"0.00%"),")")</f>
        <v>(0.00%, 0.00%)</v>
      </c>
      <c r="BR170" s="10" t="str">
        <f>_xlfn.CONCAT("(",TEXT(Table1[[#This Row],[LCL_Conj.Pow%]],"0.00%"),", ",TEXT(Table1[[#This Row],[UCL_Conj.Pow%]],"0.00%"),")")</f>
        <v>(0.00%, 0.00%)</v>
      </c>
      <c r="BS170" s="10" t="str">
        <f>_xlfn.CONCAT("(",TEXT(Table1[[#This Row],[LCL_FWER%]],"0.00%"),", ",TEXT(Table1[[#This Row],[UCL_FWER%]],"0.00%"),")")</f>
        <v>(0.72%, 0.98%)</v>
      </c>
    </row>
    <row r="171" spans="1:71" x14ac:dyDescent="0.25">
      <c r="A171">
        <v>169</v>
      </c>
      <c r="B171" t="s">
        <v>1059</v>
      </c>
      <c r="C171">
        <v>5020</v>
      </c>
      <c r="D171">
        <v>9.4500000000000001E-3</v>
      </c>
      <c r="E171">
        <v>0</v>
      </c>
      <c r="F171">
        <v>0</v>
      </c>
      <c r="G171">
        <v>9.4500000000000001E-3</v>
      </c>
      <c r="H171" t="s">
        <v>1041</v>
      </c>
      <c r="I171" t="s">
        <v>83</v>
      </c>
      <c r="J171" t="s">
        <v>83</v>
      </c>
      <c r="K171" t="s">
        <v>1041</v>
      </c>
      <c r="L171" s="1">
        <v>30159</v>
      </c>
      <c r="M171" t="s">
        <v>1042</v>
      </c>
      <c r="N171">
        <v>9.0879687799347797E-2</v>
      </c>
      <c r="O171" t="s">
        <v>85</v>
      </c>
      <c r="P171" t="s">
        <v>117</v>
      </c>
      <c r="Q171">
        <v>500</v>
      </c>
      <c r="R171">
        <v>2.5000000000000001E-2</v>
      </c>
      <c r="S171" t="s">
        <v>654</v>
      </c>
      <c r="T171" t="s">
        <v>42</v>
      </c>
      <c r="U171" t="s">
        <v>64</v>
      </c>
      <c r="V171" t="s">
        <v>44</v>
      </c>
      <c r="W171">
        <v>5</v>
      </c>
      <c r="X171">
        <v>2</v>
      </c>
      <c r="Y171" t="s">
        <v>650</v>
      </c>
      <c r="Z171" t="s">
        <v>652</v>
      </c>
      <c r="AA171" t="s">
        <v>651</v>
      </c>
      <c r="AB171" t="s">
        <v>653</v>
      </c>
      <c r="AC171" t="s">
        <v>122</v>
      </c>
      <c r="AD171" t="s">
        <v>123</v>
      </c>
      <c r="AE171" t="s">
        <v>124</v>
      </c>
      <c r="AF171" t="s">
        <v>125</v>
      </c>
      <c r="AG171" t="s">
        <v>51</v>
      </c>
      <c r="AH171" t="s">
        <v>126</v>
      </c>
      <c r="AI171" t="s">
        <v>53</v>
      </c>
      <c r="AJ171" t="b">
        <v>1</v>
      </c>
      <c r="AK171" t="b">
        <v>1</v>
      </c>
      <c r="AL171">
        <v>1</v>
      </c>
      <c r="AM171">
        <v>1</v>
      </c>
      <c r="AN171" t="s">
        <v>56</v>
      </c>
      <c r="AO171" t="s">
        <v>57</v>
      </c>
      <c r="AP171">
        <v>0.5</v>
      </c>
      <c r="AQ171" t="b">
        <v>1</v>
      </c>
      <c r="AR171" t="s">
        <v>23</v>
      </c>
      <c r="AS171">
        <v>20000</v>
      </c>
      <c r="AT171">
        <v>500</v>
      </c>
      <c r="AU171">
        <v>5020</v>
      </c>
      <c r="AV171" t="b">
        <v>0</v>
      </c>
      <c r="AW171" t="b">
        <v>0</v>
      </c>
      <c r="AX171" t="b">
        <v>1</v>
      </c>
      <c r="AY171" t="b">
        <v>0</v>
      </c>
      <c r="AZ171">
        <v>117</v>
      </c>
      <c r="BA171">
        <f>INDEX(Inp_CER_Bin_2eps3arms!$AN$2:$AN$176,MATCH(Table1[[#This Row],[ModelID]],Inp_CER_Bin_2eps3arms!$A$2:$A$176,0))</f>
        <v>0</v>
      </c>
      <c r="BE171" s="10">
        <f>Table1[[#This Row],[Global.Power]]</f>
        <v>9.4500000000000001E-3</v>
      </c>
      <c r="BF171" s="10">
        <f>Table1[[#This Row],[Conjunctive.Power]]</f>
        <v>0</v>
      </c>
      <c r="BG171" s="10">
        <f>Table1[[#This Row],[Disjunctive.Power]]</f>
        <v>0</v>
      </c>
      <c r="BH171" s="10">
        <f>Table1[[#This Row],[FWER]]</f>
        <v>9.4500000000000001E-3</v>
      </c>
      <c r="BI171" s="10">
        <f>_xlfn.NUMBERVALUE(MID(Table1[[#This Row],[CI_95perc_Global.Power]],2,FIND(",",Table1[[#This Row],[CI_95perc_Global.Power]])-2))</f>
        <v>8.1099999999999992E-3</v>
      </c>
      <c r="BJ171" s="10">
        <f>_xlfn.NUMBERVALUE(MID(Table1[[#This Row],[CI_95perc_Global.Power]],FIND(",",Table1[[#This Row],[CI_95perc_Global.Power]])+1,LEN(Table1[[#This Row],[CI_95perc_Global.Power]])-FIND(",",Table1[[#This Row],[CI_95perc_Global.Power]])-1))</f>
        <v>1.0789999999999999E-2</v>
      </c>
      <c r="BK171" s="10">
        <f>_xlfn.NUMBERVALUE(MID(Table1[[#This Row],[CI_95perc_Conjunctive.Power]],2,FIND(",",Table1[[#This Row],[CI_95perc_Conjunctive.Power]])-2))</f>
        <v>0</v>
      </c>
      <c r="BL171" s="10">
        <f>_xlfn.NUMBERVALUE(MID(Table1[[#This Row],[CI_95perc_Conjunctive.Power]],FIND(",",Table1[[#This Row],[CI_95perc_Conjunctive.Power]])+1,LEN(Table1[[#This Row],[CI_95perc_Conjunctive.Power]])-FIND(",",Table1[[#This Row],[CI_95perc_Conjunctive.Power]])-1))</f>
        <v>0</v>
      </c>
      <c r="BM171" s="10">
        <f>_xlfn.NUMBERVALUE(MID(Table1[[#This Row],[CI_95perc_Disjunctive.Power]],2,FIND(",",Table1[[#This Row],[CI_95perc_Disjunctive.Power]])-2))</f>
        <v>0</v>
      </c>
      <c r="BN171" s="10">
        <f>_xlfn.NUMBERVALUE(MID(Table1[[#This Row],[CI_95perc_Disjunctive.Power]],FIND(",",Table1[[#This Row],[CI_95perc_Disjunctive.Power]])+1,LEN(Table1[[#This Row],[CI_95perc_Disjunctive.Power]])-FIND(",",Table1[[#This Row],[CI_95perc_Disjunctive.Power]])-1))</f>
        <v>0</v>
      </c>
      <c r="BO171" s="10">
        <f>_xlfn.NUMBERVALUE(MID(Table1[[#This Row],[CI_95perc_FWER]],2,FIND(",",Table1[[#This Row],[CI_95perc_FWER]])-2))</f>
        <v>8.1099999999999992E-3</v>
      </c>
      <c r="BP171" s="10">
        <f>_xlfn.NUMBERVALUE(MID(Table1[[#This Row],[CI_95perc_FWER]],FIND(",",Table1[[#This Row],[CI_95perc_FWER]])+1,LEN(Table1[[#This Row],[CI_95perc_FWER]])-FIND(",",Table1[[#This Row],[CI_95perc_FWER]])-1))</f>
        <v>1.0789999999999999E-2</v>
      </c>
      <c r="BQ171" s="10" t="str">
        <f>_xlfn.CONCAT("(",TEXT(Table1[[#This Row],[LCL_Disj.Pow%]],"0.00%"), ", ",TEXT(Table1[[#This Row],[UCL_Disj.Pow%]],"0.00%"),")")</f>
        <v>(0.00%, 0.00%)</v>
      </c>
      <c r="BR171" s="10" t="str">
        <f>_xlfn.CONCAT("(",TEXT(Table1[[#This Row],[LCL_Conj.Pow%]],"0.00%"),", ",TEXT(Table1[[#This Row],[UCL_Conj.Pow%]],"0.00%"),")")</f>
        <v>(0.00%, 0.00%)</v>
      </c>
      <c r="BS171" s="10" t="str">
        <f>_xlfn.CONCAT("(",TEXT(Table1[[#This Row],[LCL_FWER%]],"0.00%"),", ",TEXT(Table1[[#This Row],[UCL_FWER%]],"0.00%"),")")</f>
        <v>(0.81%, 1.08%)</v>
      </c>
    </row>
    <row r="172" spans="1:71" x14ac:dyDescent="0.25">
      <c r="A172">
        <v>170</v>
      </c>
      <c r="B172" t="s">
        <v>1060</v>
      </c>
      <c r="C172">
        <v>2055</v>
      </c>
      <c r="D172">
        <v>1.175E-2</v>
      </c>
      <c r="E172">
        <v>0</v>
      </c>
      <c r="F172">
        <v>0</v>
      </c>
      <c r="G172">
        <v>1.175E-2</v>
      </c>
      <c r="H172" t="s">
        <v>1043</v>
      </c>
      <c r="I172" t="s">
        <v>83</v>
      </c>
      <c r="J172" t="s">
        <v>83</v>
      </c>
      <c r="K172" t="s">
        <v>1043</v>
      </c>
      <c r="L172" s="1">
        <v>27208</v>
      </c>
      <c r="M172" t="s">
        <v>1044</v>
      </c>
      <c r="N172">
        <v>7.21491856045193E-2</v>
      </c>
      <c r="O172" t="s">
        <v>85</v>
      </c>
      <c r="P172" t="s">
        <v>117</v>
      </c>
      <c r="Q172">
        <v>500</v>
      </c>
      <c r="R172">
        <v>2.5000000000000001E-2</v>
      </c>
      <c r="S172" t="s">
        <v>654</v>
      </c>
      <c r="T172" t="s">
        <v>42</v>
      </c>
      <c r="U172" t="s">
        <v>64</v>
      </c>
      <c r="V172" t="s">
        <v>44</v>
      </c>
      <c r="W172">
        <v>5</v>
      </c>
      <c r="X172">
        <v>2</v>
      </c>
      <c r="Y172" t="s">
        <v>650</v>
      </c>
      <c r="Z172" t="s">
        <v>652</v>
      </c>
      <c r="AA172" t="s">
        <v>651</v>
      </c>
      <c r="AB172" t="s">
        <v>653</v>
      </c>
      <c r="AC172" t="s">
        <v>122</v>
      </c>
      <c r="AD172" t="s">
        <v>123</v>
      </c>
      <c r="AE172" t="s">
        <v>124</v>
      </c>
      <c r="AF172" t="s">
        <v>125</v>
      </c>
      <c r="AG172" t="s">
        <v>51</v>
      </c>
      <c r="AH172" t="s">
        <v>126</v>
      </c>
      <c r="AI172" t="s">
        <v>53</v>
      </c>
      <c r="AJ172" t="b">
        <v>1</v>
      </c>
      <c r="AK172" t="b">
        <v>1</v>
      </c>
      <c r="AL172">
        <v>1</v>
      </c>
      <c r="AM172">
        <v>1</v>
      </c>
      <c r="AN172" t="s">
        <v>56</v>
      </c>
      <c r="AO172" t="s">
        <v>57</v>
      </c>
      <c r="AP172">
        <v>0.25</v>
      </c>
      <c r="AQ172" t="b">
        <v>1</v>
      </c>
      <c r="AR172" t="s">
        <v>23</v>
      </c>
      <c r="AS172">
        <v>20000</v>
      </c>
      <c r="AT172">
        <v>500</v>
      </c>
      <c r="AU172">
        <v>2055</v>
      </c>
      <c r="AV172" t="b">
        <v>0</v>
      </c>
      <c r="AW172" t="b">
        <v>0</v>
      </c>
      <c r="AX172" t="b">
        <v>1</v>
      </c>
      <c r="AY172" t="b">
        <v>0</v>
      </c>
      <c r="AZ172">
        <v>118</v>
      </c>
      <c r="BA172">
        <f>INDEX(Inp_CER_Bin_2eps3arms!$AN$2:$AN$176,MATCH(Table1[[#This Row],[ModelID]],Inp_CER_Bin_2eps3arms!$A$2:$A$176,0))</f>
        <v>0</v>
      </c>
      <c r="BE172" s="10">
        <f>Table1[[#This Row],[Global.Power]]</f>
        <v>1.175E-2</v>
      </c>
      <c r="BF172" s="10">
        <f>Table1[[#This Row],[Conjunctive.Power]]</f>
        <v>0</v>
      </c>
      <c r="BG172" s="10">
        <f>Table1[[#This Row],[Disjunctive.Power]]</f>
        <v>0</v>
      </c>
      <c r="BH172" s="10">
        <f>Table1[[#This Row],[FWER]]</f>
        <v>1.175E-2</v>
      </c>
      <c r="BI172" s="10">
        <f>_xlfn.NUMBERVALUE(MID(Table1[[#This Row],[CI_95perc_Global.Power]],2,FIND(",",Table1[[#This Row],[CI_95perc_Global.Power]])-2))</f>
        <v>1.026E-2</v>
      </c>
      <c r="BJ172" s="10">
        <f>_xlfn.NUMBERVALUE(MID(Table1[[#This Row],[CI_95perc_Global.Power]],FIND(",",Table1[[#This Row],[CI_95perc_Global.Power]])+1,LEN(Table1[[#This Row],[CI_95perc_Global.Power]])-FIND(",",Table1[[#This Row],[CI_95perc_Global.Power]])-1))</f>
        <v>1.324E-2</v>
      </c>
      <c r="BK172" s="10">
        <f>_xlfn.NUMBERVALUE(MID(Table1[[#This Row],[CI_95perc_Conjunctive.Power]],2,FIND(",",Table1[[#This Row],[CI_95perc_Conjunctive.Power]])-2))</f>
        <v>0</v>
      </c>
      <c r="BL172" s="10">
        <f>_xlfn.NUMBERVALUE(MID(Table1[[#This Row],[CI_95perc_Conjunctive.Power]],FIND(",",Table1[[#This Row],[CI_95perc_Conjunctive.Power]])+1,LEN(Table1[[#This Row],[CI_95perc_Conjunctive.Power]])-FIND(",",Table1[[#This Row],[CI_95perc_Conjunctive.Power]])-1))</f>
        <v>0</v>
      </c>
      <c r="BM172" s="10">
        <f>_xlfn.NUMBERVALUE(MID(Table1[[#This Row],[CI_95perc_Disjunctive.Power]],2,FIND(",",Table1[[#This Row],[CI_95perc_Disjunctive.Power]])-2))</f>
        <v>0</v>
      </c>
      <c r="BN172" s="10">
        <f>_xlfn.NUMBERVALUE(MID(Table1[[#This Row],[CI_95perc_Disjunctive.Power]],FIND(",",Table1[[#This Row],[CI_95perc_Disjunctive.Power]])+1,LEN(Table1[[#This Row],[CI_95perc_Disjunctive.Power]])-FIND(",",Table1[[#This Row],[CI_95perc_Disjunctive.Power]])-1))</f>
        <v>0</v>
      </c>
      <c r="BO172" s="10">
        <f>_xlfn.NUMBERVALUE(MID(Table1[[#This Row],[CI_95perc_FWER]],2,FIND(",",Table1[[#This Row],[CI_95perc_FWER]])-2))</f>
        <v>1.026E-2</v>
      </c>
      <c r="BP172" s="10">
        <f>_xlfn.NUMBERVALUE(MID(Table1[[#This Row],[CI_95perc_FWER]],FIND(",",Table1[[#This Row],[CI_95perc_FWER]])+1,LEN(Table1[[#This Row],[CI_95perc_FWER]])-FIND(",",Table1[[#This Row],[CI_95perc_FWER]])-1))</f>
        <v>1.324E-2</v>
      </c>
      <c r="BQ172" s="10" t="str">
        <f>_xlfn.CONCAT("(",TEXT(Table1[[#This Row],[LCL_Disj.Pow%]],"0.00%"), ", ",TEXT(Table1[[#This Row],[UCL_Disj.Pow%]],"0.00%"),")")</f>
        <v>(0.00%, 0.00%)</v>
      </c>
      <c r="BR172" s="10" t="str">
        <f>_xlfn.CONCAT("(",TEXT(Table1[[#This Row],[LCL_Conj.Pow%]],"0.00%"),", ",TEXT(Table1[[#This Row],[UCL_Conj.Pow%]],"0.00%"),")")</f>
        <v>(0.00%, 0.00%)</v>
      </c>
      <c r="BS172" s="10" t="str">
        <f>_xlfn.CONCAT("(",TEXT(Table1[[#This Row],[LCL_FWER%]],"0.00%"),", ",TEXT(Table1[[#This Row],[UCL_FWER%]],"0.00%"),")")</f>
        <v>(1.03%, 1.32%)</v>
      </c>
    </row>
    <row r="173" spans="1:71" x14ac:dyDescent="0.25">
      <c r="A173">
        <v>171</v>
      </c>
      <c r="B173" t="s">
        <v>1061</v>
      </c>
      <c r="C173">
        <v>8866</v>
      </c>
      <c r="D173">
        <v>2.095E-2</v>
      </c>
      <c r="E173">
        <v>0</v>
      </c>
      <c r="F173">
        <v>0</v>
      </c>
      <c r="G173">
        <v>2.095E-2</v>
      </c>
      <c r="H173" t="s">
        <v>1045</v>
      </c>
      <c r="I173" t="s">
        <v>83</v>
      </c>
      <c r="J173" t="s">
        <v>83</v>
      </c>
      <c r="K173" t="s">
        <v>1045</v>
      </c>
      <c r="L173" s="1">
        <v>30389</v>
      </c>
      <c r="M173" t="s">
        <v>1046</v>
      </c>
      <c r="N173">
        <v>8.5860326422585398E-2</v>
      </c>
      <c r="O173" t="s">
        <v>85</v>
      </c>
      <c r="P173" t="s">
        <v>117</v>
      </c>
      <c r="Q173">
        <v>500</v>
      </c>
      <c r="R173">
        <v>2.5000000000000001E-2</v>
      </c>
      <c r="S173" t="s">
        <v>654</v>
      </c>
      <c r="T173" t="s">
        <v>42</v>
      </c>
      <c r="U173" t="s">
        <v>64</v>
      </c>
      <c r="V173" t="s">
        <v>44</v>
      </c>
      <c r="W173">
        <v>5</v>
      </c>
      <c r="X173">
        <v>2</v>
      </c>
      <c r="Y173" t="s">
        <v>650</v>
      </c>
      <c r="Z173" t="s">
        <v>652</v>
      </c>
      <c r="AA173" t="s">
        <v>651</v>
      </c>
      <c r="AB173" t="s">
        <v>653</v>
      </c>
      <c r="AC173" t="s">
        <v>122</v>
      </c>
      <c r="AD173" t="s">
        <v>123</v>
      </c>
      <c r="AE173" t="s">
        <v>124</v>
      </c>
      <c r="AF173" t="s">
        <v>125</v>
      </c>
      <c r="AG173" t="s">
        <v>51</v>
      </c>
      <c r="AH173" t="s">
        <v>126</v>
      </c>
      <c r="AI173" t="s">
        <v>53</v>
      </c>
      <c r="AJ173" t="b">
        <v>1</v>
      </c>
      <c r="AK173" t="b">
        <v>1</v>
      </c>
      <c r="AL173">
        <v>1</v>
      </c>
      <c r="AM173">
        <v>1</v>
      </c>
      <c r="AN173" t="s">
        <v>56</v>
      </c>
      <c r="AO173" t="s">
        <v>60</v>
      </c>
      <c r="AP173">
        <v>1</v>
      </c>
      <c r="AQ173" t="b">
        <v>1</v>
      </c>
      <c r="AR173" t="s">
        <v>23</v>
      </c>
      <c r="AS173">
        <v>20000</v>
      </c>
      <c r="AT173">
        <v>500</v>
      </c>
      <c r="AU173">
        <v>8866</v>
      </c>
      <c r="AV173" t="b">
        <v>0</v>
      </c>
      <c r="AW173" t="b">
        <v>0</v>
      </c>
      <c r="AX173" t="b">
        <v>1</v>
      </c>
      <c r="AY173" t="b">
        <v>0</v>
      </c>
      <c r="AZ173">
        <v>119</v>
      </c>
      <c r="BA173">
        <f>INDEX(Inp_CER_Bin_2eps3arms!$AN$2:$AN$176,MATCH(Table1[[#This Row],[ModelID]],Inp_CER_Bin_2eps3arms!$A$2:$A$176,0))</f>
        <v>0</v>
      </c>
      <c r="BE173" s="10">
        <f>Table1[[#This Row],[Global.Power]]</f>
        <v>2.095E-2</v>
      </c>
      <c r="BF173" s="10">
        <f>Table1[[#This Row],[Conjunctive.Power]]</f>
        <v>0</v>
      </c>
      <c r="BG173" s="10">
        <f>Table1[[#This Row],[Disjunctive.Power]]</f>
        <v>0</v>
      </c>
      <c r="BH173" s="10">
        <f>Table1[[#This Row],[FWER]]</f>
        <v>2.095E-2</v>
      </c>
      <c r="BI173" s="10">
        <f>_xlfn.NUMBERVALUE(MID(Table1[[#This Row],[CI_95perc_Global.Power]],2,FIND(",",Table1[[#This Row],[CI_95perc_Global.Power]])-2))</f>
        <v>1.8970000000000001E-2</v>
      </c>
      <c r="BJ173" s="10">
        <f>_xlfn.NUMBERVALUE(MID(Table1[[#This Row],[CI_95perc_Global.Power]],FIND(",",Table1[[#This Row],[CI_95perc_Global.Power]])+1,LEN(Table1[[#This Row],[CI_95perc_Global.Power]])-FIND(",",Table1[[#This Row],[CI_95perc_Global.Power]])-1))</f>
        <v>2.2929999999999999E-2</v>
      </c>
      <c r="BK173" s="10">
        <f>_xlfn.NUMBERVALUE(MID(Table1[[#This Row],[CI_95perc_Conjunctive.Power]],2,FIND(",",Table1[[#This Row],[CI_95perc_Conjunctive.Power]])-2))</f>
        <v>0</v>
      </c>
      <c r="BL173" s="10">
        <f>_xlfn.NUMBERVALUE(MID(Table1[[#This Row],[CI_95perc_Conjunctive.Power]],FIND(",",Table1[[#This Row],[CI_95perc_Conjunctive.Power]])+1,LEN(Table1[[#This Row],[CI_95perc_Conjunctive.Power]])-FIND(",",Table1[[#This Row],[CI_95perc_Conjunctive.Power]])-1))</f>
        <v>0</v>
      </c>
      <c r="BM173" s="10">
        <f>_xlfn.NUMBERVALUE(MID(Table1[[#This Row],[CI_95perc_Disjunctive.Power]],2,FIND(",",Table1[[#This Row],[CI_95perc_Disjunctive.Power]])-2))</f>
        <v>0</v>
      </c>
      <c r="BN173" s="10">
        <f>_xlfn.NUMBERVALUE(MID(Table1[[#This Row],[CI_95perc_Disjunctive.Power]],FIND(",",Table1[[#This Row],[CI_95perc_Disjunctive.Power]])+1,LEN(Table1[[#This Row],[CI_95perc_Disjunctive.Power]])-FIND(",",Table1[[#This Row],[CI_95perc_Disjunctive.Power]])-1))</f>
        <v>0</v>
      </c>
      <c r="BO173" s="10">
        <f>_xlfn.NUMBERVALUE(MID(Table1[[#This Row],[CI_95perc_FWER]],2,FIND(",",Table1[[#This Row],[CI_95perc_FWER]])-2))</f>
        <v>1.8970000000000001E-2</v>
      </c>
      <c r="BP173" s="10">
        <f>_xlfn.NUMBERVALUE(MID(Table1[[#This Row],[CI_95perc_FWER]],FIND(",",Table1[[#This Row],[CI_95perc_FWER]])+1,LEN(Table1[[#This Row],[CI_95perc_FWER]])-FIND(",",Table1[[#This Row],[CI_95perc_FWER]])-1))</f>
        <v>2.2929999999999999E-2</v>
      </c>
      <c r="BQ173" s="10" t="str">
        <f>_xlfn.CONCAT("(",TEXT(Table1[[#This Row],[LCL_Disj.Pow%]],"0.00%"), ", ",TEXT(Table1[[#This Row],[UCL_Disj.Pow%]],"0.00%"),")")</f>
        <v>(0.00%, 0.00%)</v>
      </c>
      <c r="BR173" s="10" t="str">
        <f>_xlfn.CONCAT("(",TEXT(Table1[[#This Row],[LCL_Conj.Pow%]],"0.00%"),", ",TEXT(Table1[[#This Row],[UCL_Conj.Pow%]],"0.00%"),")")</f>
        <v>(0.00%, 0.00%)</v>
      </c>
      <c r="BS173" s="10" t="str">
        <f>_xlfn.CONCAT("(",TEXT(Table1[[#This Row],[LCL_FWER%]],"0.00%"),", ",TEXT(Table1[[#This Row],[UCL_FWER%]],"0.00%"),")")</f>
        <v>(1.90%, 2.29%)</v>
      </c>
    </row>
    <row r="174" spans="1:71" x14ac:dyDescent="0.25">
      <c r="A174">
        <v>172</v>
      </c>
      <c r="B174" t="s">
        <v>1062</v>
      </c>
      <c r="C174">
        <v>2895</v>
      </c>
      <c r="D174">
        <v>8.6E-3</v>
      </c>
      <c r="E174">
        <v>0</v>
      </c>
      <c r="F174">
        <v>0</v>
      </c>
      <c r="G174">
        <v>8.6E-3</v>
      </c>
      <c r="H174" t="s">
        <v>279</v>
      </c>
      <c r="I174" t="s">
        <v>83</v>
      </c>
      <c r="J174" t="s">
        <v>83</v>
      </c>
      <c r="K174" t="s">
        <v>279</v>
      </c>
      <c r="L174" s="1">
        <v>28144</v>
      </c>
      <c r="M174" t="s">
        <v>1047</v>
      </c>
      <c r="N174">
        <v>0.101582727763388</v>
      </c>
      <c r="O174" t="s">
        <v>85</v>
      </c>
      <c r="P174" t="s">
        <v>117</v>
      </c>
      <c r="Q174">
        <v>500</v>
      </c>
      <c r="R174">
        <v>2.5000000000000001E-2</v>
      </c>
      <c r="S174" t="s">
        <v>654</v>
      </c>
      <c r="T174" t="s">
        <v>42</v>
      </c>
      <c r="U174" t="s">
        <v>64</v>
      </c>
      <c r="V174" t="s">
        <v>44</v>
      </c>
      <c r="W174">
        <v>5</v>
      </c>
      <c r="X174">
        <v>2</v>
      </c>
      <c r="Y174" t="s">
        <v>650</v>
      </c>
      <c r="Z174" t="s">
        <v>652</v>
      </c>
      <c r="AA174" t="s">
        <v>651</v>
      </c>
      <c r="AB174" t="s">
        <v>653</v>
      </c>
      <c r="AC174" t="s">
        <v>122</v>
      </c>
      <c r="AD174" t="s">
        <v>673</v>
      </c>
      <c r="AE174" t="s">
        <v>124</v>
      </c>
      <c r="AF174" t="s">
        <v>125</v>
      </c>
      <c r="AG174" t="s">
        <v>51</v>
      </c>
      <c r="AH174" t="s">
        <v>126</v>
      </c>
      <c r="AI174" t="s">
        <v>53</v>
      </c>
      <c r="AJ174" t="b">
        <v>1</v>
      </c>
      <c r="AK174" t="b">
        <v>1</v>
      </c>
      <c r="AL174">
        <v>1</v>
      </c>
      <c r="AM174">
        <v>1</v>
      </c>
      <c r="AN174" t="s">
        <v>56</v>
      </c>
      <c r="AO174" t="s">
        <v>57</v>
      </c>
      <c r="AP174">
        <v>0.75</v>
      </c>
      <c r="AQ174" t="b">
        <v>1</v>
      </c>
      <c r="AR174" t="s">
        <v>23</v>
      </c>
      <c r="AS174">
        <v>20000</v>
      </c>
      <c r="AT174">
        <v>500</v>
      </c>
      <c r="AU174">
        <v>2895</v>
      </c>
      <c r="AV174" t="b">
        <v>0</v>
      </c>
      <c r="AW174" t="b">
        <v>0</v>
      </c>
      <c r="AX174" t="b">
        <v>1</v>
      </c>
      <c r="AY174" t="b">
        <v>0</v>
      </c>
      <c r="AZ174">
        <v>120</v>
      </c>
      <c r="BA174">
        <f>INDEX(Inp_CER_Bin_2eps3arms!$AN$2:$AN$176,MATCH(Table1[[#This Row],[ModelID]],Inp_CER_Bin_2eps3arms!$A$2:$A$176,0))</f>
        <v>0</v>
      </c>
      <c r="BE174" s="10">
        <f>Table1[[#This Row],[Global.Power]]</f>
        <v>8.6E-3</v>
      </c>
      <c r="BF174" s="10">
        <f>Table1[[#This Row],[Conjunctive.Power]]</f>
        <v>0</v>
      </c>
      <c r="BG174" s="10">
        <f>Table1[[#This Row],[Disjunctive.Power]]</f>
        <v>0</v>
      </c>
      <c r="BH174" s="10">
        <f>Table1[[#This Row],[FWER]]</f>
        <v>8.6E-3</v>
      </c>
      <c r="BI174" s="10">
        <f>_xlfn.NUMBERVALUE(MID(Table1[[#This Row],[CI_95perc_Global.Power]],2,FIND(",",Table1[[#This Row],[CI_95perc_Global.Power]])-2))</f>
        <v>7.3200000000000001E-3</v>
      </c>
      <c r="BJ174" s="10">
        <f>_xlfn.NUMBERVALUE(MID(Table1[[#This Row],[CI_95perc_Global.Power]],FIND(",",Table1[[#This Row],[CI_95perc_Global.Power]])+1,LEN(Table1[[#This Row],[CI_95perc_Global.Power]])-FIND(",",Table1[[#This Row],[CI_95perc_Global.Power]])-1))</f>
        <v>9.8799999999999999E-3</v>
      </c>
      <c r="BK174" s="10">
        <f>_xlfn.NUMBERVALUE(MID(Table1[[#This Row],[CI_95perc_Conjunctive.Power]],2,FIND(",",Table1[[#This Row],[CI_95perc_Conjunctive.Power]])-2))</f>
        <v>0</v>
      </c>
      <c r="BL174" s="10">
        <f>_xlfn.NUMBERVALUE(MID(Table1[[#This Row],[CI_95perc_Conjunctive.Power]],FIND(",",Table1[[#This Row],[CI_95perc_Conjunctive.Power]])+1,LEN(Table1[[#This Row],[CI_95perc_Conjunctive.Power]])-FIND(",",Table1[[#This Row],[CI_95perc_Conjunctive.Power]])-1))</f>
        <v>0</v>
      </c>
      <c r="BM174" s="10">
        <f>_xlfn.NUMBERVALUE(MID(Table1[[#This Row],[CI_95perc_Disjunctive.Power]],2,FIND(",",Table1[[#This Row],[CI_95perc_Disjunctive.Power]])-2))</f>
        <v>0</v>
      </c>
      <c r="BN174" s="10">
        <f>_xlfn.NUMBERVALUE(MID(Table1[[#This Row],[CI_95perc_Disjunctive.Power]],FIND(",",Table1[[#This Row],[CI_95perc_Disjunctive.Power]])+1,LEN(Table1[[#This Row],[CI_95perc_Disjunctive.Power]])-FIND(",",Table1[[#This Row],[CI_95perc_Disjunctive.Power]])-1))</f>
        <v>0</v>
      </c>
      <c r="BO174" s="10">
        <f>_xlfn.NUMBERVALUE(MID(Table1[[#This Row],[CI_95perc_FWER]],2,FIND(",",Table1[[#This Row],[CI_95perc_FWER]])-2))</f>
        <v>7.3200000000000001E-3</v>
      </c>
      <c r="BP174" s="10">
        <f>_xlfn.NUMBERVALUE(MID(Table1[[#This Row],[CI_95perc_FWER]],FIND(",",Table1[[#This Row],[CI_95perc_FWER]])+1,LEN(Table1[[#This Row],[CI_95perc_FWER]])-FIND(",",Table1[[#This Row],[CI_95perc_FWER]])-1))</f>
        <v>9.8799999999999999E-3</v>
      </c>
      <c r="BQ174" s="10" t="str">
        <f>_xlfn.CONCAT("(",TEXT(Table1[[#This Row],[LCL_Disj.Pow%]],"0.00%"), ", ",TEXT(Table1[[#This Row],[UCL_Disj.Pow%]],"0.00%"),")")</f>
        <v>(0.00%, 0.00%)</v>
      </c>
      <c r="BR174" s="10" t="str">
        <f>_xlfn.CONCAT("(",TEXT(Table1[[#This Row],[LCL_Conj.Pow%]],"0.00%"),", ",TEXT(Table1[[#This Row],[UCL_Conj.Pow%]],"0.00%"),")")</f>
        <v>(0.00%, 0.00%)</v>
      </c>
      <c r="BS174" s="10" t="str">
        <f>_xlfn.CONCAT("(",TEXT(Table1[[#This Row],[LCL_FWER%]],"0.00%"),", ",TEXT(Table1[[#This Row],[UCL_FWER%]],"0.00%"),")")</f>
        <v>(0.73%, 0.99%)</v>
      </c>
    </row>
    <row r="175" spans="1:71" x14ac:dyDescent="0.25">
      <c r="A175">
        <v>173</v>
      </c>
      <c r="B175" t="s">
        <v>1063</v>
      </c>
      <c r="C175">
        <v>8427</v>
      </c>
      <c r="D175">
        <v>9.2999999999999992E-3</v>
      </c>
      <c r="E175">
        <v>0</v>
      </c>
      <c r="F175">
        <v>0</v>
      </c>
      <c r="G175">
        <v>9.2999999999999992E-3</v>
      </c>
      <c r="H175" t="s">
        <v>1048</v>
      </c>
      <c r="I175" t="s">
        <v>83</v>
      </c>
      <c r="J175" t="s">
        <v>83</v>
      </c>
      <c r="K175" t="s">
        <v>1048</v>
      </c>
      <c r="L175" s="1">
        <v>25161</v>
      </c>
      <c r="M175" t="s">
        <v>1049</v>
      </c>
      <c r="N175">
        <v>8.8153098556730494E-2</v>
      </c>
      <c r="O175" t="s">
        <v>85</v>
      </c>
      <c r="P175" t="s">
        <v>117</v>
      </c>
      <c r="Q175">
        <v>500</v>
      </c>
      <c r="R175">
        <v>2.5000000000000001E-2</v>
      </c>
      <c r="S175" t="s">
        <v>654</v>
      </c>
      <c r="T175" t="s">
        <v>42</v>
      </c>
      <c r="U175" t="s">
        <v>64</v>
      </c>
      <c r="V175" t="s">
        <v>44</v>
      </c>
      <c r="W175">
        <v>5</v>
      </c>
      <c r="X175">
        <v>2</v>
      </c>
      <c r="Y175" t="s">
        <v>650</v>
      </c>
      <c r="Z175" t="s">
        <v>652</v>
      </c>
      <c r="AA175" t="s">
        <v>651</v>
      </c>
      <c r="AB175" t="s">
        <v>653</v>
      </c>
      <c r="AC175" t="s">
        <v>122</v>
      </c>
      <c r="AD175" t="s">
        <v>673</v>
      </c>
      <c r="AE175" t="s">
        <v>124</v>
      </c>
      <c r="AF175" t="s">
        <v>125</v>
      </c>
      <c r="AG175" t="s">
        <v>51</v>
      </c>
      <c r="AH175" t="s">
        <v>126</v>
      </c>
      <c r="AI175" t="s">
        <v>53</v>
      </c>
      <c r="AJ175" t="b">
        <v>1</v>
      </c>
      <c r="AK175" t="b">
        <v>1</v>
      </c>
      <c r="AL175">
        <v>1</v>
      </c>
      <c r="AM175">
        <v>1</v>
      </c>
      <c r="AN175" t="s">
        <v>56</v>
      </c>
      <c r="AO175" t="s">
        <v>57</v>
      </c>
      <c r="AP175">
        <v>0.5</v>
      </c>
      <c r="AQ175" t="b">
        <v>1</v>
      </c>
      <c r="AR175" t="s">
        <v>23</v>
      </c>
      <c r="AS175">
        <v>20000</v>
      </c>
      <c r="AT175">
        <v>500</v>
      </c>
      <c r="AU175">
        <v>8427</v>
      </c>
      <c r="AV175" t="b">
        <v>0</v>
      </c>
      <c r="AW175" t="b">
        <v>0</v>
      </c>
      <c r="AX175" t="b">
        <v>1</v>
      </c>
      <c r="AY175" t="b">
        <v>0</v>
      </c>
      <c r="AZ175">
        <v>121</v>
      </c>
      <c r="BA175">
        <f>INDEX(Inp_CER_Bin_2eps3arms!$AN$2:$AN$176,MATCH(Table1[[#This Row],[ModelID]],Inp_CER_Bin_2eps3arms!$A$2:$A$176,0))</f>
        <v>0</v>
      </c>
      <c r="BE175" s="10">
        <f>Table1[[#This Row],[Global.Power]]</f>
        <v>9.2999999999999992E-3</v>
      </c>
      <c r="BF175" s="10">
        <f>Table1[[#This Row],[Conjunctive.Power]]</f>
        <v>0</v>
      </c>
      <c r="BG175" s="10">
        <f>Table1[[#This Row],[Disjunctive.Power]]</f>
        <v>0</v>
      </c>
      <c r="BH175" s="10">
        <f>Table1[[#This Row],[FWER]]</f>
        <v>9.2999999999999992E-3</v>
      </c>
      <c r="BI175" s="10">
        <f>_xlfn.NUMBERVALUE(MID(Table1[[#This Row],[CI_95perc_Global.Power]],2,FIND(",",Table1[[#This Row],[CI_95perc_Global.Power]])-2))</f>
        <v>7.9699999999999997E-3</v>
      </c>
      <c r="BJ175" s="10">
        <f>_xlfn.NUMBERVALUE(MID(Table1[[#This Row],[CI_95perc_Global.Power]],FIND(",",Table1[[#This Row],[CI_95perc_Global.Power]])+1,LEN(Table1[[#This Row],[CI_95perc_Global.Power]])-FIND(",",Table1[[#This Row],[CI_95perc_Global.Power]])-1))</f>
        <v>1.0630000000000001E-2</v>
      </c>
      <c r="BK175" s="10">
        <f>_xlfn.NUMBERVALUE(MID(Table1[[#This Row],[CI_95perc_Conjunctive.Power]],2,FIND(",",Table1[[#This Row],[CI_95perc_Conjunctive.Power]])-2))</f>
        <v>0</v>
      </c>
      <c r="BL175" s="10">
        <f>_xlfn.NUMBERVALUE(MID(Table1[[#This Row],[CI_95perc_Conjunctive.Power]],FIND(",",Table1[[#This Row],[CI_95perc_Conjunctive.Power]])+1,LEN(Table1[[#This Row],[CI_95perc_Conjunctive.Power]])-FIND(",",Table1[[#This Row],[CI_95perc_Conjunctive.Power]])-1))</f>
        <v>0</v>
      </c>
      <c r="BM175" s="10">
        <f>_xlfn.NUMBERVALUE(MID(Table1[[#This Row],[CI_95perc_Disjunctive.Power]],2,FIND(",",Table1[[#This Row],[CI_95perc_Disjunctive.Power]])-2))</f>
        <v>0</v>
      </c>
      <c r="BN175" s="10">
        <f>_xlfn.NUMBERVALUE(MID(Table1[[#This Row],[CI_95perc_Disjunctive.Power]],FIND(",",Table1[[#This Row],[CI_95perc_Disjunctive.Power]])+1,LEN(Table1[[#This Row],[CI_95perc_Disjunctive.Power]])-FIND(",",Table1[[#This Row],[CI_95perc_Disjunctive.Power]])-1))</f>
        <v>0</v>
      </c>
      <c r="BO175" s="10">
        <f>_xlfn.NUMBERVALUE(MID(Table1[[#This Row],[CI_95perc_FWER]],2,FIND(",",Table1[[#This Row],[CI_95perc_FWER]])-2))</f>
        <v>7.9699999999999997E-3</v>
      </c>
      <c r="BP175" s="10">
        <f>_xlfn.NUMBERVALUE(MID(Table1[[#This Row],[CI_95perc_FWER]],FIND(",",Table1[[#This Row],[CI_95perc_FWER]])+1,LEN(Table1[[#This Row],[CI_95perc_FWER]])-FIND(",",Table1[[#This Row],[CI_95perc_FWER]])-1))</f>
        <v>1.0630000000000001E-2</v>
      </c>
      <c r="BQ175" s="10" t="str">
        <f>_xlfn.CONCAT("(",TEXT(Table1[[#This Row],[LCL_Disj.Pow%]],"0.00%"), ", ",TEXT(Table1[[#This Row],[UCL_Disj.Pow%]],"0.00%"),")")</f>
        <v>(0.00%, 0.00%)</v>
      </c>
      <c r="BR175" s="10" t="str">
        <f>_xlfn.CONCAT("(",TEXT(Table1[[#This Row],[LCL_Conj.Pow%]],"0.00%"),", ",TEXT(Table1[[#This Row],[UCL_Conj.Pow%]],"0.00%"),")")</f>
        <v>(0.00%, 0.00%)</v>
      </c>
      <c r="BS175" s="10" t="str">
        <f>_xlfn.CONCAT("(",TEXT(Table1[[#This Row],[LCL_FWER%]],"0.00%"),", ",TEXT(Table1[[#This Row],[UCL_FWER%]],"0.00%"),")")</f>
        <v>(0.80%, 1.06%)</v>
      </c>
    </row>
    <row r="176" spans="1:71" x14ac:dyDescent="0.25">
      <c r="A176">
        <v>174</v>
      </c>
      <c r="B176" t="s">
        <v>1064</v>
      </c>
      <c r="C176">
        <v>5058</v>
      </c>
      <c r="D176">
        <v>1.2699999999999999E-2</v>
      </c>
      <c r="E176">
        <v>0</v>
      </c>
      <c r="F176">
        <v>0</v>
      </c>
      <c r="G176">
        <v>1.2699999999999999E-2</v>
      </c>
      <c r="H176" t="s">
        <v>1050</v>
      </c>
      <c r="I176" t="s">
        <v>83</v>
      </c>
      <c r="J176" t="s">
        <v>83</v>
      </c>
      <c r="K176" t="s">
        <v>1050</v>
      </c>
      <c r="L176" s="1">
        <v>28226</v>
      </c>
      <c r="M176" t="s">
        <v>1051</v>
      </c>
      <c r="N176">
        <v>7.3564964731534302E-2</v>
      </c>
      <c r="O176" t="s">
        <v>85</v>
      </c>
      <c r="P176" t="s">
        <v>117</v>
      </c>
      <c r="Q176">
        <v>500</v>
      </c>
      <c r="R176">
        <v>2.5000000000000001E-2</v>
      </c>
      <c r="S176" t="s">
        <v>654</v>
      </c>
      <c r="T176" t="s">
        <v>42</v>
      </c>
      <c r="U176" t="s">
        <v>64</v>
      </c>
      <c r="V176" t="s">
        <v>44</v>
      </c>
      <c r="W176">
        <v>5</v>
      </c>
      <c r="X176">
        <v>2</v>
      </c>
      <c r="Y176" t="s">
        <v>650</v>
      </c>
      <c r="Z176" t="s">
        <v>652</v>
      </c>
      <c r="AA176" t="s">
        <v>651</v>
      </c>
      <c r="AB176" t="s">
        <v>653</v>
      </c>
      <c r="AC176" t="s">
        <v>122</v>
      </c>
      <c r="AD176" t="s">
        <v>673</v>
      </c>
      <c r="AE176" t="s">
        <v>124</v>
      </c>
      <c r="AF176" t="s">
        <v>125</v>
      </c>
      <c r="AG176" t="s">
        <v>51</v>
      </c>
      <c r="AH176" t="s">
        <v>126</v>
      </c>
      <c r="AI176" t="s">
        <v>53</v>
      </c>
      <c r="AJ176" t="b">
        <v>1</v>
      </c>
      <c r="AK176" t="b">
        <v>1</v>
      </c>
      <c r="AL176">
        <v>1</v>
      </c>
      <c r="AM176">
        <v>1</v>
      </c>
      <c r="AN176" t="s">
        <v>56</v>
      </c>
      <c r="AO176" t="s">
        <v>57</v>
      </c>
      <c r="AP176">
        <v>0.25</v>
      </c>
      <c r="AQ176" t="b">
        <v>1</v>
      </c>
      <c r="AR176" t="s">
        <v>23</v>
      </c>
      <c r="AS176">
        <v>20000</v>
      </c>
      <c r="AT176">
        <v>500</v>
      </c>
      <c r="AU176">
        <v>5058</v>
      </c>
      <c r="AV176" t="b">
        <v>0</v>
      </c>
      <c r="AW176" t="b">
        <v>0</v>
      </c>
      <c r="AX176" t="b">
        <v>1</v>
      </c>
      <c r="AY176" t="b">
        <v>0</v>
      </c>
      <c r="AZ176">
        <v>122</v>
      </c>
      <c r="BA176">
        <f>INDEX(Inp_CER_Bin_2eps3arms!$AN$2:$AN$176,MATCH(Table1[[#This Row],[ModelID]],Inp_CER_Bin_2eps3arms!$A$2:$A$176,0))</f>
        <v>0</v>
      </c>
      <c r="BE176" s="10">
        <f>Table1[[#This Row],[Global.Power]]</f>
        <v>1.2699999999999999E-2</v>
      </c>
      <c r="BF176" s="10">
        <f>Table1[[#This Row],[Conjunctive.Power]]</f>
        <v>0</v>
      </c>
      <c r="BG176" s="10">
        <f>Table1[[#This Row],[Disjunctive.Power]]</f>
        <v>0</v>
      </c>
      <c r="BH176" s="10">
        <f>Table1[[#This Row],[FWER]]</f>
        <v>1.2699999999999999E-2</v>
      </c>
      <c r="BI176" s="10">
        <f>_xlfn.NUMBERVALUE(MID(Table1[[#This Row],[CI_95perc_Global.Power]],2,FIND(",",Table1[[#This Row],[CI_95perc_Global.Power]])-2))</f>
        <v>1.115E-2</v>
      </c>
      <c r="BJ176" s="10">
        <f>_xlfn.NUMBERVALUE(MID(Table1[[#This Row],[CI_95perc_Global.Power]],FIND(",",Table1[[#This Row],[CI_95perc_Global.Power]])+1,LEN(Table1[[#This Row],[CI_95perc_Global.Power]])-FIND(",",Table1[[#This Row],[CI_95perc_Global.Power]])-1))</f>
        <v>1.4250000000000001E-2</v>
      </c>
      <c r="BK176" s="10">
        <f>_xlfn.NUMBERVALUE(MID(Table1[[#This Row],[CI_95perc_Conjunctive.Power]],2,FIND(",",Table1[[#This Row],[CI_95perc_Conjunctive.Power]])-2))</f>
        <v>0</v>
      </c>
      <c r="BL176" s="10">
        <f>_xlfn.NUMBERVALUE(MID(Table1[[#This Row],[CI_95perc_Conjunctive.Power]],FIND(",",Table1[[#This Row],[CI_95perc_Conjunctive.Power]])+1,LEN(Table1[[#This Row],[CI_95perc_Conjunctive.Power]])-FIND(",",Table1[[#This Row],[CI_95perc_Conjunctive.Power]])-1))</f>
        <v>0</v>
      </c>
      <c r="BM176" s="10">
        <f>_xlfn.NUMBERVALUE(MID(Table1[[#This Row],[CI_95perc_Disjunctive.Power]],2,FIND(",",Table1[[#This Row],[CI_95perc_Disjunctive.Power]])-2))</f>
        <v>0</v>
      </c>
      <c r="BN176" s="10">
        <f>_xlfn.NUMBERVALUE(MID(Table1[[#This Row],[CI_95perc_Disjunctive.Power]],FIND(",",Table1[[#This Row],[CI_95perc_Disjunctive.Power]])+1,LEN(Table1[[#This Row],[CI_95perc_Disjunctive.Power]])-FIND(",",Table1[[#This Row],[CI_95perc_Disjunctive.Power]])-1))</f>
        <v>0</v>
      </c>
      <c r="BO176" s="10">
        <f>_xlfn.NUMBERVALUE(MID(Table1[[#This Row],[CI_95perc_FWER]],2,FIND(",",Table1[[#This Row],[CI_95perc_FWER]])-2))</f>
        <v>1.115E-2</v>
      </c>
      <c r="BP176" s="10">
        <f>_xlfn.NUMBERVALUE(MID(Table1[[#This Row],[CI_95perc_FWER]],FIND(",",Table1[[#This Row],[CI_95perc_FWER]])+1,LEN(Table1[[#This Row],[CI_95perc_FWER]])-FIND(",",Table1[[#This Row],[CI_95perc_FWER]])-1))</f>
        <v>1.4250000000000001E-2</v>
      </c>
      <c r="BQ176" s="10" t="str">
        <f>_xlfn.CONCAT("(",TEXT(Table1[[#This Row],[LCL_Disj.Pow%]],"0.00%"), ", ",TEXT(Table1[[#This Row],[UCL_Disj.Pow%]],"0.00%"),")")</f>
        <v>(0.00%, 0.00%)</v>
      </c>
      <c r="BR176" s="10" t="str">
        <f>_xlfn.CONCAT("(",TEXT(Table1[[#This Row],[LCL_Conj.Pow%]],"0.00%"),", ",TEXT(Table1[[#This Row],[UCL_Conj.Pow%]],"0.00%"),")")</f>
        <v>(0.00%, 0.00%)</v>
      </c>
      <c r="BS176" s="10" t="str">
        <f>_xlfn.CONCAT("(",TEXT(Table1[[#This Row],[LCL_FWER%]],"0.00%"),", ",TEXT(Table1[[#This Row],[UCL_FWER%]],"0.00%"),")")</f>
        <v>(1.12%, 1.43%)</v>
      </c>
    </row>
    <row r="177" spans="1:71" x14ac:dyDescent="0.25">
      <c r="A177">
        <v>175</v>
      </c>
      <c r="B177" t="s">
        <v>1065</v>
      </c>
      <c r="C177">
        <v>1971</v>
      </c>
      <c r="D177">
        <v>2.07E-2</v>
      </c>
      <c r="E177">
        <v>0</v>
      </c>
      <c r="F177">
        <v>0</v>
      </c>
      <c r="G177">
        <v>2.07E-2</v>
      </c>
      <c r="H177" t="s">
        <v>1052</v>
      </c>
      <c r="I177" t="s">
        <v>83</v>
      </c>
      <c r="J177" t="s">
        <v>83</v>
      </c>
      <c r="K177" t="s">
        <v>1052</v>
      </c>
      <c r="L177" s="1">
        <v>28386</v>
      </c>
      <c r="M177" t="s">
        <v>1053</v>
      </c>
      <c r="N177">
        <v>8.8288168642255999E-2</v>
      </c>
      <c r="O177" t="s">
        <v>85</v>
      </c>
      <c r="P177" t="s">
        <v>117</v>
      </c>
      <c r="Q177">
        <v>500</v>
      </c>
      <c r="R177">
        <v>2.5000000000000001E-2</v>
      </c>
      <c r="S177" t="s">
        <v>654</v>
      </c>
      <c r="T177" t="s">
        <v>42</v>
      </c>
      <c r="U177" t="s">
        <v>64</v>
      </c>
      <c r="V177" t="s">
        <v>44</v>
      </c>
      <c r="W177">
        <v>5</v>
      </c>
      <c r="X177">
        <v>2</v>
      </c>
      <c r="Y177" t="s">
        <v>650</v>
      </c>
      <c r="Z177" t="s">
        <v>652</v>
      </c>
      <c r="AA177" t="s">
        <v>651</v>
      </c>
      <c r="AB177" t="s">
        <v>653</v>
      </c>
      <c r="AC177" t="s">
        <v>122</v>
      </c>
      <c r="AD177" t="s">
        <v>673</v>
      </c>
      <c r="AE177" t="s">
        <v>124</v>
      </c>
      <c r="AF177" t="s">
        <v>125</v>
      </c>
      <c r="AG177" t="s">
        <v>51</v>
      </c>
      <c r="AH177" t="s">
        <v>126</v>
      </c>
      <c r="AI177" t="s">
        <v>53</v>
      </c>
      <c r="AJ177" t="b">
        <v>1</v>
      </c>
      <c r="AK177" t="b">
        <v>1</v>
      </c>
      <c r="AL177">
        <v>1</v>
      </c>
      <c r="AM177">
        <v>1</v>
      </c>
      <c r="AN177" t="s">
        <v>56</v>
      </c>
      <c r="AO177" t="s">
        <v>60</v>
      </c>
      <c r="AP177">
        <v>1</v>
      </c>
      <c r="AQ177" t="b">
        <v>1</v>
      </c>
      <c r="AR177" t="s">
        <v>23</v>
      </c>
      <c r="AS177">
        <v>20000</v>
      </c>
      <c r="AT177">
        <v>500</v>
      </c>
      <c r="AU177">
        <v>1971</v>
      </c>
      <c r="AV177" t="b">
        <v>0</v>
      </c>
      <c r="AW177" t="b">
        <v>0</v>
      </c>
      <c r="AX177" t="b">
        <v>1</v>
      </c>
      <c r="AY177" t="b">
        <v>0</v>
      </c>
      <c r="AZ177">
        <v>123</v>
      </c>
      <c r="BA177">
        <f>INDEX(Inp_CER_Bin_2eps3arms!$AN$2:$AN$176,MATCH(Table1[[#This Row],[ModelID]],Inp_CER_Bin_2eps3arms!$A$2:$A$176,0))</f>
        <v>0</v>
      </c>
      <c r="BE177" s="10">
        <f>Table1[[#This Row],[Global.Power]]</f>
        <v>2.07E-2</v>
      </c>
      <c r="BF177" s="10">
        <f>Table1[[#This Row],[Conjunctive.Power]]</f>
        <v>0</v>
      </c>
      <c r="BG177" s="10">
        <f>Table1[[#This Row],[Disjunctive.Power]]</f>
        <v>0</v>
      </c>
      <c r="BH177" s="10">
        <f>Table1[[#This Row],[FWER]]</f>
        <v>2.07E-2</v>
      </c>
      <c r="BI177" s="10">
        <f>_xlfn.NUMBERVALUE(MID(Table1[[#This Row],[CI_95perc_Global.Power]],2,FIND(",",Table1[[#This Row],[CI_95perc_Global.Power]])-2))</f>
        <v>1.873E-2</v>
      </c>
      <c r="BJ177" s="10">
        <f>_xlfn.NUMBERVALUE(MID(Table1[[#This Row],[CI_95perc_Global.Power]],FIND(",",Table1[[#This Row],[CI_95perc_Global.Power]])+1,LEN(Table1[[#This Row],[CI_95perc_Global.Power]])-FIND(",",Table1[[#This Row],[CI_95perc_Global.Power]])-1))</f>
        <v>2.2669999999999999E-2</v>
      </c>
      <c r="BK177" s="10">
        <f>_xlfn.NUMBERVALUE(MID(Table1[[#This Row],[CI_95perc_Conjunctive.Power]],2,FIND(",",Table1[[#This Row],[CI_95perc_Conjunctive.Power]])-2))</f>
        <v>0</v>
      </c>
      <c r="BL177" s="10">
        <f>_xlfn.NUMBERVALUE(MID(Table1[[#This Row],[CI_95perc_Conjunctive.Power]],FIND(",",Table1[[#This Row],[CI_95perc_Conjunctive.Power]])+1,LEN(Table1[[#This Row],[CI_95perc_Conjunctive.Power]])-FIND(",",Table1[[#This Row],[CI_95perc_Conjunctive.Power]])-1))</f>
        <v>0</v>
      </c>
      <c r="BM177" s="10">
        <f>_xlfn.NUMBERVALUE(MID(Table1[[#This Row],[CI_95perc_Disjunctive.Power]],2,FIND(",",Table1[[#This Row],[CI_95perc_Disjunctive.Power]])-2))</f>
        <v>0</v>
      </c>
      <c r="BN177" s="10">
        <f>_xlfn.NUMBERVALUE(MID(Table1[[#This Row],[CI_95perc_Disjunctive.Power]],FIND(",",Table1[[#This Row],[CI_95perc_Disjunctive.Power]])+1,LEN(Table1[[#This Row],[CI_95perc_Disjunctive.Power]])-FIND(",",Table1[[#This Row],[CI_95perc_Disjunctive.Power]])-1))</f>
        <v>0</v>
      </c>
      <c r="BO177" s="10">
        <f>_xlfn.NUMBERVALUE(MID(Table1[[#This Row],[CI_95perc_FWER]],2,FIND(",",Table1[[#This Row],[CI_95perc_FWER]])-2))</f>
        <v>1.873E-2</v>
      </c>
      <c r="BP177" s="10">
        <f>_xlfn.NUMBERVALUE(MID(Table1[[#This Row],[CI_95perc_FWER]],FIND(",",Table1[[#This Row],[CI_95perc_FWER]])+1,LEN(Table1[[#This Row],[CI_95perc_FWER]])-FIND(",",Table1[[#This Row],[CI_95perc_FWER]])-1))</f>
        <v>2.2669999999999999E-2</v>
      </c>
      <c r="BQ177" s="10" t="str">
        <f>_xlfn.CONCAT("(",TEXT(Table1[[#This Row],[LCL_Disj.Pow%]],"0.00%"), ", ",TEXT(Table1[[#This Row],[UCL_Disj.Pow%]],"0.00%"),")")</f>
        <v>(0.00%, 0.00%)</v>
      </c>
      <c r="BR177" s="10" t="str">
        <f>_xlfn.CONCAT("(",TEXT(Table1[[#This Row],[LCL_Conj.Pow%]],"0.00%"),", ",TEXT(Table1[[#This Row],[UCL_Conj.Pow%]],"0.00%"),")")</f>
        <v>(0.00%, 0.00%)</v>
      </c>
      <c r="BS177" s="10" t="str">
        <f>_xlfn.CONCAT("(",TEXT(Table1[[#This Row],[LCL_FWER%]],"0.00%"),", ",TEXT(Table1[[#This Row],[UCL_FWER%]],"0.00%"),")")</f>
        <v>(1.87%, 2.27%)</v>
      </c>
    </row>
  </sheetData>
  <phoneticPr fontId="20" type="noConversion"/>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6C4F7-7EF3-4069-BB3E-7D672FF6508E}">
  <dimension ref="B1:CD104"/>
  <sheetViews>
    <sheetView tabSelected="1" topLeftCell="BU1" workbookViewId="0">
      <selection activeCell="BX2" sqref="BX2:CC14"/>
    </sheetView>
  </sheetViews>
  <sheetFormatPr defaultRowHeight="15" x14ac:dyDescent="0.25"/>
  <cols>
    <col min="2" max="2" width="8.28515625" bestFit="1" customWidth="1"/>
    <col min="3" max="3" width="17.28515625" bestFit="1" customWidth="1"/>
    <col min="9" max="9" width="15.85546875" bestFit="1" customWidth="1"/>
    <col min="10" max="10" width="15.85546875" customWidth="1"/>
    <col min="11" max="12" width="15.140625" bestFit="1" customWidth="1"/>
    <col min="13" max="13" width="11.5703125" bestFit="1" customWidth="1"/>
    <col min="14" max="14" width="3.28515625" customWidth="1"/>
    <col min="15" max="15" width="15.140625" bestFit="1" customWidth="1"/>
    <col min="16" max="16" width="6.140625" customWidth="1"/>
    <col min="17" max="18" width="12.28515625" customWidth="1"/>
    <col min="19" max="19" width="13.5703125" customWidth="1"/>
    <col min="20" max="20" width="6.5703125" bestFit="1" customWidth="1"/>
    <col min="21" max="22" width="12.28515625" customWidth="1"/>
    <col min="23" max="23" width="6.5703125" bestFit="1" customWidth="1"/>
    <col min="24" max="25" width="12.28515625" customWidth="1"/>
    <col min="26" max="26" width="6.5703125" bestFit="1" customWidth="1"/>
    <col min="27" max="28" width="12.28515625" customWidth="1"/>
    <col min="29" max="29" width="6.5703125" bestFit="1" customWidth="1"/>
    <col min="30" max="30" width="12.28515625" customWidth="1"/>
    <col min="47" max="47" width="14" bestFit="1" customWidth="1"/>
    <col min="48" max="49" width="11.42578125" customWidth="1"/>
    <col min="50" max="50" width="15.85546875" bestFit="1" customWidth="1"/>
    <col min="51" max="51" width="13.85546875" bestFit="1" customWidth="1"/>
    <col min="52" max="53" width="11.42578125" customWidth="1"/>
    <col min="54" max="54" width="15.85546875" bestFit="1" customWidth="1"/>
    <col min="55" max="55" width="13.85546875" bestFit="1" customWidth="1"/>
    <col min="57" max="57" width="11.28515625" bestFit="1" customWidth="1"/>
    <col min="58" max="58" width="11.28515625" customWidth="1"/>
    <col min="60" max="60" width="13.85546875" bestFit="1" customWidth="1"/>
    <col min="62" max="62" width="13.85546875" bestFit="1" customWidth="1"/>
    <col min="64" max="64" width="13.85546875" bestFit="1" customWidth="1"/>
    <col min="66" max="66" width="13.85546875" bestFit="1" customWidth="1"/>
    <col min="68" max="68" width="8.7109375" bestFit="1" customWidth="1"/>
    <col min="69" max="69" width="35.5703125" bestFit="1" customWidth="1"/>
    <col min="70" max="70" width="37.28515625" bestFit="1" customWidth="1"/>
    <col min="71" max="71" width="30.85546875" bestFit="1" customWidth="1"/>
    <col min="72" max="72" width="43.140625" bestFit="1" customWidth="1"/>
    <col min="73" max="73" width="15.42578125" bestFit="1" customWidth="1"/>
    <col min="74" max="74" width="27.7109375" bestFit="1" customWidth="1"/>
    <col min="76" max="76" width="10.7109375" customWidth="1"/>
    <col min="77" max="77" width="48" bestFit="1" customWidth="1"/>
    <col min="78" max="79" width="14.42578125" customWidth="1"/>
    <col min="80" max="80" width="17.42578125" bestFit="1" customWidth="1"/>
    <col min="81" max="81" width="20.140625" bestFit="1" customWidth="1"/>
  </cols>
  <sheetData>
    <row r="1" spans="2:82" ht="20.25" thickBot="1" x14ac:dyDescent="0.35">
      <c r="O1" s="13" t="s">
        <v>73</v>
      </c>
      <c r="P1" s="13"/>
      <c r="Q1" s="13"/>
      <c r="R1" s="13"/>
      <c r="T1" s="13" t="s">
        <v>644</v>
      </c>
      <c r="U1" s="13"/>
      <c r="V1" s="13"/>
      <c r="W1" s="13"/>
      <c r="X1" s="13"/>
      <c r="Y1" s="13"/>
      <c r="Z1" s="13"/>
      <c r="AA1" s="13"/>
      <c r="AB1" s="13"/>
      <c r="AC1" s="13"/>
      <c r="AD1" s="13"/>
      <c r="AE1" s="13"/>
      <c r="AG1" s="13" t="s">
        <v>645</v>
      </c>
      <c r="AH1" s="13"/>
      <c r="AI1" s="13"/>
      <c r="AJ1" s="13"/>
      <c r="AK1" s="13"/>
      <c r="AL1" s="13"/>
      <c r="AM1" s="13"/>
      <c r="AN1" s="13"/>
      <c r="AO1" s="13"/>
      <c r="AP1" s="13"/>
      <c r="AQ1" s="13"/>
      <c r="AR1" s="13"/>
      <c r="AT1" s="13" t="s">
        <v>821</v>
      </c>
      <c r="AU1" s="13"/>
      <c r="AV1" s="13"/>
      <c r="AW1" s="13"/>
      <c r="AX1" s="13"/>
      <c r="AY1" s="13"/>
      <c r="AZ1" s="13"/>
      <c r="BA1" s="13"/>
      <c r="BB1" s="13"/>
      <c r="BC1" s="13"/>
      <c r="BD1" s="13"/>
      <c r="BE1" s="13"/>
      <c r="BF1" s="13"/>
      <c r="BG1" s="13"/>
      <c r="BX1" s="13" t="s">
        <v>1266</v>
      </c>
      <c r="BY1" s="13"/>
      <c r="BZ1" s="13"/>
      <c r="CA1" s="13"/>
      <c r="CB1" s="13"/>
      <c r="CC1" s="13"/>
      <c r="CD1" s="13"/>
    </row>
    <row r="2" spans="2:82" ht="15.75" thickTop="1" x14ac:dyDescent="0.25">
      <c r="B2" s="4" t="s">
        <v>0</v>
      </c>
      <c r="C2" t="s">
        <v>360</v>
      </c>
      <c r="D2" t="s">
        <v>361</v>
      </c>
      <c r="G2" t="s">
        <v>72</v>
      </c>
      <c r="O2" t="s">
        <v>639</v>
      </c>
      <c r="P2">
        <v>2000</v>
      </c>
      <c r="T2">
        <v>800</v>
      </c>
      <c r="W2">
        <v>800</v>
      </c>
      <c r="Z2">
        <v>800</v>
      </c>
      <c r="AC2">
        <v>800</v>
      </c>
      <c r="AG2">
        <v>800</v>
      </c>
      <c r="AJ2">
        <v>800</v>
      </c>
      <c r="AM2">
        <v>800</v>
      </c>
      <c r="AP2">
        <v>800</v>
      </c>
      <c r="BX2" s="38" t="s">
        <v>0</v>
      </c>
      <c r="BY2" s="38" t="s">
        <v>1</v>
      </c>
      <c r="BZ2" s="38" t="s">
        <v>1262</v>
      </c>
      <c r="CA2" s="38" t="s">
        <v>1263</v>
      </c>
      <c r="CB2" s="39" t="s">
        <v>1265</v>
      </c>
      <c r="CC2" s="39" t="s">
        <v>1264</v>
      </c>
    </row>
    <row r="3" spans="2:82" x14ac:dyDescent="0.25">
      <c r="G3" t="s">
        <v>41</v>
      </c>
      <c r="H3" t="s">
        <v>117</v>
      </c>
      <c r="I3" t="s">
        <v>623</v>
      </c>
      <c r="J3" t="s">
        <v>634</v>
      </c>
      <c r="K3" t="s">
        <v>624</v>
      </c>
      <c r="L3" t="s">
        <v>625</v>
      </c>
      <c r="M3" t="s">
        <v>633</v>
      </c>
      <c r="P3" t="s">
        <v>628</v>
      </c>
      <c r="T3" t="s">
        <v>629</v>
      </c>
      <c r="W3" t="s">
        <v>630</v>
      </c>
      <c r="Z3" t="s">
        <v>631</v>
      </c>
      <c r="AC3" t="s">
        <v>632</v>
      </c>
      <c r="AG3" t="s">
        <v>629</v>
      </c>
      <c r="AJ3" t="s">
        <v>630</v>
      </c>
      <c r="AM3" t="s">
        <v>631</v>
      </c>
      <c r="AP3" t="s">
        <v>632</v>
      </c>
      <c r="AT3" s="26" t="s">
        <v>1</v>
      </c>
      <c r="AU3" s="26" t="s">
        <v>822</v>
      </c>
      <c r="AV3" s="26" t="s">
        <v>825</v>
      </c>
      <c r="AW3" s="26"/>
      <c r="AX3" s="26" t="s">
        <v>826</v>
      </c>
      <c r="AY3" s="26"/>
      <c r="AZ3" s="26" t="s">
        <v>827</v>
      </c>
      <c r="BA3" s="26"/>
      <c r="BB3" s="26" t="s">
        <v>828</v>
      </c>
      <c r="BC3" s="26"/>
      <c r="BE3" s="26" t="s">
        <v>896</v>
      </c>
      <c r="BF3" s="26" t="s">
        <v>898</v>
      </c>
      <c r="BG3" s="26" t="s">
        <v>619</v>
      </c>
      <c r="BH3" s="26"/>
      <c r="BI3" s="26" t="s">
        <v>622</v>
      </c>
      <c r="BJ3" s="26"/>
      <c r="BK3" s="26" t="s">
        <v>621</v>
      </c>
      <c r="BL3" s="26"/>
      <c r="BM3" s="26" t="s">
        <v>829</v>
      </c>
      <c r="BN3" s="26"/>
      <c r="BP3" s="14" t="s">
        <v>1</v>
      </c>
      <c r="BQ3" s="14" t="s">
        <v>11</v>
      </c>
      <c r="BR3" s="14" t="s">
        <v>12</v>
      </c>
      <c r="BS3" s="14" t="s">
        <v>13</v>
      </c>
      <c r="BT3" s="14" t="s">
        <v>14</v>
      </c>
      <c r="BU3" s="14" t="s">
        <v>15</v>
      </c>
      <c r="BV3" s="14" t="s">
        <v>16</v>
      </c>
      <c r="BX3" s="27">
        <v>108</v>
      </c>
      <c r="BY3" s="27" t="s">
        <v>659</v>
      </c>
      <c r="BZ3" s="27">
        <v>100000</v>
      </c>
      <c r="CA3" s="27">
        <v>100</v>
      </c>
      <c r="CB3" s="36">
        <v>2.53E-2</v>
      </c>
      <c r="CC3" s="37">
        <f>Table2[[#This Row],[FWER5]]</f>
        <v>2.4836945108353301E-2</v>
      </c>
    </row>
    <row r="4" spans="2:82" x14ac:dyDescent="0.25">
      <c r="G4" cm="1">
        <f t="array" ref="G4:G104">_xlfn._xlws.FILTER(Table1[Disjunctive.Power],(Table1[ModelID]&gt;=18)*(Table1[Method]=Analysis!G$3))</f>
        <v>0</v>
      </c>
      <c r="H4" cm="1">
        <f t="array" ref="H4:H60">_xlfn._xlws.FILTER(Table1[Disjunctive.Power],(Table1[ModelID]&gt;=18)*(Table1[Method]=Analysis!H$3))</f>
        <v>0</v>
      </c>
      <c r="I4" t="b">
        <f>G4&gt;=H4</f>
        <v>1</v>
      </c>
      <c r="J4" s="10">
        <f>G4-H4</f>
        <v>0</v>
      </c>
      <c r="K4" t="str" cm="1">
        <f t="array" ref="K4:K104">_xlfn._xlws.FILTER(Table1[Treat.Sel.Rule],(Table1[ModelID]&gt;=18)*(Table1[Method]=G$3))</f>
        <v>No drop</v>
      </c>
      <c r="L4" t="str" cm="1">
        <f t="array" ref="L4:L60">_xlfn._xlws.FILTER(Table1[Treat.Sel.Rule],(Table1[ModelID]&gt;=18)*(Table1[Method]=H$3))</f>
        <v>No drop</v>
      </c>
      <c r="M4" t="str" cm="1">
        <f t="array" ref="M4:M104">_xlfn._xlws.FILTER(Table1[Alt.Scen],(Table1[ModelID]&gt;=18)*(Table1[Method]=G$3))</f>
        <v>S0</v>
      </c>
      <c r="P4" t="s">
        <v>41</v>
      </c>
      <c r="Q4" t="s">
        <v>117</v>
      </c>
      <c r="R4" s="11" t="s">
        <v>640</v>
      </c>
      <c r="T4" t="s">
        <v>41</v>
      </c>
      <c r="U4" t="s">
        <v>117</v>
      </c>
      <c r="V4" s="11" t="s">
        <v>640</v>
      </c>
      <c r="W4" t="s">
        <v>41</v>
      </c>
      <c r="X4" t="s">
        <v>117</v>
      </c>
      <c r="Y4" s="11" t="s">
        <v>640</v>
      </c>
      <c r="Z4" t="s">
        <v>41</v>
      </c>
      <c r="AA4" t="s">
        <v>117</v>
      </c>
      <c r="AB4" s="11" t="s">
        <v>640</v>
      </c>
      <c r="AC4" t="s">
        <v>41</v>
      </c>
      <c r="AD4" t="s">
        <v>117</v>
      </c>
      <c r="AE4" s="11" t="s">
        <v>640</v>
      </c>
      <c r="AG4" t="s">
        <v>41</v>
      </c>
      <c r="AH4" t="s">
        <v>117</v>
      </c>
      <c r="AI4" s="11" t="s">
        <v>640</v>
      </c>
      <c r="AJ4" t="s">
        <v>41</v>
      </c>
      <c r="AK4" t="s">
        <v>117</v>
      </c>
      <c r="AL4" s="11" t="s">
        <v>640</v>
      </c>
      <c r="AM4" t="s">
        <v>41</v>
      </c>
      <c r="AN4" t="s">
        <v>117</v>
      </c>
      <c r="AO4" s="11" t="s">
        <v>640</v>
      </c>
      <c r="AP4" t="s">
        <v>41</v>
      </c>
      <c r="AQ4" t="s">
        <v>117</v>
      </c>
      <c r="AR4" s="11" t="s">
        <v>640</v>
      </c>
      <c r="AT4" s="26"/>
      <c r="AU4" s="26"/>
      <c r="AV4" s="14" t="s">
        <v>823</v>
      </c>
      <c r="AW4" s="14" t="s">
        <v>824</v>
      </c>
      <c r="AX4" s="14" t="s">
        <v>823</v>
      </c>
      <c r="AY4" s="14" t="s">
        <v>824</v>
      </c>
      <c r="AZ4" s="14" t="s">
        <v>823</v>
      </c>
      <c r="BA4" s="14" t="s">
        <v>824</v>
      </c>
      <c r="BB4" s="14" t="s">
        <v>823</v>
      </c>
      <c r="BC4" s="14" t="s">
        <v>824</v>
      </c>
      <c r="BE4" s="26"/>
      <c r="BF4" s="26"/>
      <c r="BG4" s="14" t="s">
        <v>73</v>
      </c>
      <c r="BH4" s="14" t="s">
        <v>897</v>
      </c>
      <c r="BI4" s="14" t="s">
        <v>73</v>
      </c>
      <c r="BJ4" s="14" t="s">
        <v>897</v>
      </c>
      <c r="BK4" s="14" t="s">
        <v>73</v>
      </c>
      <c r="BL4" s="14" t="s">
        <v>897</v>
      </c>
      <c r="BM4" s="14" t="s">
        <v>73</v>
      </c>
      <c r="BN4" s="14" t="s">
        <v>897</v>
      </c>
      <c r="BP4" s="15" t="s">
        <v>629</v>
      </c>
      <c r="BQ4" s="15" t="s">
        <v>650</v>
      </c>
      <c r="BR4" s="15" t="s">
        <v>710</v>
      </c>
      <c r="BS4" s="15" t="s">
        <v>651</v>
      </c>
      <c r="BT4" s="15" t="s">
        <v>711</v>
      </c>
      <c r="BU4" s="15" t="s">
        <v>122</v>
      </c>
      <c r="BV4" s="15" t="s">
        <v>123</v>
      </c>
      <c r="BX4" s="27">
        <v>109</v>
      </c>
      <c r="BY4" s="27" t="s">
        <v>660</v>
      </c>
      <c r="BZ4" s="27">
        <v>100000</v>
      </c>
      <c r="CA4" s="27">
        <v>100</v>
      </c>
      <c r="CB4" s="36">
        <v>2.4799999999999999E-2</v>
      </c>
      <c r="CC4" s="37">
        <f>Table2[[#This Row],[FWER5]]</f>
        <v>2.49190967638706E-2</v>
      </c>
    </row>
    <row r="5" spans="2:82" x14ac:dyDescent="0.25">
      <c r="G5">
        <v>0</v>
      </c>
      <c r="H5">
        <v>0</v>
      </c>
      <c r="I5" t="b">
        <f t="shared" ref="I5:I48" si="0">G5&gt;=H5</f>
        <v>1</v>
      </c>
      <c r="J5" s="10">
        <f t="shared" ref="J5:J48" si="1">G5-H5</f>
        <v>0</v>
      </c>
      <c r="K5" t="str">
        <v>Conservative</v>
      </c>
      <c r="L5" t="str">
        <v>Conservative</v>
      </c>
      <c r="M5" t="str">
        <v>S0</v>
      </c>
      <c r="O5" t="s">
        <v>618</v>
      </c>
      <c r="P5" s="10" cm="1">
        <f t="array" ref="P5">INDEX(Table1[FWER],MATCH(1,(Table1[Alt.Scen]=Analysis!$P$3)*(Table1[ModelID]&gt;=18)*(Table1[Treat.Sel.Rule]=Analysis!$O5)*(Table1[Method]=Analysis!P$4)*(Table1[SampleSize]=Analysis!$P$2),0))</f>
        <v>2.2661500000000001E-2</v>
      </c>
      <c r="Q5" s="10" cm="1">
        <f t="array" ref="Q5">INDEX(Table1[FWER],MATCH(1,(Table1[Alt.Scen]=Analysis!$P$3)*(Table1[ModelID]&gt;=18)*(Table1[Treat.Sel.Rule]=Analysis!$O5)*(Table1[Method]=Analysis!Q$4)*(Table1[SampleSize]=Analysis!$P$2),0))</f>
        <v>9.1000000000000004E-3</v>
      </c>
      <c r="R5" s="12">
        <f>P5-Q5</f>
        <v>1.3561500000000001E-2</v>
      </c>
      <c r="T5" s="9" cm="1">
        <f t="array" ref="T5">INDEX(Table1[Disjunctive.Power],MATCH(1,(Table1[Alt.Scen]=T3)*(Table1[ModelID]&gt;=18)*(Table1[Treat.Sel.Rule]=Analysis!$O5)*(Table1[Method]=Analysis!T$4)*(Table1[SampleSize]=Analysis!T2),0))</f>
        <v>0.6734521</v>
      </c>
      <c r="U5" s="9" cm="1">
        <f t="array" ref="U5">INDEX(Table1[Disjunctive.Power],MATCH(1,(Table1[Alt.Scen]=T3)*(Table1[ModelID]&gt;=18)*(Table1[Treat.Sel.Rule]=Analysis!$O5)*(Table1[Method]=Analysis!U$4)*(Table1[SampleSize]=Analysis!T2),0))</f>
        <v>0.53610000000000002</v>
      </c>
      <c r="V5" s="12">
        <f>T5-U5</f>
        <v>0.13735209999999998</v>
      </c>
      <c r="W5" s="9" cm="1">
        <f t="array" ref="W5">INDEX(Table1[Disjunctive.Power],MATCH(1,(Table1[Alt.Scen]=W3)*(Table1[ModelID]&gt;=18)*(Table1[Treat.Sel.Rule]=Analysis!$O5)*(Table1[Method]=Analysis!W$4)*(Table1[SampleSize]=Analysis!W2),0))</f>
        <v>0.82602089999999995</v>
      </c>
      <c r="X5" s="9" cm="1">
        <f t="array" ref="X5">INDEX(Table1[Disjunctive.Power],MATCH(1,(Table1[Alt.Scen]=W3)*(Table1[ModelID]&gt;=18)*(Table1[Treat.Sel.Rule]=Analysis!$O5)*(Table1[Method]=Analysis!X$4)*(Table1[SampleSize]=Analysis!W2),0))</f>
        <v>0.72585</v>
      </c>
      <c r="Y5" s="12">
        <f>W5-X5</f>
        <v>0.10017089999999995</v>
      </c>
      <c r="Z5" s="9" cm="1">
        <f t="array" ref="Z5">INDEX(Table1[Disjunctive.Power],MATCH(1,(Table1[Alt.Scen]=Z3)*(Table1[ModelID]&gt;=18)*(Table1[Treat.Sel.Rule]=Analysis!$O5)*(Table1[Method]=Analysis!Z$4)*(Table1[SampleSize]=Analysis!Z2),0))</f>
        <v>0.88735560000000002</v>
      </c>
      <c r="AA5" s="9" cm="1">
        <f t="array" ref="AA5">INDEX(Table1[Disjunctive.Power],MATCH(1,(Table1[Alt.Scen]=Z3)*(Table1[ModelID]&gt;=18)*(Table1[Treat.Sel.Rule]=Analysis!$O5)*(Table1[Method]=Analysis!AA$4)*(Table1[SampleSize]=Analysis!Z2),0))</f>
        <v>0.8216</v>
      </c>
      <c r="AB5" s="12">
        <f>Z5-AA5</f>
        <v>6.5755600000000025E-2</v>
      </c>
      <c r="AC5" s="9" cm="1">
        <f t="array" ref="AC5">INDEX(Table1[Disjunctive.Power],MATCH(1,(Table1[Alt.Scen]=AC3)*(Table1[ModelID]&gt;=18)*(Table1[Treat.Sel.Rule]=Analysis!$O5)*(Table1[Method]=Analysis!AC$4)*(Table1[SampleSize]=Analysis!AC2),0))</f>
        <v>0.91933719999999997</v>
      </c>
      <c r="AD5" s="9" cm="1">
        <f t="array" ref="AD5">INDEX(Table1[Disjunctive.Power],MATCH(1,(Table1[Alt.Scen]=AC3)*(Table1[ModelID]&gt;=18)*(Table1[Treat.Sel.Rule]=Analysis!$O5)*(Table1[Method]=Analysis!AD$4)*(Table1[SampleSize]=Analysis!AC2),0))</f>
        <v>0.88034999999999997</v>
      </c>
      <c r="AE5" s="12">
        <f>AC5-AD5</f>
        <v>3.89872E-2</v>
      </c>
      <c r="AG5" s="9" cm="1">
        <f t="array" ref="AG5">INDEX(Table1[Conjunctive.Power],MATCH(1,(Table1[Alt.Scen]=AG3)*(Table1[ModelID]&gt;=18)*(Table1[Treat.Sel.Rule]=Analysis!$O5)*(Table1[Method]=Analysis!AG$4)*(Table1[SampleSize]=Analysis!AG2),0))</f>
        <v>0.46406910000000001</v>
      </c>
      <c r="AH5" s="9" cm="1">
        <f t="array" ref="AH5">INDEX(Table1[Conjunctive.Power],MATCH(1,(Table1[Alt.Scen]=AG3)*(Table1[ModelID]&gt;=18)*(Table1[Treat.Sel.Rule]=Analysis!$O5)*(Table1[Method]=Analysis!AH$4)*(Table1[SampleSize]=Analysis!AG2),0))</f>
        <v>0.27400000000000002</v>
      </c>
      <c r="AI5" s="12">
        <f>AG5-AH5</f>
        <v>0.19006909999999999</v>
      </c>
      <c r="AJ5" s="9" cm="1">
        <f t="array" ref="AJ5">INDEX(Table1[Conjunctive.Power],MATCH(1,(Table1[Alt.Scen]=AJ3)*(Table1[ModelID]&gt;=18)*(Table1[Treat.Sel.Rule]=Analysis!$O5)*(Table1[Method]=Analysis!AJ$4)*(Table1[SampleSize]=Analysis!AJ2),0))</f>
        <v>0.33129380000000003</v>
      </c>
      <c r="AK5" s="9" cm="1">
        <f t="array" ref="AK5">INDEX(Table1[Conjunctive.Power],MATCH(1,(Table1[Alt.Scen]=AJ3)*(Table1[ModelID]&gt;=18)*(Table1[Treat.Sel.Rule]=Analysis!$O5)*(Table1[Method]=Analysis!AK$4)*(Table1[SampleSize]=Analysis!AJ2),0))</f>
        <v>0.18909999999999999</v>
      </c>
      <c r="AL5" s="12">
        <f>AJ5-AK5</f>
        <v>0.14219380000000004</v>
      </c>
      <c r="AM5" s="9" cm="1">
        <f t="array" ref="AM5">INDEX(Table1[Conjunctive.Power],MATCH(1,(Table1[Alt.Scen]=AM3)*(Table1[ModelID]&gt;=18)*(Table1[Treat.Sel.Rule]=Analysis!$O5)*(Table1[Method]=Analysis!AM$4)*(Table1[SampleSize]=Analysis!AM2),0))</f>
        <v>0.30583840000000001</v>
      </c>
      <c r="AN5" s="9" cm="1">
        <f t="array" ref="AN5">INDEX(Table1[Conjunctive.Power],MATCH(1,(Table1[Alt.Scen]=AM3)*(Table1[ModelID]&gt;=18)*(Table1[Treat.Sel.Rule]=Analysis!$O5)*(Table1[Method]=Analysis!AN$4)*(Table1[SampleSize]=Analysis!AM2),0))</f>
        <v>0.20945</v>
      </c>
      <c r="AO5" s="12">
        <f>AM5-AN5</f>
        <v>9.6388400000000013E-2</v>
      </c>
      <c r="AP5" s="9" cm="1">
        <f t="array" ref="AP5">INDEX(Table1[Conjunctive.Power],MATCH(1,(Table1[Alt.Scen]=AP3)*(Table1[ModelID]&gt;=18)*(Table1[Treat.Sel.Rule]=Analysis!$O5)*(Table1[Method]=Analysis!AP$4)*(Table1[SampleSize]=Analysis!AP2),0))</f>
        <v>0.3700039</v>
      </c>
      <c r="AQ5" s="9" cm="1">
        <f t="array" ref="AQ5">INDEX(Table1[Conjunctive.Power],MATCH(1,(Table1[Alt.Scen]=AP3)*(Table1[ModelID]&gt;=18)*(Table1[Treat.Sel.Rule]=Analysis!$O5)*(Table1[Method]=Analysis!AQ$4)*(Table1[SampleSize]=Analysis!AP2),0))</f>
        <v>0.35580000000000001</v>
      </c>
      <c r="AR5" s="12">
        <f>AP5-AQ5</f>
        <v>1.4203899999999992E-2</v>
      </c>
      <c r="AT5" s="15" t="s">
        <v>629</v>
      </c>
      <c r="AU5" s="15" t="s">
        <v>619</v>
      </c>
      <c r="AV5" s="16">
        <v>0.69408360000000002</v>
      </c>
      <c r="AW5" s="16">
        <v>0.70399999999999996</v>
      </c>
      <c r="AX5" s="16" t="s">
        <v>833</v>
      </c>
      <c r="AY5" s="17" t="s">
        <v>865</v>
      </c>
      <c r="AZ5" s="16">
        <v>0.49122100000000002</v>
      </c>
      <c r="BA5" s="16">
        <v>0.503</v>
      </c>
      <c r="BB5" s="16" t="s">
        <v>849</v>
      </c>
      <c r="BC5" s="16" t="s">
        <v>866</v>
      </c>
      <c r="BE5" s="15">
        <v>0</v>
      </c>
      <c r="BF5" s="15" t="s">
        <v>823</v>
      </c>
      <c r="BG5" s="18">
        <v>2.18748937446872E-2</v>
      </c>
      <c r="BH5" s="18" t="s">
        <v>911</v>
      </c>
      <c r="BI5" s="18">
        <v>2.1733599999999999E-2</v>
      </c>
      <c r="BJ5" s="18" t="s">
        <v>912</v>
      </c>
      <c r="BK5" s="18">
        <v>2.1485299999999999E-2</v>
      </c>
      <c r="BL5" s="18" t="s">
        <v>913</v>
      </c>
      <c r="BM5" s="18">
        <v>2.02413E-2</v>
      </c>
      <c r="BN5" s="18" t="s">
        <v>914</v>
      </c>
      <c r="BP5" s="15" t="s">
        <v>630</v>
      </c>
      <c r="BQ5" s="15" t="s">
        <v>650</v>
      </c>
      <c r="BR5" s="15" t="s">
        <v>724</v>
      </c>
      <c r="BS5" s="15" t="s">
        <v>651</v>
      </c>
      <c r="BT5" s="15" t="s">
        <v>727</v>
      </c>
      <c r="BU5" s="15" t="s">
        <v>122</v>
      </c>
      <c r="BV5" s="15" t="s">
        <v>123</v>
      </c>
      <c r="BX5" s="27">
        <v>110</v>
      </c>
      <c r="BY5" s="27" t="s">
        <v>661</v>
      </c>
      <c r="BZ5" s="27">
        <v>100000</v>
      </c>
      <c r="CA5" s="27">
        <v>100</v>
      </c>
      <c r="CB5" s="36">
        <v>2.3400000000000001E-2</v>
      </c>
      <c r="CC5" s="37">
        <f>Table2[[#This Row],[FWER5]]</f>
        <v>2.4125623768713099E-2</v>
      </c>
    </row>
    <row r="6" spans="2:82" x14ac:dyDescent="0.25">
      <c r="G6">
        <v>0</v>
      </c>
      <c r="H6">
        <v>0</v>
      </c>
      <c r="I6" t="b">
        <f t="shared" si="0"/>
        <v>1</v>
      </c>
      <c r="J6" s="10">
        <f t="shared" si="1"/>
        <v>0</v>
      </c>
      <c r="K6" t="str">
        <v>Normal</v>
      </c>
      <c r="L6" t="str">
        <v>Normal</v>
      </c>
      <c r="M6" t="str">
        <v>S0</v>
      </c>
      <c r="O6" t="s">
        <v>619</v>
      </c>
      <c r="P6" s="10" cm="1">
        <f t="array" ref="P6">INDEX(Table1[FWER],MATCH(1,(Table1[Alt.Scen]=Analysis!$P$3)*(Table1[ModelID]&gt;=18)*(Table1[Treat.Sel.Rule]=Analysis!$O6)*(Table1[Method]=Analysis!P$4)*(Table1[SampleSize]=Analysis!$P$2),0))</f>
        <v>2.2772799999999999E-2</v>
      </c>
      <c r="Q6" s="10" cm="1">
        <f t="array" ref="Q6">INDEX(Table1[FWER],MATCH(1,(Table1[Alt.Scen]=Analysis!$P$3)*(Table1[ModelID]&gt;=18)*(Table1[Treat.Sel.Rule]=Analysis!$O6)*(Table1[Method]=Analysis!Q$4)*(Table1[SampleSize]=Analysis!$P$2),0))</f>
        <v>8.8000000000000005E-3</v>
      </c>
      <c r="R6" s="12">
        <f t="shared" ref="R6:R9" si="2">P6-Q6</f>
        <v>1.3972799999999999E-2</v>
      </c>
      <c r="T6" s="9" cm="1">
        <f t="array" ref="T6">INDEX(Table1[Disjunctive.Power],MATCH(1,(Table1[Alt.Scen]=T3)*(Table1[ModelID]&gt;=18)*(Table1[Treat.Sel.Rule]=Analysis!$O6)*(Table1[Method]=Analysis!T$4)*(Table1[SampleSize]=Analysis!T2),0))</f>
        <v>0.7436952</v>
      </c>
      <c r="U6" s="9" cm="1">
        <f t="array" ref="U6">INDEX(Table1[Disjunctive.Power],MATCH(1,(Table1[Alt.Scen]=T3)*(Table1[ModelID]&gt;=18)*(Table1[Treat.Sel.Rule]=Analysis!$O6)*(Table1[Method]=Analysis!U$4)*(Table1[SampleSize]=Analysis!T2),0))</f>
        <v>0.62485000000000002</v>
      </c>
      <c r="V6" s="12">
        <f t="shared" ref="V6:V9" si="3">T6-U6</f>
        <v>0.11884519999999998</v>
      </c>
      <c r="W6" s="9" cm="1">
        <f t="array" ref="W6">INDEX(Table1[Disjunctive.Power],MATCH(1,(Table1[Alt.Scen]=W3)*(Table1[ModelID]&gt;=18)*(Table1[Treat.Sel.Rule]=Analysis!$O6)*(Table1[Method]=Analysis!W$4)*(Table1[SampleSize]=Analysis!W2),0))</f>
        <v>0.86526049999999999</v>
      </c>
      <c r="X6" s="9" cm="1">
        <f t="array" ref="X6">INDEX(Table1[Disjunctive.Power],MATCH(1,(Table1[Alt.Scen]=W3)*(Table1[ModelID]&gt;=18)*(Table1[Treat.Sel.Rule]=Analysis!$O6)*(Table1[Method]=Analysis!X$4)*(Table1[SampleSize]=Analysis!W2),0))</f>
        <v>0.78605000000000003</v>
      </c>
      <c r="Y6" s="12">
        <f t="shared" ref="Y6:Y9" si="4">W6-X6</f>
        <v>7.9210499999999961E-2</v>
      </c>
      <c r="Z6" s="9" cm="1">
        <f t="array" ref="Z6">INDEX(Table1[Disjunctive.Power],MATCH(1,(Table1[Alt.Scen]=Z3)*(Table1[ModelID]&gt;=18)*(Table1[Treat.Sel.Rule]=Analysis!$O6)*(Table1[Method]=Analysis!Z$4)*(Table1[SampleSize]=Analysis!Z2),0))</f>
        <v>0.90393679999999998</v>
      </c>
      <c r="AA6" s="9" cm="1">
        <f t="array" ref="AA6">INDEX(Table1[Disjunctive.Power],MATCH(1,(Table1[Alt.Scen]=Z3)*(Table1[ModelID]&gt;=18)*(Table1[Treat.Sel.Rule]=Analysis!$O6)*(Table1[Method]=Analysis!AA$4)*(Table1[SampleSize]=Analysis!Z2),0))</f>
        <v>0.84945000000000004</v>
      </c>
      <c r="AB6" s="12">
        <f t="shared" ref="AB6:AB9" si="5">Z6-AA6</f>
        <v>5.4486799999999946E-2</v>
      </c>
      <c r="AC6" s="9" cm="1">
        <f t="array" ref="AC6">INDEX(Table1[Disjunctive.Power],MATCH(1,(Table1[Alt.Scen]=AC3)*(Table1[ModelID]&gt;=18)*(Table1[Treat.Sel.Rule]=Analysis!$O6)*(Table1[Method]=Analysis!AC$4)*(Table1[SampleSize]=Analysis!AC2),0))</f>
        <v>0.91982929999999996</v>
      </c>
      <c r="AD6" s="9" cm="1">
        <f t="array" ref="AD6">INDEX(Table1[Disjunctive.Power],MATCH(1,(Table1[Alt.Scen]=AC3)*(Table1[ModelID]&gt;=18)*(Table1[Treat.Sel.Rule]=Analysis!$O6)*(Table1[Method]=Analysis!AD$4)*(Table1[SampleSize]=Analysis!AC2),0))</f>
        <v>0.88160000000000005</v>
      </c>
      <c r="AE6" s="12">
        <f t="shared" ref="AE6:AE9" si="6">AC6-AD6</f>
        <v>3.8229299999999911E-2</v>
      </c>
      <c r="AG6" s="9" cm="1">
        <f t="array" ref="AG6">INDEX(Table1[Conjunctive.Power],MATCH(1,(Table1[Alt.Scen]=AG3)*(Table1[ModelID]&gt;=18)*(Table1[Treat.Sel.Rule]=Analysis!$O6)*(Table1[Method]=Analysis!AG$4)*(Table1[SampleSize]=Analysis!AG2),0))</f>
        <v>0.54355109999999995</v>
      </c>
      <c r="AH6" s="9" cm="1">
        <f t="array" ref="AH6">INDEX(Table1[Conjunctive.Power],MATCH(1,(Table1[Alt.Scen]=AG3)*(Table1[ModelID]&gt;=18)*(Table1[Treat.Sel.Rule]=Analysis!$O6)*(Table1[Method]=Analysis!AH$4)*(Table1[SampleSize]=Analysis!AG2),0))</f>
        <v>0.35630000000000001</v>
      </c>
      <c r="AI6" s="12">
        <f t="shared" ref="AI6:AI9" si="7">AG6-AH6</f>
        <v>0.18725109999999995</v>
      </c>
      <c r="AJ6" s="9" cm="1">
        <f t="array" ref="AJ6">INDEX(Table1[Conjunctive.Power],MATCH(1,(Table1[Alt.Scen]=AJ3)*(Table1[ModelID]&gt;=18)*(Table1[Treat.Sel.Rule]=Analysis!$O6)*(Table1[Method]=Analysis!AJ$4)*(Table1[SampleSize]=Analysis!AJ2),0))</f>
        <v>0.37581120000000001</v>
      </c>
      <c r="AK6" s="9" cm="1">
        <f t="array" ref="AK6">INDEX(Table1[Conjunctive.Power],MATCH(1,(Table1[Alt.Scen]=AJ3)*(Table1[ModelID]&gt;=18)*(Table1[Treat.Sel.Rule]=Analysis!$O6)*(Table1[Method]=Analysis!AK$4)*(Table1[SampleSize]=Analysis!AJ2),0))</f>
        <v>0.23505000000000001</v>
      </c>
      <c r="AL6" s="12">
        <f t="shared" ref="AL6:AL9" si="8">AJ6-AK6</f>
        <v>0.1407612</v>
      </c>
      <c r="AM6" s="9" cm="1">
        <f t="array" ref="AM6">INDEX(Table1[Conjunctive.Power],MATCH(1,(Table1[Alt.Scen]=AM3)*(Table1[ModelID]&gt;=18)*(Table1[Treat.Sel.Rule]=Analysis!$O6)*(Table1[Method]=Analysis!AM$4)*(Table1[SampleSize]=Analysis!AM2),0))</f>
        <v>0.32448280000000002</v>
      </c>
      <c r="AN6" s="9" cm="1">
        <f t="array" ref="AN6">INDEX(Table1[Conjunctive.Power],MATCH(1,(Table1[Alt.Scen]=AM3)*(Table1[ModelID]&gt;=18)*(Table1[Treat.Sel.Rule]=Analysis!$O6)*(Table1[Method]=Analysis!AN$4)*(Table1[SampleSize]=Analysis!AM2),0))</f>
        <v>0.24199999999999999</v>
      </c>
      <c r="AO6" s="12">
        <f t="shared" ref="AO6:AO9" si="9">AM6-AN6</f>
        <v>8.2482800000000023E-2</v>
      </c>
      <c r="AP6" s="9" cm="1">
        <f t="array" ref="AP6">INDEX(Table1[Conjunctive.Power],MATCH(1,(Table1[Alt.Scen]=AP3)*(Table1[ModelID]&gt;=18)*(Table1[Treat.Sel.Rule]=Analysis!$O6)*(Table1[Method]=Analysis!AP$4)*(Table1[SampleSize]=Analysis!AP2),0))</f>
        <v>0.37047409999999997</v>
      </c>
      <c r="AQ6" s="9" cm="1">
        <f t="array" ref="AQ6">INDEX(Table1[Conjunctive.Power],MATCH(1,(Table1[Alt.Scen]=AP3)*(Table1[ModelID]&gt;=18)*(Table1[Treat.Sel.Rule]=Analysis!$O6)*(Table1[Method]=Analysis!AQ$4)*(Table1[SampleSize]=Analysis!AP2),0))</f>
        <v>0.35575000000000001</v>
      </c>
      <c r="AR6" s="12">
        <f t="shared" ref="AR6:AR9" si="10">AP6-AQ6</f>
        <v>1.4724099999999962E-2</v>
      </c>
      <c r="AT6" s="15" t="s">
        <v>629</v>
      </c>
      <c r="AU6" s="15" t="s">
        <v>622</v>
      </c>
      <c r="AV6" s="16">
        <v>0.76021890000000003</v>
      </c>
      <c r="AW6" s="16">
        <v>0.77</v>
      </c>
      <c r="AX6" s="16" t="s">
        <v>834</v>
      </c>
      <c r="AY6" s="17" t="s">
        <v>867</v>
      </c>
      <c r="AZ6" s="16">
        <v>0.57732919999999999</v>
      </c>
      <c r="BA6" s="16">
        <v>0.59</v>
      </c>
      <c r="BB6" s="16" t="s">
        <v>850</v>
      </c>
      <c r="BC6" s="16" t="s">
        <v>868</v>
      </c>
      <c r="BE6" s="15">
        <v>0</v>
      </c>
      <c r="BF6" s="15" t="s">
        <v>899</v>
      </c>
      <c r="BG6" s="18">
        <v>2.53E-2</v>
      </c>
      <c r="BH6" s="18" t="s">
        <v>900</v>
      </c>
      <c r="BI6" s="18">
        <v>2.4799999999999999E-2</v>
      </c>
      <c r="BJ6" s="18" t="s">
        <v>901</v>
      </c>
      <c r="BK6" s="18">
        <v>2.3400000000000001E-2</v>
      </c>
      <c r="BL6" s="18" t="s">
        <v>902</v>
      </c>
      <c r="BM6" s="18">
        <v>2.1899999999999999E-2</v>
      </c>
      <c r="BN6" s="18" t="s">
        <v>903</v>
      </c>
      <c r="BP6" s="15" t="s">
        <v>631</v>
      </c>
      <c r="BQ6" s="15" t="s">
        <v>650</v>
      </c>
      <c r="BR6" s="15" t="s">
        <v>725</v>
      </c>
      <c r="BS6" s="15" t="s">
        <v>651</v>
      </c>
      <c r="BT6" s="15" t="s">
        <v>728</v>
      </c>
      <c r="BU6" s="15" t="s">
        <v>122</v>
      </c>
      <c r="BV6" s="15" t="s">
        <v>123</v>
      </c>
      <c r="BX6" s="27">
        <v>111</v>
      </c>
      <c r="BY6" s="27" t="s">
        <v>662</v>
      </c>
      <c r="BZ6" s="27">
        <v>100000</v>
      </c>
      <c r="CA6" s="27">
        <v>100</v>
      </c>
      <c r="CB6" s="36">
        <v>2.1899999999999999E-2</v>
      </c>
      <c r="CC6" s="37">
        <f>Table2[[#This Row],[FWER5]]</f>
        <v>2.2007560604848399E-2</v>
      </c>
    </row>
    <row r="7" spans="2:82" x14ac:dyDescent="0.25">
      <c r="G7">
        <v>0</v>
      </c>
      <c r="H7">
        <v>0</v>
      </c>
      <c r="I7" t="b">
        <f t="shared" si="0"/>
        <v>1</v>
      </c>
      <c r="J7" s="10">
        <f t="shared" si="1"/>
        <v>0</v>
      </c>
      <c r="K7" t="str">
        <v>Aggressive</v>
      </c>
      <c r="L7" t="str">
        <v>Aggressive</v>
      </c>
      <c r="M7" t="str">
        <v>S0</v>
      </c>
      <c r="O7" t="s">
        <v>622</v>
      </c>
      <c r="P7" s="10" cm="1">
        <f t="array" ref="P7">INDEX(Table1[FWER],MATCH(1,(Table1[Alt.Scen]=Analysis!$P$3)*(Table1[ModelID]&gt;=18)*(Table1[Treat.Sel.Rule]=Analysis!$O7)*(Table1[Method]=Analysis!P$4)*(Table1[SampleSize]=Analysis!$P$2),0))</f>
        <v>2.2487900000000002E-2</v>
      </c>
      <c r="Q7" s="10" cm="1">
        <f t="array" ref="Q7">INDEX(Table1[FWER],MATCH(1,(Table1[Alt.Scen]=Analysis!$P$3)*(Table1[ModelID]&gt;=18)*(Table1[Treat.Sel.Rule]=Analysis!$O7)*(Table1[Method]=Analysis!Q$4)*(Table1[SampleSize]=Analysis!$P$2),0))</f>
        <v>9.3500000000000007E-3</v>
      </c>
      <c r="R7" s="12">
        <f t="shared" si="2"/>
        <v>1.3137900000000001E-2</v>
      </c>
      <c r="T7" s="9" cm="1">
        <f t="array" ref="T7">INDEX(Table1[Disjunctive.Power],MATCH(1,(Table1[Alt.Scen]=T3)*(Table1[ModelID]&gt;=18)*(Table1[Treat.Sel.Rule]=Analysis!$O7)*(Table1[Method]=Analysis!T$4)*(Table1[SampleSize]=Analysis!T2),0))</f>
        <v>0.79542880000000005</v>
      </c>
      <c r="U7" s="9" cm="1">
        <f t="array" ref="U7">INDEX(Table1[Disjunctive.Power],MATCH(1,(Table1[Alt.Scen]=T3)*(Table1[ModelID]&gt;=18)*(Table1[Treat.Sel.Rule]=Analysis!$O7)*(Table1[Method]=Analysis!U$4)*(Table1[SampleSize]=Analysis!T2),0))</f>
        <v>0.70304999999999995</v>
      </c>
      <c r="V7" s="12">
        <f t="shared" si="3"/>
        <v>9.2378800000000094E-2</v>
      </c>
      <c r="W7" s="9" cm="1">
        <f t="array" ref="W7">INDEX(Table1[Disjunctive.Power],MATCH(1,(Table1[Alt.Scen]=W3)*(Table1[ModelID]&gt;=18)*(Table1[Treat.Sel.Rule]=Analysis!$O7)*(Table1[Method]=Analysis!W$4)*(Table1[SampleSize]=Analysis!W2),0))</f>
        <v>0.89162629999999998</v>
      </c>
      <c r="X7" s="9" cm="1">
        <f t="array" ref="X7">INDEX(Table1[Disjunctive.Power],MATCH(1,(Table1[Alt.Scen]=W3)*(Table1[ModelID]&gt;=18)*(Table1[Treat.Sel.Rule]=Analysis!$O7)*(Table1[Method]=Analysis!X$4)*(Table1[SampleSize]=Analysis!W2),0))</f>
        <v>0.83365</v>
      </c>
      <c r="Y7" s="12">
        <f t="shared" si="4"/>
        <v>5.7976299999999981E-2</v>
      </c>
      <c r="Z7" s="9" cm="1">
        <f t="array" ref="Z7">INDEX(Table1[Disjunctive.Power],MATCH(1,(Table1[Alt.Scen]=Z3)*(Table1[ModelID]&gt;=18)*(Table1[Treat.Sel.Rule]=Analysis!$O7)*(Table1[Method]=Analysis!Z$4)*(Table1[SampleSize]=Analysis!Z2),0))</f>
        <v>0.91601270000000001</v>
      </c>
      <c r="AA7" s="9" cm="1">
        <f t="array" ref="AA7">INDEX(Table1[Disjunctive.Power],MATCH(1,(Table1[Alt.Scen]=Z3)*(Table1[ModelID]&gt;=18)*(Table1[Treat.Sel.Rule]=Analysis!$O7)*(Table1[Method]=Analysis!AA$4)*(Table1[SampleSize]=Analysis!Z2),0))</f>
        <v>0.87234999999999996</v>
      </c>
      <c r="AB7" s="12">
        <f t="shared" si="5"/>
        <v>4.3662700000000054E-2</v>
      </c>
      <c r="AC7" s="9" cm="1">
        <f t="array" ref="AC7">INDEX(Table1[Disjunctive.Power],MATCH(1,(Table1[Alt.Scen]=AC3)*(Table1[ModelID]&gt;=18)*(Table1[Treat.Sel.Rule]=Analysis!$O7)*(Table1[Method]=Analysis!AC$4)*(Table1[SampleSize]=Analysis!AC2),0))</f>
        <v>0.92400499999999997</v>
      </c>
      <c r="AD7" s="9" cm="1">
        <f t="array" ref="AD7">INDEX(Table1[Disjunctive.Power],MATCH(1,(Table1[Alt.Scen]=AC3)*(Table1[ModelID]&gt;=18)*(Table1[Treat.Sel.Rule]=Analysis!$O7)*(Table1[Method]=Analysis!AD$4)*(Table1[SampleSize]=Analysis!AC2),0))</f>
        <v>0.88660000000000005</v>
      </c>
      <c r="AE7" s="12">
        <f t="shared" si="6"/>
        <v>3.7404999999999911E-2</v>
      </c>
      <c r="AG7" s="9" cm="1">
        <f t="array" ref="AG7">INDEX(Table1[Conjunctive.Power],MATCH(1,(Table1[Alt.Scen]=AG3)*(Table1[ModelID]&gt;=18)*(Table1[Treat.Sel.Rule]=Analysis!$O7)*(Table1[Method]=Analysis!AG$4)*(Table1[SampleSize]=Analysis!AG2),0))</f>
        <v>0.6135661</v>
      </c>
      <c r="AH7" s="9" cm="1">
        <f t="array" ref="AH7">INDEX(Table1[Conjunctive.Power],MATCH(1,(Table1[Alt.Scen]=AG3)*(Table1[ModelID]&gt;=18)*(Table1[Treat.Sel.Rule]=Analysis!$O7)*(Table1[Method]=Analysis!AH$4)*(Table1[SampleSize]=Analysis!AG2),0))</f>
        <v>0.44340000000000002</v>
      </c>
      <c r="AI7" s="12">
        <f t="shared" si="7"/>
        <v>0.17016609999999999</v>
      </c>
      <c r="AJ7" s="9" cm="1">
        <f t="array" ref="AJ7">INDEX(Table1[Conjunctive.Power],MATCH(1,(Table1[Alt.Scen]=AJ3)*(Table1[ModelID]&gt;=18)*(Table1[Treat.Sel.Rule]=Analysis!$O7)*(Table1[Method]=Analysis!AJ$4)*(Table1[SampleSize]=Analysis!AJ2),0))</f>
        <v>0.41732190000000002</v>
      </c>
      <c r="AK7" s="9" cm="1">
        <f t="array" ref="AK7">INDEX(Table1[Conjunctive.Power],MATCH(1,(Table1[Alt.Scen]=AJ3)*(Table1[ModelID]&gt;=18)*(Table1[Treat.Sel.Rule]=Analysis!$O7)*(Table1[Method]=Analysis!AK$4)*(Table1[SampleSize]=Analysis!AJ2),0))</f>
        <v>0.29420000000000002</v>
      </c>
      <c r="AL7" s="12">
        <f t="shared" si="8"/>
        <v>0.12312190000000001</v>
      </c>
      <c r="AM7" s="9" cm="1">
        <f t="array" ref="AM7">INDEX(Table1[Conjunctive.Power],MATCH(1,(Table1[Alt.Scen]=AM3)*(Table1[ModelID]&gt;=18)*(Table1[Treat.Sel.Rule]=Analysis!$O7)*(Table1[Method]=Analysis!AM$4)*(Table1[SampleSize]=Analysis!AM2),0))</f>
        <v>0.34104849999999998</v>
      </c>
      <c r="AN7" s="9" cm="1">
        <f t="array" ref="AN7">INDEX(Table1[Conjunctive.Power],MATCH(1,(Table1[Alt.Scen]=AM3)*(Table1[ModelID]&gt;=18)*(Table1[Treat.Sel.Rule]=Analysis!$O7)*(Table1[Method]=Analysis!AN$4)*(Table1[SampleSize]=Analysis!AM2),0))</f>
        <v>0.27224999999999999</v>
      </c>
      <c r="AO7" s="12">
        <f t="shared" si="9"/>
        <v>6.8798499999999985E-2</v>
      </c>
      <c r="AP7" s="9" cm="1">
        <f t="array" ref="AP7">INDEX(Table1[Conjunctive.Power],MATCH(1,(Table1[Alt.Scen]=AP3)*(Table1[ModelID]&gt;=18)*(Table1[Treat.Sel.Rule]=Analysis!$O7)*(Table1[Method]=Analysis!AP$4)*(Table1[SampleSize]=Analysis!AP2),0))</f>
        <v>0.36783929999999998</v>
      </c>
      <c r="AQ7" s="9" cm="1">
        <f t="array" ref="AQ7">INDEX(Table1[Conjunctive.Power],MATCH(1,(Table1[Alt.Scen]=AP3)*(Table1[ModelID]&gt;=18)*(Table1[Treat.Sel.Rule]=Analysis!$O7)*(Table1[Method]=Analysis!AQ$4)*(Table1[SampleSize]=Analysis!AP2),0))</f>
        <v>0.35620000000000002</v>
      </c>
      <c r="AR7" s="12">
        <f t="shared" si="10"/>
        <v>1.1639299999999964E-2</v>
      </c>
      <c r="AT7" s="15" t="s">
        <v>629</v>
      </c>
      <c r="AU7" s="15" t="s">
        <v>621</v>
      </c>
      <c r="AV7" s="16">
        <v>0.79131839999999998</v>
      </c>
      <c r="AW7" s="16">
        <v>0.79800000000000004</v>
      </c>
      <c r="AX7" s="16" t="s">
        <v>835</v>
      </c>
      <c r="AY7" s="17" t="s">
        <v>869</v>
      </c>
      <c r="AZ7" s="16">
        <v>0.64908189999999999</v>
      </c>
      <c r="BA7" s="16">
        <v>0.65900000000000003</v>
      </c>
      <c r="BB7" s="16" t="s">
        <v>851</v>
      </c>
      <c r="BC7" s="16" t="s">
        <v>870</v>
      </c>
      <c r="BE7" s="15">
        <v>0.5</v>
      </c>
      <c r="BF7" s="15" t="s">
        <v>823</v>
      </c>
      <c r="BG7" s="18">
        <v>2.2385499999999999E-2</v>
      </c>
      <c r="BH7" s="18" t="s">
        <v>915</v>
      </c>
      <c r="BI7" s="18">
        <v>2.2250599999999999E-2</v>
      </c>
      <c r="BJ7" s="18" t="s">
        <v>916</v>
      </c>
      <c r="BK7" s="18">
        <v>2.1458600000000001E-2</v>
      </c>
      <c r="BL7" s="18" t="s">
        <v>917</v>
      </c>
      <c r="BM7" s="18">
        <v>2.1028100000000001E-2</v>
      </c>
      <c r="BN7" s="18" t="s">
        <v>918</v>
      </c>
      <c r="BP7" s="15" t="s">
        <v>632</v>
      </c>
      <c r="BQ7" s="15" t="s">
        <v>650</v>
      </c>
      <c r="BR7" s="15" t="s">
        <v>726</v>
      </c>
      <c r="BS7" s="15" t="s">
        <v>651</v>
      </c>
      <c r="BT7" s="15" t="s">
        <v>729</v>
      </c>
      <c r="BU7" s="15" t="s">
        <v>122</v>
      </c>
      <c r="BV7" s="15" t="s">
        <v>123</v>
      </c>
      <c r="BX7" s="27">
        <v>116</v>
      </c>
      <c r="BY7" s="27" t="s">
        <v>655</v>
      </c>
      <c r="BZ7" s="27">
        <v>100000</v>
      </c>
      <c r="CA7" s="27">
        <v>100</v>
      </c>
      <c r="CB7" s="36">
        <v>2.5000000000000001E-2</v>
      </c>
      <c r="CC7" s="37">
        <f>Table2[[#This Row],[FWER5]]</f>
        <v>2.50009E-2</v>
      </c>
    </row>
    <row r="8" spans="2:82" x14ac:dyDescent="0.25">
      <c r="G8">
        <v>0</v>
      </c>
      <c r="H8">
        <v>0</v>
      </c>
      <c r="I8" t="b">
        <f t="shared" si="0"/>
        <v>1</v>
      </c>
      <c r="J8" s="10">
        <f t="shared" si="1"/>
        <v>0</v>
      </c>
      <c r="K8" t="str">
        <v>Ultra Aggressive</v>
      </c>
      <c r="L8" t="str">
        <v>Ultra Aggressive</v>
      </c>
      <c r="M8" t="str">
        <v>S0</v>
      </c>
      <c r="O8" t="s">
        <v>621</v>
      </c>
      <c r="P8" s="10" cm="1">
        <f t="array" ref="P8">INDEX(Table1[FWER],MATCH(1,(Table1[Alt.Scen]=Analysis!$P$3)*(Table1[ModelID]&gt;=18)*(Table1[Treat.Sel.Rule]=Analysis!$O8)*(Table1[Method]=Analysis!P$4)*(Table1[SampleSize]=Analysis!$P$2),0))</f>
        <v>2.1748099999999999E-2</v>
      </c>
      <c r="Q8" s="10" cm="1">
        <f t="array" ref="Q8">INDEX(Table1[FWER],MATCH(1,(Table1[Alt.Scen]=Analysis!$P$3)*(Table1[ModelID]&gt;=18)*(Table1[Treat.Sel.Rule]=Analysis!$O8)*(Table1[Method]=Analysis!Q$4)*(Table1[SampleSize]=Analysis!$P$2),0))</f>
        <v>1.2200000000000001E-2</v>
      </c>
      <c r="R8" s="12">
        <f t="shared" si="2"/>
        <v>9.5480999999999986E-3</v>
      </c>
      <c r="T8" s="9" cm="1">
        <f t="array" ref="T8">INDEX(Table1[Disjunctive.Power],MATCH(1,(Table1[Alt.Scen]=T3)*(Table1[ModelID]&gt;=18)*(Table1[Treat.Sel.Rule]=Analysis!$O8)*(Table1[Method]=Analysis!T$4)*(Table1[SampleSize]=Analysis!T2),0))</f>
        <v>0.83153730000000003</v>
      </c>
      <c r="U8" s="9" cm="1">
        <f t="array" ref="U8">INDEX(Table1[Disjunctive.Power],MATCH(1,(Table1[Alt.Scen]=T3)*(Table1[ModelID]&gt;=18)*(Table1[Treat.Sel.Rule]=Analysis!$O8)*(Table1[Method]=Analysis!U$4)*(Table1[SampleSize]=Analysis!T2),0))</f>
        <v>0.79959999999999998</v>
      </c>
      <c r="V8" s="12">
        <f t="shared" si="3"/>
        <v>3.1937300000000057E-2</v>
      </c>
      <c r="W8" s="9" cm="1">
        <f t="array" ref="W8">INDEX(Table1[Disjunctive.Power],MATCH(1,(Table1[Alt.Scen]=W3)*(Table1[ModelID]&gt;=18)*(Table1[Treat.Sel.Rule]=Analysis!$O8)*(Table1[Method]=Analysis!W$4)*(Table1[SampleSize]=Analysis!W2),0))</f>
        <v>0.9176107</v>
      </c>
      <c r="X8" s="9" cm="1">
        <f t="array" ref="X8">INDEX(Table1[Disjunctive.Power],MATCH(1,(Table1[Alt.Scen]=W3)*(Table1[ModelID]&gt;=18)*(Table1[Treat.Sel.Rule]=Analysis!$O8)*(Table1[Method]=Analysis!X$4)*(Table1[SampleSize]=Analysis!W2),0))</f>
        <v>0.8952</v>
      </c>
      <c r="Y8" s="12">
        <f t="shared" si="4"/>
        <v>2.2410700000000006E-2</v>
      </c>
      <c r="Z8" s="9" cm="1">
        <f t="array" ref="Z8">INDEX(Table1[Disjunctive.Power],MATCH(1,(Table1[Alt.Scen]=Z3)*(Table1[ModelID]&gt;=18)*(Table1[Treat.Sel.Rule]=Analysis!$O8)*(Table1[Method]=Analysis!Z$4)*(Table1[SampleSize]=Analysis!Z2),0))</f>
        <v>0.93578229999999996</v>
      </c>
      <c r="AA8" s="9" cm="1">
        <f t="array" ref="AA8">INDEX(Table1[Disjunctive.Power],MATCH(1,(Table1[Alt.Scen]=Z3)*(Table1[ModelID]&gt;=18)*(Table1[Treat.Sel.Rule]=Analysis!$O8)*(Table1[Method]=Analysis!AA$4)*(Table1[SampleSize]=Analysis!Z2),0))</f>
        <v>0.91034999999999999</v>
      </c>
      <c r="AB8" s="12">
        <f t="shared" si="5"/>
        <v>2.5432299999999963E-2</v>
      </c>
      <c r="AC8" s="9" cm="1">
        <f t="array" ref="AC8">INDEX(Table1[Disjunctive.Power],MATCH(1,(Table1[Alt.Scen]=AC3)*(Table1[ModelID]&gt;=18)*(Table1[Treat.Sel.Rule]=Analysis!$O8)*(Table1[Method]=Analysis!AC$4)*(Table1[SampleSize]=Analysis!AC2),0))</f>
        <v>0.94027720000000004</v>
      </c>
      <c r="AD8" s="9" cm="1">
        <f t="array" ref="AD8">INDEX(Table1[Disjunctive.Power],MATCH(1,(Table1[Alt.Scen]=AC3)*(Table1[ModelID]&gt;=18)*(Table1[Treat.Sel.Rule]=Analysis!$O8)*(Table1[Method]=Analysis!AD$4)*(Table1[SampleSize]=Analysis!AC2),0))</f>
        <v>0.91300000000000003</v>
      </c>
      <c r="AE8" s="12">
        <f t="shared" si="6"/>
        <v>2.7277200000000001E-2</v>
      </c>
      <c r="AG8" s="9" cm="1">
        <f t="array" ref="AG8">INDEX(Table1[Conjunctive.Power],MATCH(1,(Table1[Alt.Scen]=AG3)*(Table1[ModelID]&gt;=18)*(Table1[Treat.Sel.Rule]=Analysis!$O8)*(Table1[Method]=Analysis!AG$4)*(Table1[SampleSize]=Analysis!AG2),0))</f>
        <v>0.69938940000000005</v>
      </c>
      <c r="AH8" s="9" cm="1">
        <f t="array" ref="AH8">INDEX(Table1[Conjunctive.Power],MATCH(1,(Table1[Alt.Scen]=AG3)*(Table1[ModelID]&gt;=18)*(Table1[Treat.Sel.Rule]=Analysis!$O8)*(Table1[Method]=Analysis!AH$4)*(Table1[SampleSize]=Analysis!AG2),0))</f>
        <v>0.5877</v>
      </c>
      <c r="AI8" s="12">
        <f t="shared" si="7"/>
        <v>0.11168940000000005</v>
      </c>
      <c r="AJ8" s="9" cm="1">
        <f t="array" ref="AJ8">INDEX(Table1[Conjunctive.Power],MATCH(1,(Table1[Alt.Scen]=AJ3)*(Table1[ModelID]&gt;=18)*(Table1[Treat.Sel.Rule]=Analysis!$O8)*(Table1[Method]=Analysis!AJ$4)*(Table1[SampleSize]=Analysis!AJ2),0))</f>
        <v>0.4685783</v>
      </c>
      <c r="AK8" s="9" cm="1">
        <f t="array" ref="AK8">INDEX(Table1[Conjunctive.Power],MATCH(1,(Table1[Alt.Scen]=AJ3)*(Table1[ModelID]&gt;=18)*(Table1[Treat.Sel.Rule]=Analysis!$O8)*(Table1[Method]=Analysis!AK$4)*(Table1[SampleSize]=Analysis!AJ2),0))</f>
        <v>0.39</v>
      </c>
      <c r="AL8" s="12">
        <f t="shared" si="8"/>
        <v>7.857829999999999E-2</v>
      </c>
      <c r="AM8" s="9" cm="1">
        <f t="array" ref="AM8">INDEX(Table1[Conjunctive.Power],MATCH(1,(Table1[Alt.Scen]=AM3)*(Table1[ModelID]&gt;=18)*(Table1[Treat.Sel.Rule]=Analysis!$O8)*(Table1[Method]=Analysis!AM$4)*(Table1[SampleSize]=Analysis!AM2),0))</f>
        <v>0.35455320000000001</v>
      </c>
      <c r="AN8" s="9" cm="1">
        <f t="array" ref="AN8">INDEX(Table1[Conjunctive.Power],MATCH(1,(Table1[Alt.Scen]=AM3)*(Table1[ModelID]&gt;=18)*(Table1[Treat.Sel.Rule]=Analysis!$O8)*(Table1[Method]=Analysis!AN$4)*(Table1[SampleSize]=Analysis!AM2),0))</f>
        <v>0.31535000000000002</v>
      </c>
      <c r="AO8" s="12">
        <f t="shared" si="9"/>
        <v>3.9203199999999994E-2</v>
      </c>
      <c r="AP8" s="9" cm="1">
        <f t="array" ref="AP8">INDEX(Table1[Conjunctive.Power],MATCH(1,(Table1[Alt.Scen]=AP3)*(Table1[ModelID]&gt;=18)*(Table1[Treat.Sel.Rule]=Analysis!$O8)*(Table1[Method]=Analysis!AP$4)*(Table1[SampleSize]=Analysis!AP2),0))</f>
        <v>0.34641949999999999</v>
      </c>
      <c r="AQ8" s="9" cm="1">
        <f t="array" ref="AQ8">INDEX(Table1[Conjunctive.Power],MATCH(1,(Table1[Alt.Scen]=AP3)*(Table1[ModelID]&gt;=18)*(Table1[Treat.Sel.Rule]=Analysis!$O8)*(Table1[Method]=Analysis!AQ$4)*(Table1[SampleSize]=Analysis!AP2),0))</f>
        <v>0.33150000000000002</v>
      </c>
      <c r="AR8" s="12">
        <f t="shared" si="10"/>
        <v>1.4919499999999974E-2</v>
      </c>
      <c r="AT8" s="15" t="s">
        <v>629</v>
      </c>
      <c r="AU8" s="15" t="s">
        <v>829</v>
      </c>
      <c r="AV8" s="16">
        <v>0.84037209999999996</v>
      </c>
      <c r="AW8" s="16">
        <v>0.84499999999999997</v>
      </c>
      <c r="AX8" s="16" t="s">
        <v>836</v>
      </c>
      <c r="AY8" s="17" t="s">
        <v>871</v>
      </c>
      <c r="AZ8" s="16">
        <v>0.74873029999999996</v>
      </c>
      <c r="BA8" s="16">
        <v>0.75700000000000001</v>
      </c>
      <c r="BB8" s="16" t="s">
        <v>852</v>
      </c>
      <c r="BC8" s="16" t="s">
        <v>872</v>
      </c>
      <c r="BE8" s="15">
        <v>0.5</v>
      </c>
      <c r="BF8" s="15" t="s">
        <v>899</v>
      </c>
      <c r="BG8" s="18">
        <v>2.5000000000000001E-2</v>
      </c>
      <c r="BH8" s="18" t="s">
        <v>904</v>
      </c>
      <c r="BI8" s="18">
        <v>2.5000000000000001E-2</v>
      </c>
      <c r="BJ8" s="18" t="s">
        <v>904</v>
      </c>
      <c r="BK8" s="18">
        <v>2.4E-2</v>
      </c>
      <c r="BL8" s="18" t="s">
        <v>905</v>
      </c>
      <c r="BM8" s="18">
        <v>2.2200000000000001E-2</v>
      </c>
      <c r="BN8" s="18" t="s">
        <v>906</v>
      </c>
      <c r="BX8" s="27">
        <v>117</v>
      </c>
      <c r="BY8" s="27" t="s">
        <v>656</v>
      </c>
      <c r="BZ8" s="27">
        <v>100000</v>
      </c>
      <c r="CA8" s="27">
        <v>100</v>
      </c>
      <c r="CB8" s="36">
        <v>2.5000000000000001E-2</v>
      </c>
      <c r="CC8" s="37">
        <f>Table2[[#This Row],[FWER5]]</f>
        <v>2.4857894315772601E-2</v>
      </c>
    </row>
    <row r="9" spans="2:82" x14ac:dyDescent="0.25">
      <c r="G9">
        <v>0.98715750000000002</v>
      </c>
      <c r="H9">
        <v>0.96822373696872499</v>
      </c>
      <c r="I9" t="b">
        <f t="shared" si="0"/>
        <v>1</v>
      </c>
      <c r="J9" s="10">
        <f t="shared" si="1"/>
        <v>1.893376303127503E-2</v>
      </c>
      <c r="K9" t="str">
        <v>No drop</v>
      </c>
      <c r="L9" t="str">
        <v>No drop</v>
      </c>
      <c r="M9" t="str">
        <v>S1</v>
      </c>
      <c r="O9" t="s">
        <v>620</v>
      </c>
      <c r="P9" s="10" cm="1">
        <f t="array" ref="P9">INDEX(Table1[FWER],MATCH(1,(Table1[Alt.Scen]=Analysis!$P$3)*(Table1[ModelID]&gt;=18)*(Table1[Treat.Sel.Rule]=Analysis!$O9)*(Table1[Method]=Analysis!P$4)*(Table1[SampleSize]=Analysis!$P$2),0))</f>
        <v>2.1050200000000002E-2</v>
      </c>
      <c r="Q9" s="10" cm="1">
        <f t="array" ref="Q9">INDEX(Table1[FWER],MATCH(1,(Table1[Alt.Scen]=Analysis!$P$3)*(Table1[ModelID]&gt;=18)*(Table1[Treat.Sel.Rule]=Analysis!$O9)*(Table1[Method]=Analysis!Q$4)*(Table1[SampleSize]=Analysis!$P$2),0))</f>
        <v>2.035E-2</v>
      </c>
      <c r="R9" s="12">
        <f t="shared" si="2"/>
        <v>7.0020000000000152E-4</v>
      </c>
      <c r="T9" s="9" cm="1">
        <f t="array" ref="T9">INDEX(Table1[Disjunctive.Power],MATCH(1,(Table1[Alt.Scen]=T3)*(Table1[ModelID]&gt;=18)*(Table1[Treat.Sel.Rule]=Analysis!$O9)*(Table1[Method]=Analysis!T$4)*(Table1[SampleSize]=Analysis!T2),0))</f>
        <v>0.87971140000000003</v>
      </c>
      <c r="U9" s="9" cm="1">
        <f t="array" ref="U9">INDEX(Table1[Disjunctive.Power],MATCH(1,(Table1[Alt.Scen]=T3)*(Table1[ModelID]&gt;=18)*(Table1[Treat.Sel.Rule]=Analysis!$O9)*(Table1[Method]=Analysis!U$4)*(Table1[SampleSize]=Analysis!T2),0))</f>
        <v>0.84940000000000004</v>
      </c>
      <c r="V9" s="12">
        <f t="shared" si="3"/>
        <v>3.0311399999999988E-2</v>
      </c>
      <c r="W9" s="9" cm="1">
        <f t="array" ref="W9">INDEX(Table1[Disjunctive.Power],MATCH(1,(Table1[Alt.Scen]=W3)*(Table1[ModelID]&gt;=18)*(Table1[Treat.Sel.Rule]=Analysis!$O9)*(Table1[Method]=Analysis!W$4)*(Table1[SampleSize]=Analysis!W2),0))</f>
        <v>0.95751500000000001</v>
      </c>
      <c r="X9" s="9" cm="1">
        <f t="array" ref="X9">INDEX(Table1[Disjunctive.Power],MATCH(1,(Table1[Alt.Scen]=W3)*(Table1[ModelID]&gt;=18)*(Table1[Treat.Sel.Rule]=Analysis!$O9)*(Table1[Method]=Analysis!X$4)*(Table1[SampleSize]=Analysis!W2),0))</f>
        <v>0.94279999999999997</v>
      </c>
      <c r="Y9" s="12">
        <f t="shared" si="4"/>
        <v>1.4715000000000034E-2</v>
      </c>
      <c r="Z9" s="9" cm="1">
        <f t="array" ref="Z9">INDEX(Table1[Disjunctive.Power],MATCH(1,(Table1[Alt.Scen]=Z3)*(Table1[ModelID]&gt;=18)*(Table1[Treat.Sel.Rule]=Analysis!$O9)*(Table1[Method]=Analysis!Z$4)*(Table1[SampleSize]=Analysis!Z2),0))</f>
        <v>0.97657439999999995</v>
      </c>
      <c r="AA9" s="9" cm="1">
        <f t="array" ref="AA9">INDEX(Table1[Disjunctive.Power],MATCH(1,(Table1[Alt.Scen]=Z3)*(Table1[ModelID]&gt;=18)*(Table1[Treat.Sel.Rule]=Analysis!$O9)*(Table1[Method]=Analysis!AA$4)*(Table1[SampleSize]=Analysis!Z2),0))</f>
        <v>0.96579999999999999</v>
      </c>
      <c r="AB9" s="12">
        <f t="shared" si="5"/>
        <v>1.0774399999999962E-2</v>
      </c>
      <c r="AC9" s="9" cm="1">
        <f t="array" ref="AC9">INDEX(Table1[Disjunctive.Power],MATCH(1,(Table1[Alt.Scen]=AC3)*(Table1[ModelID]&gt;=18)*(Table1[Treat.Sel.Rule]=Analysis!$O9)*(Table1[Method]=Analysis!AC$4)*(Table1[SampleSize]=Analysis!AC2),0))</f>
        <v>0.98453000000000002</v>
      </c>
      <c r="AD9" s="9" cm="1">
        <f t="array" ref="AD9">INDEX(Table1[Disjunctive.Power],MATCH(1,(Table1[Alt.Scen]=AC3)*(Table1[ModelID]&gt;=18)*(Table1[Treat.Sel.Rule]=Analysis!$O9)*(Table1[Method]=Analysis!AD$4)*(Table1[SampleSize]=Analysis!AC2),0))</f>
        <v>0.97735000000000005</v>
      </c>
      <c r="AE9" s="12">
        <f t="shared" si="6"/>
        <v>7.1799999999999642E-3</v>
      </c>
      <c r="AG9" s="9" cm="1">
        <f t="array" ref="AG9">INDEX(Table1[Conjunctive.Power],MATCH(1,(Table1[Alt.Scen]=AG3)*(Table1[ModelID]&gt;=18)*(Table1[Treat.Sel.Rule]=Analysis!$O9)*(Table1[Method]=Analysis!AG$4)*(Table1[SampleSize]=Analysis!AG2),0))</f>
        <v>0.80122179999999998</v>
      </c>
      <c r="AH9" s="9" cm="1">
        <f t="array" ref="AH9">INDEX(Table1[Conjunctive.Power],MATCH(1,(Table1[Alt.Scen]=AG3)*(Table1[ModelID]&gt;=18)*(Table1[Treat.Sel.Rule]=Analysis!$O9)*(Table1[Method]=Analysis!AH$4)*(Table1[SampleSize]=Analysis!AG2),0))</f>
        <v>0.71120000000000005</v>
      </c>
      <c r="AI9" s="12">
        <f t="shared" si="7"/>
        <v>9.002179999999993E-2</v>
      </c>
      <c r="AJ9" s="9" cm="1">
        <f t="array" ref="AJ9">INDEX(Table1[Conjunctive.Power],MATCH(1,(Table1[Alt.Scen]=AJ3)*(Table1[ModelID]&gt;=18)*(Table1[Treat.Sel.Rule]=Analysis!$O9)*(Table1[Method]=Analysis!AJ$4)*(Table1[SampleSize]=Analysis!AJ2),0))</f>
        <v>2.9272599999999999E-2</v>
      </c>
      <c r="AK9" s="9" cm="1">
        <f t="array" ref="AK9">INDEX(Table1[Conjunctive.Power],MATCH(1,(Table1[Alt.Scen]=AJ3)*(Table1[ModelID]&gt;=18)*(Table1[Treat.Sel.Rule]=Analysis!$O9)*(Table1[Method]=Analysis!AK$4)*(Table1[SampleSize]=Analysis!AJ2),0))</f>
        <v>2.8199999999999999E-2</v>
      </c>
      <c r="AL9" s="12">
        <f t="shared" si="8"/>
        <v>1.0725999999999999E-3</v>
      </c>
      <c r="AM9" s="9" cm="1">
        <f t="array" ref="AM9">INDEX(Table1[Conjunctive.Power],MATCH(1,(Table1[Alt.Scen]=AM3)*(Table1[ModelID]&gt;=18)*(Table1[Treat.Sel.Rule]=Analysis!$O9)*(Table1[Method]=Analysis!AM$4)*(Table1[SampleSize]=Analysis!AM2),0))</f>
        <v>6.3344999999999999E-3</v>
      </c>
      <c r="AN9" s="9" cm="1">
        <f t="array" ref="AN9">INDEX(Table1[Conjunctive.Power],MATCH(1,(Table1[Alt.Scen]=AM3)*(Table1[ModelID]&gt;=18)*(Table1[Treat.Sel.Rule]=Analysis!$O9)*(Table1[Method]=Analysis!AN$4)*(Table1[SampleSize]=Analysis!AM2),0))</f>
        <v>6.1999999999999998E-3</v>
      </c>
      <c r="AO9" s="12">
        <f t="shared" si="9"/>
        <v>1.3450000000000007E-4</v>
      </c>
      <c r="AP9" s="9" cm="1">
        <f t="array" ref="AP9">INDEX(Table1[Conjunctive.Power],MATCH(1,(Table1[Alt.Scen]=AP3)*(Table1[ModelID]&gt;=18)*(Table1[Treat.Sel.Rule]=Analysis!$O9)*(Table1[Method]=Analysis!AP$4)*(Table1[SampleSize]=Analysis!AP2),0))</f>
        <v>3.2545999999999999E-3</v>
      </c>
      <c r="AQ9" s="9" cm="1">
        <f t="array" ref="AQ9">INDEX(Table1[Conjunctive.Power],MATCH(1,(Table1[Alt.Scen]=AP3)*(Table1[ModelID]&gt;=18)*(Table1[Treat.Sel.Rule]=Analysis!$O9)*(Table1[Method]=Analysis!AQ$4)*(Table1[SampleSize]=Analysis!AP2),0))</f>
        <v>3.8E-3</v>
      </c>
      <c r="AR9" s="12">
        <f t="shared" si="10"/>
        <v>-5.4540000000000014E-4</v>
      </c>
      <c r="AT9" s="15" t="s">
        <v>630</v>
      </c>
      <c r="AU9" s="15" t="s">
        <v>619</v>
      </c>
      <c r="AV9" s="16">
        <v>0.82548650000000001</v>
      </c>
      <c r="AW9" s="16">
        <v>0.83399999999999996</v>
      </c>
      <c r="AX9" s="16" t="s">
        <v>837</v>
      </c>
      <c r="AY9" s="17" t="s">
        <v>873</v>
      </c>
      <c r="AZ9" s="16">
        <v>0.32766430000000002</v>
      </c>
      <c r="BA9" s="16">
        <v>0.33500000000000002</v>
      </c>
      <c r="BB9" s="16" t="s">
        <v>853</v>
      </c>
      <c r="BC9" s="16" t="s">
        <v>874</v>
      </c>
      <c r="BE9" s="15">
        <v>0.8</v>
      </c>
      <c r="BF9" s="15" t="s">
        <v>823</v>
      </c>
      <c r="BG9" s="18">
        <v>2.2590499999999999E-2</v>
      </c>
      <c r="BH9" s="18" t="s">
        <v>919</v>
      </c>
      <c r="BI9" s="18">
        <v>2.2190600000000001E-2</v>
      </c>
      <c r="BJ9" s="18" t="s">
        <v>920</v>
      </c>
      <c r="BK9" s="18">
        <v>2.1846299999999999E-2</v>
      </c>
      <c r="BL9" s="18" t="s">
        <v>921</v>
      </c>
      <c r="BM9" s="18">
        <v>2.1291600000000001E-2</v>
      </c>
      <c r="BN9" s="18" t="s">
        <v>922</v>
      </c>
      <c r="BX9" s="27">
        <v>118</v>
      </c>
      <c r="BY9" s="27" t="s">
        <v>657</v>
      </c>
      <c r="BZ9" s="27">
        <v>100000</v>
      </c>
      <c r="CA9" s="27">
        <v>100</v>
      </c>
      <c r="CB9" s="36">
        <v>2.4E-2</v>
      </c>
      <c r="CC9" s="37">
        <f>Table2[[#This Row],[FWER5]]</f>
        <v>2.4093640936409401E-2</v>
      </c>
    </row>
    <row r="10" spans="2:82" x14ac:dyDescent="0.25">
      <c r="G10">
        <v>0.99576980000000004</v>
      </c>
      <c r="H10">
        <v>0.98767967145790603</v>
      </c>
      <c r="I10" t="b">
        <f t="shared" si="0"/>
        <v>1</v>
      </c>
      <c r="J10" s="10">
        <f t="shared" si="1"/>
        <v>8.0901285420940106E-3</v>
      </c>
      <c r="K10" t="str">
        <v>Conservative</v>
      </c>
      <c r="L10" t="str">
        <v>Conservative</v>
      </c>
      <c r="M10" t="str">
        <v>S1</v>
      </c>
      <c r="T10" s="10"/>
      <c r="AT10" s="15" t="s">
        <v>630</v>
      </c>
      <c r="AU10" s="15" t="s">
        <v>622</v>
      </c>
      <c r="AV10" s="16">
        <v>0.86058590000000001</v>
      </c>
      <c r="AW10" s="16">
        <v>0.86899999999999999</v>
      </c>
      <c r="AX10" s="16" t="s">
        <v>838</v>
      </c>
      <c r="AY10" s="17" t="s">
        <v>875</v>
      </c>
      <c r="AZ10" s="16">
        <v>0.37432749999999998</v>
      </c>
      <c r="BA10" s="16">
        <v>0.38500000000000001</v>
      </c>
      <c r="BB10" s="16" t="s">
        <v>854</v>
      </c>
      <c r="BC10" s="16" t="s">
        <v>876</v>
      </c>
      <c r="BE10" s="15">
        <v>0.8</v>
      </c>
      <c r="BF10" s="15" t="s">
        <v>899</v>
      </c>
      <c r="BG10" s="18">
        <v>2.5100000000000001E-2</v>
      </c>
      <c r="BH10" s="18" t="s">
        <v>907</v>
      </c>
      <c r="BI10" s="18">
        <v>2.47E-2</v>
      </c>
      <c r="BJ10" s="18" t="s">
        <v>908</v>
      </c>
      <c r="BK10" s="18">
        <v>2.3900000000000001E-2</v>
      </c>
      <c r="BL10" s="18" t="s">
        <v>909</v>
      </c>
      <c r="BM10" s="18">
        <v>2.2499999999999999E-2</v>
      </c>
      <c r="BN10" s="18" t="s">
        <v>910</v>
      </c>
      <c r="BX10" s="27">
        <v>119</v>
      </c>
      <c r="BY10" s="27" t="s">
        <v>658</v>
      </c>
      <c r="BZ10" s="27">
        <v>100000</v>
      </c>
      <c r="CA10" s="27">
        <v>100</v>
      </c>
      <c r="CB10" s="36">
        <v>2.2200000000000001E-2</v>
      </c>
      <c r="CC10" s="37">
        <f>Table2[[#This Row],[FWER5]]</f>
        <v>2.2398515866428E-2</v>
      </c>
    </row>
    <row r="11" spans="2:82" x14ac:dyDescent="0.25">
      <c r="G11">
        <v>0.99825909999999995</v>
      </c>
      <c r="H11">
        <v>0.99374343060213199</v>
      </c>
      <c r="I11" t="b">
        <f t="shared" si="0"/>
        <v>1</v>
      </c>
      <c r="J11" s="10">
        <f t="shared" si="1"/>
        <v>4.5156693978679607E-3</v>
      </c>
      <c r="K11" t="str">
        <v>Normal</v>
      </c>
      <c r="L11" t="str">
        <v>Normal</v>
      </c>
      <c r="M11" t="str">
        <v>S1</v>
      </c>
      <c r="T11" s="10"/>
      <c r="AG11" t="s">
        <v>647</v>
      </c>
      <c r="AT11" s="15" t="s">
        <v>630</v>
      </c>
      <c r="AU11" s="15" t="s">
        <v>621</v>
      </c>
      <c r="AV11" s="16">
        <v>0.88578849999999998</v>
      </c>
      <c r="AW11" s="16">
        <v>0.89100000000000001</v>
      </c>
      <c r="AX11" s="16" t="s">
        <v>839</v>
      </c>
      <c r="AY11" s="17" t="s">
        <v>877</v>
      </c>
      <c r="AZ11" s="16">
        <v>0.41455579999999997</v>
      </c>
      <c r="BA11" s="16">
        <v>0.42099999999999999</v>
      </c>
      <c r="BB11" s="16" t="s">
        <v>855</v>
      </c>
      <c r="BC11" s="16" t="s">
        <v>878</v>
      </c>
      <c r="BX11" s="27">
        <v>120</v>
      </c>
      <c r="BY11" s="27" t="s">
        <v>669</v>
      </c>
      <c r="BZ11" s="27">
        <v>100000</v>
      </c>
      <c r="CA11" s="27">
        <v>100</v>
      </c>
      <c r="CB11" s="36">
        <v>2.5100000000000001E-2</v>
      </c>
      <c r="CC11" s="37">
        <f>Table2[[#This Row],[FWER5]]</f>
        <v>2.5177355320659602E-2</v>
      </c>
    </row>
    <row r="12" spans="2:82" x14ac:dyDescent="0.25">
      <c r="G12">
        <v>0.99554430000000005</v>
      </c>
      <c r="H12">
        <v>0.99549774887443698</v>
      </c>
      <c r="I12" t="b">
        <f t="shared" si="0"/>
        <v>1</v>
      </c>
      <c r="J12" s="10">
        <f t="shared" si="1"/>
        <v>4.6551125563065732E-5</v>
      </c>
      <c r="K12" t="str">
        <v>Aggressive</v>
      </c>
      <c r="L12" t="str">
        <v>Aggressive</v>
      </c>
      <c r="M12" t="str">
        <v>S1</v>
      </c>
      <c r="T12" s="10"/>
      <c r="AG12" t="s">
        <v>648</v>
      </c>
      <c r="AT12" s="15" t="s">
        <v>630</v>
      </c>
      <c r="AU12" s="15" t="s">
        <v>829</v>
      </c>
      <c r="AV12" s="16">
        <v>0.93425170000000002</v>
      </c>
      <c r="AW12" s="16">
        <v>0.93600000000000005</v>
      </c>
      <c r="AX12" s="16" t="s">
        <v>840</v>
      </c>
      <c r="AY12" s="17" t="s">
        <v>880</v>
      </c>
      <c r="AZ12" s="16">
        <v>2.31437E-2</v>
      </c>
      <c r="BA12" s="16">
        <v>4.0000000000000001E-3</v>
      </c>
      <c r="BB12" s="16" t="s">
        <v>856</v>
      </c>
      <c r="BC12" s="16" t="s">
        <v>881</v>
      </c>
      <c r="BJ12" s="10"/>
      <c r="BX12" s="27">
        <v>121</v>
      </c>
      <c r="BY12" s="27" t="s">
        <v>670</v>
      </c>
      <c r="BZ12" s="27">
        <v>100000</v>
      </c>
      <c r="CA12" s="27">
        <v>100</v>
      </c>
      <c r="CB12" s="36">
        <v>2.47E-2</v>
      </c>
      <c r="CC12" s="37">
        <f>Table2[[#This Row],[FWER5]]</f>
        <v>2.4782499999999999E-2</v>
      </c>
    </row>
    <row r="13" spans="2:82" x14ac:dyDescent="0.25">
      <c r="G13">
        <v>0.99845170000000005</v>
      </c>
      <c r="H13">
        <v>0.99609882964889496</v>
      </c>
      <c r="I13" t="b">
        <f t="shared" si="0"/>
        <v>1</v>
      </c>
      <c r="J13" s="10">
        <f t="shared" si="1"/>
        <v>2.3528703511050963E-3</v>
      </c>
      <c r="K13" t="str">
        <v>Ultra Aggressive</v>
      </c>
      <c r="L13" t="str">
        <v>Ultra Aggressive</v>
      </c>
      <c r="M13" t="str">
        <v>S1</v>
      </c>
      <c r="T13" s="10"/>
      <c r="AG13" t="s">
        <v>649</v>
      </c>
      <c r="AT13" s="15" t="s">
        <v>631</v>
      </c>
      <c r="AU13" s="15" t="s">
        <v>619</v>
      </c>
      <c r="AV13" s="16">
        <v>0.87087590000000004</v>
      </c>
      <c r="AW13" s="16">
        <v>0.879</v>
      </c>
      <c r="AX13" s="16" t="s">
        <v>841</v>
      </c>
      <c r="AY13" s="17" t="s">
        <v>882</v>
      </c>
      <c r="AZ13" s="16">
        <v>0.27949829999999998</v>
      </c>
      <c r="BA13" s="16">
        <v>0.28699999999999998</v>
      </c>
      <c r="BB13" s="16" t="s">
        <v>857</v>
      </c>
      <c r="BC13" s="16" t="s">
        <v>883</v>
      </c>
      <c r="BK13" s="19"/>
      <c r="BM13" s="19"/>
      <c r="BX13" s="27">
        <v>122</v>
      </c>
      <c r="BY13" s="27" t="s">
        <v>671</v>
      </c>
      <c r="BZ13" s="27">
        <v>100000</v>
      </c>
      <c r="CA13" s="27">
        <v>100</v>
      </c>
      <c r="CB13" s="36">
        <v>2.3900000000000001E-2</v>
      </c>
      <c r="CC13" s="37">
        <f>Table2[[#This Row],[FWER5]]</f>
        <v>2.39484394843948E-2</v>
      </c>
    </row>
    <row r="14" spans="2:82" x14ac:dyDescent="0.25">
      <c r="G14">
        <v>0.99833269999999996</v>
      </c>
      <c r="H14">
        <v>0.995435393258427</v>
      </c>
      <c r="I14" t="b">
        <f t="shared" si="0"/>
        <v>1</v>
      </c>
      <c r="J14" s="10">
        <f t="shared" si="1"/>
        <v>2.8973067415729581E-3</v>
      </c>
      <c r="K14" t="str">
        <v>No drop</v>
      </c>
      <c r="L14" t="str">
        <v>No drop</v>
      </c>
      <c r="M14" t="str">
        <v>S2</v>
      </c>
      <c r="T14" s="10"/>
      <c r="AT14" s="15" t="s">
        <v>631</v>
      </c>
      <c r="AU14" s="15" t="s">
        <v>622</v>
      </c>
      <c r="AV14" s="16">
        <v>0.88802910000000002</v>
      </c>
      <c r="AW14" s="16">
        <v>0.89600000000000002</v>
      </c>
      <c r="AX14" s="16" t="s">
        <v>842</v>
      </c>
      <c r="AY14" s="17" t="s">
        <v>884</v>
      </c>
      <c r="AZ14" s="16">
        <v>0.30039640000000001</v>
      </c>
      <c r="BA14" s="16">
        <v>0.30599999999999999</v>
      </c>
      <c r="BB14" s="16" t="s">
        <v>858</v>
      </c>
      <c r="BC14" s="16" t="s">
        <v>885</v>
      </c>
      <c r="BX14" s="27">
        <v>123</v>
      </c>
      <c r="BY14" s="27" t="s">
        <v>672</v>
      </c>
      <c r="BZ14" s="27">
        <v>100000</v>
      </c>
      <c r="CA14" s="27">
        <v>100</v>
      </c>
      <c r="CB14" s="36">
        <v>2.2499999999999999E-2</v>
      </c>
      <c r="CC14" s="37">
        <f>Table2[[#This Row],[FWER5]]</f>
        <v>2.23171390283417E-2</v>
      </c>
    </row>
    <row r="15" spans="2:82" x14ac:dyDescent="0.25">
      <c r="G15">
        <v>0.99959100000000001</v>
      </c>
      <c r="H15">
        <v>0.99854716697560197</v>
      </c>
      <c r="I15" t="b">
        <f t="shared" si="0"/>
        <v>1</v>
      </c>
      <c r="J15" s="10">
        <f t="shared" si="1"/>
        <v>1.0438330243980332E-3</v>
      </c>
      <c r="K15" t="str">
        <v>Conservative</v>
      </c>
      <c r="L15" t="str">
        <v>Conservative</v>
      </c>
      <c r="M15" t="str">
        <v>S2</v>
      </c>
      <c r="T15" s="10"/>
      <c r="AT15" s="15" t="s">
        <v>631</v>
      </c>
      <c r="AU15" s="15" t="s">
        <v>621</v>
      </c>
      <c r="AV15" s="16">
        <v>0.90862659999999995</v>
      </c>
      <c r="AW15" s="16">
        <v>0.91500000000000004</v>
      </c>
      <c r="AX15" s="16" t="s">
        <v>843</v>
      </c>
      <c r="AY15" s="17" t="s">
        <v>886</v>
      </c>
      <c r="AZ15" s="16">
        <v>0.30841429999999997</v>
      </c>
      <c r="BA15" s="16">
        <v>0.314</v>
      </c>
      <c r="BB15" s="16" t="s">
        <v>859</v>
      </c>
      <c r="BC15" s="16" t="s">
        <v>887</v>
      </c>
    </row>
    <row r="16" spans="2:82" x14ac:dyDescent="0.25">
      <c r="G16">
        <v>0.99981469999999995</v>
      </c>
      <c r="H16">
        <v>0.999349186483104</v>
      </c>
      <c r="I16" t="b">
        <f t="shared" si="0"/>
        <v>1</v>
      </c>
      <c r="J16" s="10">
        <f t="shared" si="1"/>
        <v>4.6551351689594345E-4</v>
      </c>
      <c r="K16" t="str">
        <v>Normal</v>
      </c>
      <c r="L16" t="str">
        <v>Normal</v>
      </c>
      <c r="M16" t="str">
        <v>S2</v>
      </c>
      <c r="AT16" s="15" t="s">
        <v>631</v>
      </c>
      <c r="AU16" s="15" t="s">
        <v>829</v>
      </c>
      <c r="AV16" s="16">
        <v>0.96100750000000001</v>
      </c>
      <c r="AW16" s="16">
        <v>0.96199999999999997</v>
      </c>
      <c r="AX16" s="16" t="s">
        <v>844</v>
      </c>
      <c r="AY16" s="17" t="s">
        <v>888</v>
      </c>
      <c r="AZ16" s="16">
        <v>4.8173000000000001E-3</v>
      </c>
      <c r="BA16" s="16">
        <v>1E-3</v>
      </c>
      <c r="BB16" s="16" t="s">
        <v>860</v>
      </c>
      <c r="BC16" s="16" t="s">
        <v>889</v>
      </c>
    </row>
    <row r="17" spans="7:55" x14ac:dyDescent="0.25">
      <c r="G17">
        <v>0.99968800000000002</v>
      </c>
      <c r="H17">
        <v>0.99969984992496297</v>
      </c>
      <c r="I17" t="b">
        <f t="shared" si="0"/>
        <v>0</v>
      </c>
      <c r="J17" s="10">
        <f t="shared" si="1"/>
        <v>-1.1849924962947789E-5</v>
      </c>
      <c r="K17" t="str">
        <v>Aggressive</v>
      </c>
      <c r="L17" t="str">
        <v>Aggressive</v>
      </c>
      <c r="M17" t="str">
        <v>S2</v>
      </c>
      <c r="AT17" s="15" t="s">
        <v>632</v>
      </c>
      <c r="AU17" s="15" t="s">
        <v>619</v>
      </c>
      <c r="AV17" s="16">
        <v>0.89116189999999995</v>
      </c>
      <c r="AW17" s="16">
        <v>0.89800000000000002</v>
      </c>
      <c r="AX17" s="16" t="s">
        <v>845</v>
      </c>
      <c r="AY17" s="17" t="s">
        <v>890</v>
      </c>
      <c r="AZ17" s="16">
        <v>0.32309510000000002</v>
      </c>
      <c r="BA17" s="16">
        <v>0.33100000000000002</v>
      </c>
      <c r="BB17" s="16" t="s">
        <v>861</v>
      </c>
      <c r="BC17" s="16" t="s">
        <v>879</v>
      </c>
    </row>
    <row r="18" spans="7:55" x14ac:dyDescent="0.25">
      <c r="G18">
        <v>0.99998370000000003</v>
      </c>
      <c r="H18">
        <v>0.99974991246936395</v>
      </c>
      <c r="I18" t="b">
        <f t="shared" si="0"/>
        <v>1</v>
      </c>
      <c r="J18" s="10">
        <f t="shared" si="1"/>
        <v>2.3378753063607594E-4</v>
      </c>
      <c r="K18" t="str">
        <v>Ultra Aggressive</v>
      </c>
      <c r="L18" t="str">
        <v>Ultra Aggressive</v>
      </c>
      <c r="M18" t="str">
        <v>S2</v>
      </c>
      <c r="AT18" s="15" t="s">
        <v>632</v>
      </c>
      <c r="AU18" s="15" t="s">
        <v>622</v>
      </c>
      <c r="AV18" s="16">
        <v>0.89751320000000001</v>
      </c>
      <c r="AW18" s="16">
        <v>0.90400000000000003</v>
      </c>
      <c r="AX18" s="16" t="s">
        <v>846</v>
      </c>
      <c r="AY18" s="17" t="s">
        <v>891</v>
      </c>
      <c r="AZ18" s="16">
        <v>0.32141730000000002</v>
      </c>
      <c r="BA18" s="16">
        <v>0.32600000000000001</v>
      </c>
      <c r="BB18" s="16" t="s">
        <v>862</v>
      </c>
      <c r="BC18" s="16" t="s">
        <v>892</v>
      </c>
    </row>
    <row r="19" spans="7:55" x14ac:dyDescent="0.25">
      <c r="G19">
        <v>0.99954900000000002</v>
      </c>
      <c r="H19">
        <v>0.99894610057211697</v>
      </c>
      <c r="I19" t="b">
        <f t="shared" si="0"/>
        <v>1</v>
      </c>
      <c r="J19" s="10">
        <f t="shared" si="1"/>
        <v>6.028994278830524E-4</v>
      </c>
      <c r="K19" t="str">
        <v>No drop</v>
      </c>
      <c r="L19" t="str">
        <v>No drop</v>
      </c>
      <c r="M19" t="str">
        <v>S3</v>
      </c>
      <c r="AT19" s="15" t="s">
        <v>632</v>
      </c>
      <c r="AU19" s="15" t="s">
        <v>621</v>
      </c>
      <c r="AV19" s="16">
        <v>0.91482589999999997</v>
      </c>
      <c r="AW19" s="16">
        <v>0.92100000000000004</v>
      </c>
      <c r="AX19" s="16" t="s">
        <v>847</v>
      </c>
      <c r="AY19" s="17" t="s">
        <v>893</v>
      </c>
      <c r="AZ19" s="16">
        <v>0.3024963</v>
      </c>
      <c r="BA19" s="16">
        <v>0.308</v>
      </c>
      <c r="BB19" s="16" t="s">
        <v>863</v>
      </c>
      <c r="BC19" s="16" t="s">
        <v>894</v>
      </c>
    </row>
    <row r="20" spans="7:55" x14ac:dyDescent="0.25">
      <c r="G20">
        <v>0.99980440000000004</v>
      </c>
      <c r="H20">
        <v>0.99964921072412904</v>
      </c>
      <c r="I20" t="b">
        <f t="shared" si="0"/>
        <v>1</v>
      </c>
      <c r="J20" s="10">
        <f t="shared" si="1"/>
        <v>1.5518927587099274E-4</v>
      </c>
      <c r="K20" t="str">
        <v>Conservative</v>
      </c>
      <c r="L20" t="str">
        <v>Conservative</v>
      </c>
      <c r="M20" t="str">
        <v>S3</v>
      </c>
      <c r="T20" s="10"/>
      <c r="AT20" s="15" t="s">
        <v>632</v>
      </c>
      <c r="AU20" s="15" t="s">
        <v>829</v>
      </c>
      <c r="AV20" s="16">
        <v>0.97312569999999998</v>
      </c>
      <c r="AW20" s="16">
        <v>0.97399999999999998</v>
      </c>
      <c r="AX20" s="16" t="s">
        <v>848</v>
      </c>
      <c r="AY20" s="17" t="s">
        <v>895</v>
      </c>
      <c r="AZ20" s="16">
        <v>2.5642E-3</v>
      </c>
      <c r="BA20" s="16">
        <v>1E-3</v>
      </c>
      <c r="BB20" s="16" t="s">
        <v>864</v>
      </c>
      <c r="BC20" s="16" t="s">
        <v>889</v>
      </c>
    </row>
    <row r="21" spans="7:55" x14ac:dyDescent="0.25">
      <c r="G21">
        <v>0.99985380000000001</v>
      </c>
      <c r="H21">
        <v>0.99969953427813096</v>
      </c>
      <c r="I21" t="b">
        <f t="shared" si="0"/>
        <v>1</v>
      </c>
      <c r="J21" s="10">
        <f t="shared" si="1"/>
        <v>1.542657218690513E-4</v>
      </c>
      <c r="K21" t="str">
        <v>Normal</v>
      </c>
      <c r="L21" t="str">
        <v>Normal</v>
      </c>
      <c r="M21" t="str">
        <v>S3</v>
      </c>
      <c r="T21" s="10"/>
    </row>
    <row r="22" spans="7:55" x14ac:dyDescent="0.25">
      <c r="G22">
        <v>0.99986779999999997</v>
      </c>
      <c r="H22">
        <v>0.99984985736449605</v>
      </c>
      <c r="I22" t="b">
        <f t="shared" si="0"/>
        <v>1</v>
      </c>
      <c r="J22" s="10">
        <f t="shared" si="1"/>
        <v>1.7942635503920279E-5</v>
      </c>
      <c r="K22" t="str">
        <v>Aggressive</v>
      </c>
      <c r="L22" t="str">
        <v>Aggressive</v>
      </c>
      <c r="M22" t="str">
        <v>S3</v>
      </c>
      <c r="T22" s="10"/>
    </row>
    <row r="23" spans="7:55" x14ac:dyDescent="0.25">
      <c r="G23">
        <v>0.99999579999999999</v>
      </c>
      <c r="H23">
        <v>1</v>
      </c>
      <c r="I23" t="b">
        <f t="shared" si="0"/>
        <v>0</v>
      </c>
      <c r="J23" s="10">
        <f t="shared" si="1"/>
        <v>-4.2000000000097515E-6</v>
      </c>
      <c r="K23" t="str">
        <v>Ultra Aggressive</v>
      </c>
      <c r="L23" t="str">
        <v>Ultra Aggressive</v>
      </c>
      <c r="M23" t="str">
        <v>S3</v>
      </c>
      <c r="T23" s="10"/>
    </row>
    <row r="24" spans="7:55" x14ac:dyDescent="0.25">
      <c r="G24">
        <v>0.99981880000000001</v>
      </c>
      <c r="H24">
        <v>0.99969849246231202</v>
      </c>
      <c r="I24" t="b">
        <f t="shared" si="0"/>
        <v>1</v>
      </c>
      <c r="J24" s="10">
        <f t="shared" si="1"/>
        <v>1.2030753768799141E-4</v>
      </c>
      <c r="K24" t="str">
        <v>No drop</v>
      </c>
      <c r="L24" t="str">
        <v>No drop</v>
      </c>
      <c r="M24" t="str">
        <v>S4</v>
      </c>
      <c r="O24" s="25" t="s">
        <v>646</v>
      </c>
      <c r="P24" s="25"/>
      <c r="Q24" s="25"/>
      <c r="R24" s="25"/>
      <c r="S24" s="25"/>
      <c r="T24" s="25"/>
    </row>
    <row r="25" spans="7:55" x14ac:dyDescent="0.25">
      <c r="G25">
        <v>0.99982519999999997</v>
      </c>
      <c r="H25">
        <v>0.99964832956543603</v>
      </c>
      <c r="I25" t="b">
        <f t="shared" si="0"/>
        <v>1</v>
      </c>
      <c r="J25" s="10">
        <f t="shared" si="1"/>
        <v>1.7687043456393603E-4</v>
      </c>
      <c r="K25" t="str">
        <v>Conservative</v>
      </c>
      <c r="L25" t="str">
        <v>Conservative</v>
      </c>
      <c r="M25" t="str">
        <v>S4</v>
      </c>
      <c r="O25" s="25"/>
      <c r="P25" s="25"/>
      <c r="Q25" s="25"/>
      <c r="R25" s="25"/>
      <c r="S25" s="25"/>
      <c r="T25" s="25"/>
    </row>
    <row r="26" spans="7:55" x14ac:dyDescent="0.25">
      <c r="G26">
        <v>0.99983429999999995</v>
      </c>
      <c r="H26">
        <v>0.99964827655512001</v>
      </c>
      <c r="I26" t="b">
        <f t="shared" si="0"/>
        <v>1</v>
      </c>
      <c r="J26" s="10">
        <f t="shared" si="1"/>
        <v>1.8602344487994582E-4</v>
      </c>
      <c r="K26" t="str">
        <v>Normal</v>
      </c>
      <c r="L26" t="str">
        <v>Normal</v>
      </c>
      <c r="M26" t="str">
        <v>S4</v>
      </c>
      <c r="O26" s="25"/>
      <c r="P26" s="25"/>
      <c r="Q26" s="25"/>
      <c r="R26" s="25"/>
      <c r="S26" s="25"/>
      <c r="T26" s="25"/>
    </row>
    <row r="27" spans="7:55" x14ac:dyDescent="0.25">
      <c r="G27">
        <v>0.99984450000000002</v>
      </c>
      <c r="H27">
        <v>0.99974886991461598</v>
      </c>
      <c r="I27" t="b">
        <f t="shared" si="0"/>
        <v>1</v>
      </c>
      <c r="J27" s="10">
        <f t="shared" si="1"/>
        <v>9.5630085384046382E-5</v>
      </c>
      <c r="K27" t="str">
        <v>Aggressive</v>
      </c>
      <c r="L27" t="str">
        <v>Aggressive</v>
      </c>
      <c r="M27" t="str">
        <v>S4</v>
      </c>
      <c r="O27" s="25"/>
      <c r="P27" s="25"/>
      <c r="Q27" s="25"/>
      <c r="R27" s="25"/>
      <c r="S27" s="25"/>
      <c r="T27" s="25"/>
    </row>
    <row r="28" spans="7:55" x14ac:dyDescent="0.25">
      <c r="G28">
        <v>0.9999981</v>
      </c>
      <c r="H28">
        <v>1</v>
      </c>
      <c r="I28" t="b">
        <f t="shared" si="0"/>
        <v>0</v>
      </c>
      <c r="J28" s="10">
        <f t="shared" si="1"/>
        <v>-1.8999999999991246E-6</v>
      </c>
      <c r="K28" t="str">
        <v>Ultra Aggressive</v>
      </c>
      <c r="L28" t="str">
        <v>Ultra Aggressive</v>
      </c>
      <c r="M28" t="str">
        <v>S4</v>
      </c>
      <c r="T28" s="10"/>
    </row>
    <row r="29" spans="7:55" x14ac:dyDescent="0.25">
      <c r="G29">
        <v>0.6734521</v>
      </c>
      <c r="H29">
        <v>0.53610000000000002</v>
      </c>
      <c r="I29" t="b">
        <f t="shared" si="0"/>
        <v>1</v>
      </c>
      <c r="J29" s="10">
        <f t="shared" si="1"/>
        <v>0.13735209999999998</v>
      </c>
      <c r="K29" t="str">
        <v>No drop</v>
      </c>
      <c r="L29" t="str">
        <v>No drop</v>
      </c>
      <c r="M29" t="str">
        <v>S1</v>
      </c>
      <c r="T29" s="10"/>
    </row>
    <row r="30" spans="7:55" x14ac:dyDescent="0.25">
      <c r="G30">
        <v>0.7436952</v>
      </c>
      <c r="H30">
        <v>0.62485000000000002</v>
      </c>
      <c r="I30" t="b">
        <f t="shared" si="0"/>
        <v>1</v>
      </c>
      <c r="J30" s="10">
        <f t="shared" si="1"/>
        <v>0.11884519999999998</v>
      </c>
      <c r="K30" t="str">
        <v>Conservative</v>
      </c>
      <c r="L30" t="str">
        <v>Conservative</v>
      </c>
      <c r="M30" t="str">
        <v>S1</v>
      </c>
      <c r="T30" s="10"/>
    </row>
    <row r="31" spans="7:55" x14ac:dyDescent="0.25">
      <c r="G31">
        <v>0.79542880000000005</v>
      </c>
      <c r="H31">
        <v>0.70304999999999995</v>
      </c>
      <c r="I31" t="b">
        <f t="shared" si="0"/>
        <v>1</v>
      </c>
      <c r="J31" s="10">
        <f t="shared" si="1"/>
        <v>9.2378800000000094E-2</v>
      </c>
      <c r="K31" t="str">
        <v>Normal</v>
      </c>
      <c r="L31" t="str">
        <v>Normal</v>
      </c>
      <c r="M31" t="str">
        <v>S1</v>
      </c>
      <c r="T31" s="10"/>
    </row>
    <row r="32" spans="7:55" x14ac:dyDescent="0.25">
      <c r="G32">
        <v>0.83153730000000003</v>
      </c>
      <c r="H32">
        <v>0.79959999999999998</v>
      </c>
      <c r="I32" t="b">
        <f t="shared" si="0"/>
        <v>1</v>
      </c>
      <c r="J32" s="10">
        <f t="shared" si="1"/>
        <v>3.1937300000000057E-2</v>
      </c>
      <c r="K32" t="str">
        <v>Aggressive</v>
      </c>
      <c r="L32" t="str">
        <v>Aggressive</v>
      </c>
      <c r="M32" t="str">
        <v>S1</v>
      </c>
      <c r="T32" s="10"/>
    </row>
    <row r="33" spans="7:31" x14ac:dyDescent="0.25">
      <c r="G33">
        <v>0.87971140000000003</v>
      </c>
      <c r="H33">
        <v>0.84940000000000004</v>
      </c>
      <c r="I33" t="b">
        <f t="shared" si="0"/>
        <v>1</v>
      </c>
      <c r="J33" s="10">
        <f t="shared" si="1"/>
        <v>3.0311399999999988E-2</v>
      </c>
      <c r="K33" t="str">
        <v>Ultra Aggressive</v>
      </c>
      <c r="L33" t="str">
        <v>Ultra Aggressive</v>
      </c>
      <c r="M33" t="str">
        <v>S1</v>
      </c>
      <c r="T33" s="10"/>
    </row>
    <row r="34" spans="7:31" x14ac:dyDescent="0.25">
      <c r="G34">
        <v>0.82602089999999995</v>
      </c>
      <c r="H34">
        <v>0.72585</v>
      </c>
      <c r="I34" t="b">
        <f t="shared" si="0"/>
        <v>1</v>
      </c>
      <c r="J34" s="10">
        <f t="shared" si="1"/>
        <v>0.10017089999999995</v>
      </c>
      <c r="K34" t="str">
        <v>No drop</v>
      </c>
      <c r="L34" t="str">
        <v>No drop</v>
      </c>
      <c r="M34" t="str">
        <v>S2</v>
      </c>
      <c r="T34" s="10"/>
    </row>
    <row r="35" spans="7:31" x14ac:dyDescent="0.25">
      <c r="G35">
        <v>0.86526049999999999</v>
      </c>
      <c r="H35">
        <v>0.78605000000000003</v>
      </c>
      <c r="I35" t="b">
        <f t="shared" si="0"/>
        <v>1</v>
      </c>
      <c r="J35" s="10">
        <f t="shared" si="1"/>
        <v>7.9210499999999961E-2</v>
      </c>
      <c r="K35" t="str">
        <v>Conservative</v>
      </c>
      <c r="L35" t="str">
        <v>Conservative</v>
      </c>
      <c r="M35" t="str">
        <v>S2</v>
      </c>
      <c r="T35" s="10"/>
    </row>
    <row r="36" spans="7:31" x14ac:dyDescent="0.25">
      <c r="G36">
        <v>0.89162629999999998</v>
      </c>
      <c r="H36">
        <v>0.83365</v>
      </c>
      <c r="I36" t="b">
        <f t="shared" si="0"/>
        <v>1</v>
      </c>
      <c r="J36" s="10">
        <f t="shared" si="1"/>
        <v>5.7976299999999981E-2</v>
      </c>
      <c r="K36" t="str">
        <v>Normal</v>
      </c>
      <c r="L36" t="str">
        <v>Normal</v>
      </c>
      <c r="M36" t="str">
        <v>S2</v>
      </c>
      <c r="T36" s="10"/>
      <c r="U36" t="s">
        <v>635</v>
      </c>
    </row>
    <row r="37" spans="7:31" ht="29.25" customHeight="1" x14ac:dyDescent="0.25">
      <c r="G37">
        <v>0.9176107</v>
      </c>
      <c r="H37">
        <v>0.8952</v>
      </c>
      <c r="I37" t="b">
        <f t="shared" si="0"/>
        <v>1</v>
      </c>
      <c r="J37" s="10">
        <f t="shared" si="1"/>
        <v>2.2410700000000006E-2</v>
      </c>
      <c r="K37" t="str">
        <v>Aggressive</v>
      </c>
      <c r="L37" t="str">
        <v>Aggressive</v>
      </c>
      <c r="M37" t="str">
        <v>S2</v>
      </c>
      <c r="T37" s="10"/>
      <c r="U37">
        <v>1</v>
      </c>
      <c r="V37" s="25" t="s">
        <v>636</v>
      </c>
      <c r="W37" s="25"/>
      <c r="X37" s="25"/>
      <c r="Y37" s="25"/>
      <c r="Z37" s="25"/>
      <c r="AA37" s="25"/>
      <c r="AB37" s="25"/>
      <c r="AC37" s="25"/>
      <c r="AD37" s="25"/>
      <c r="AE37" s="25"/>
    </row>
    <row r="38" spans="7:31" ht="29.25" customHeight="1" x14ac:dyDescent="0.25">
      <c r="G38">
        <v>0.95751500000000001</v>
      </c>
      <c r="H38">
        <v>0.94279999999999997</v>
      </c>
      <c r="I38" t="b">
        <f t="shared" si="0"/>
        <v>1</v>
      </c>
      <c r="J38" s="10">
        <f t="shared" si="1"/>
        <v>1.4715000000000034E-2</v>
      </c>
      <c r="K38" t="str">
        <v>Ultra Aggressive</v>
      </c>
      <c r="L38" t="str">
        <v>Ultra Aggressive</v>
      </c>
      <c r="M38" t="str">
        <v>S2</v>
      </c>
      <c r="T38" s="10"/>
      <c r="U38">
        <v>2</v>
      </c>
      <c r="V38" s="25" t="s">
        <v>641</v>
      </c>
      <c r="W38" s="25"/>
      <c r="X38" s="25"/>
      <c r="Y38" s="25"/>
      <c r="Z38" s="25"/>
      <c r="AA38" s="25"/>
      <c r="AB38" s="25"/>
      <c r="AC38" s="25"/>
      <c r="AD38" s="25"/>
      <c r="AE38" s="25"/>
    </row>
    <row r="39" spans="7:31" ht="29.25" customHeight="1" x14ac:dyDescent="0.25">
      <c r="G39">
        <v>0.88735560000000002</v>
      </c>
      <c r="H39">
        <v>0.8216</v>
      </c>
      <c r="I39" t="b">
        <f t="shared" si="0"/>
        <v>1</v>
      </c>
      <c r="J39" s="10">
        <f t="shared" si="1"/>
        <v>6.5755600000000025E-2</v>
      </c>
      <c r="K39" t="str">
        <v>No drop</v>
      </c>
      <c r="L39" t="str">
        <v>No drop</v>
      </c>
      <c r="M39" t="str">
        <v>S3</v>
      </c>
      <c r="T39" s="10"/>
      <c r="U39">
        <v>3</v>
      </c>
      <c r="V39" s="25" t="s">
        <v>637</v>
      </c>
      <c r="W39" s="25"/>
      <c r="X39" s="25"/>
      <c r="Y39" s="25"/>
      <c r="Z39" s="25"/>
      <c r="AA39" s="25"/>
      <c r="AB39" s="25"/>
      <c r="AC39" s="25"/>
      <c r="AD39" s="25"/>
      <c r="AE39" s="25"/>
    </row>
    <row r="40" spans="7:31" ht="29.25" customHeight="1" x14ac:dyDescent="0.25">
      <c r="G40">
        <v>0.90393679999999998</v>
      </c>
      <c r="H40">
        <v>0.84945000000000004</v>
      </c>
      <c r="I40" t="b">
        <f t="shared" si="0"/>
        <v>1</v>
      </c>
      <c r="J40" s="10">
        <f t="shared" si="1"/>
        <v>5.4486799999999946E-2</v>
      </c>
      <c r="K40" t="str">
        <v>Conservative</v>
      </c>
      <c r="L40" t="str">
        <v>Conservative</v>
      </c>
      <c r="M40" t="str">
        <v>S3</v>
      </c>
      <c r="T40" s="10"/>
      <c r="U40">
        <v>4</v>
      </c>
      <c r="V40" s="25" t="s">
        <v>642</v>
      </c>
      <c r="W40" s="25"/>
      <c r="X40" s="25"/>
      <c r="Y40" s="25"/>
      <c r="Z40" s="25"/>
      <c r="AA40" s="25"/>
      <c r="AB40" s="25"/>
      <c r="AC40" s="25"/>
      <c r="AD40" s="25"/>
      <c r="AE40" s="25"/>
    </row>
    <row r="41" spans="7:31" ht="29.25" customHeight="1" x14ac:dyDescent="0.25">
      <c r="G41">
        <v>0.91601270000000001</v>
      </c>
      <c r="H41">
        <v>0.87234999999999996</v>
      </c>
      <c r="I41" t="b">
        <f t="shared" si="0"/>
        <v>1</v>
      </c>
      <c r="J41" s="10">
        <f t="shared" si="1"/>
        <v>4.3662700000000054E-2</v>
      </c>
      <c r="K41" t="str">
        <v>Normal</v>
      </c>
      <c r="L41" t="str">
        <v>Normal</v>
      </c>
      <c r="M41" t="str">
        <v>S3</v>
      </c>
      <c r="T41" s="10"/>
      <c r="U41">
        <v>5</v>
      </c>
      <c r="V41" s="25" t="s">
        <v>643</v>
      </c>
      <c r="W41" s="25"/>
      <c r="X41" s="25"/>
      <c r="Y41" s="25"/>
      <c r="Z41" s="25"/>
      <c r="AA41" s="25"/>
      <c r="AB41" s="25"/>
      <c r="AC41" s="25"/>
      <c r="AD41" s="25"/>
      <c r="AE41" s="25"/>
    </row>
    <row r="42" spans="7:31" x14ac:dyDescent="0.25">
      <c r="G42">
        <v>0.93578229999999996</v>
      </c>
      <c r="H42">
        <v>0.91034999999999999</v>
      </c>
      <c r="I42" t="b">
        <f t="shared" si="0"/>
        <v>1</v>
      </c>
      <c r="J42" s="10">
        <f t="shared" si="1"/>
        <v>2.5432299999999963E-2</v>
      </c>
      <c r="K42" t="str">
        <v>Aggressive</v>
      </c>
      <c r="L42" t="str">
        <v>Aggressive</v>
      </c>
      <c r="M42" t="str">
        <v>S3</v>
      </c>
      <c r="T42" s="10"/>
    </row>
    <row r="43" spans="7:31" x14ac:dyDescent="0.25">
      <c r="G43">
        <v>0.97657439999999995</v>
      </c>
      <c r="H43">
        <v>0.96579999999999999</v>
      </c>
      <c r="I43" t="b">
        <f t="shared" si="0"/>
        <v>1</v>
      </c>
      <c r="J43" s="10">
        <f t="shared" si="1"/>
        <v>1.0774399999999962E-2</v>
      </c>
      <c r="K43" t="str">
        <v>Ultra Aggressive</v>
      </c>
      <c r="L43" t="str">
        <v>Ultra Aggressive</v>
      </c>
      <c r="M43" t="str">
        <v>S3</v>
      </c>
      <c r="T43" s="10"/>
    </row>
    <row r="44" spans="7:31" x14ac:dyDescent="0.25">
      <c r="G44">
        <v>0.91933719999999997</v>
      </c>
      <c r="H44">
        <v>0.88034999999999997</v>
      </c>
      <c r="I44" t="b">
        <f t="shared" si="0"/>
        <v>1</v>
      </c>
      <c r="J44" s="10">
        <f t="shared" si="1"/>
        <v>3.89872E-2</v>
      </c>
      <c r="K44" t="str">
        <v>No drop</v>
      </c>
      <c r="L44" t="str">
        <v>No drop</v>
      </c>
      <c r="M44" t="str">
        <v>S4</v>
      </c>
      <c r="T44" s="10"/>
    </row>
    <row r="45" spans="7:31" x14ac:dyDescent="0.25">
      <c r="G45">
        <v>0.91982929999999996</v>
      </c>
      <c r="H45">
        <v>0.88160000000000005</v>
      </c>
      <c r="I45" t="b">
        <f t="shared" si="0"/>
        <v>1</v>
      </c>
      <c r="J45" s="10">
        <f t="shared" si="1"/>
        <v>3.8229299999999911E-2</v>
      </c>
      <c r="K45" t="str">
        <v>Conservative</v>
      </c>
      <c r="L45" t="str">
        <v>Conservative</v>
      </c>
      <c r="M45" t="str">
        <v>S4</v>
      </c>
      <c r="T45" s="10"/>
    </row>
    <row r="46" spans="7:31" x14ac:dyDescent="0.25">
      <c r="G46">
        <v>0.92400499999999997</v>
      </c>
      <c r="H46">
        <v>0.88660000000000005</v>
      </c>
      <c r="I46" t="b">
        <f t="shared" si="0"/>
        <v>1</v>
      </c>
      <c r="J46" s="10">
        <f t="shared" si="1"/>
        <v>3.7404999999999911E-2</v>
      </c>
      <c r="K46" t="str">
        <v>Normal</v>
      </c>
      <c r="L46" t="str">
        <v>Normal</v>
      </c>
      <c r="M46" t="str">
        <v>S4</v>
      </c>
      <c r="T46" s="10"/>
    </row>
    <row r="47" spans="7:31" x14ac:dyDescent="0.25">
      <c r="G47">
        <v>0.94027720000000004</v>
      </c>
      <c r="H47">
        <v>0.91300000000000003</v>
      </c>
      <c r="I47" t="b">
        <f t="shared" si="0"/>
        <v>1</v>
      </c>
      <c r="J47" s="10">
        <f t="shared" si="1"/>
        <v>2.7277200000000001E-2</v>
      </c>
      <c r="K47" t="str">
        <v>Aggressive</v>
      </c>
      <c r="L47" t="str">
        <v>Aggressive</v>
      </c>
      <c r="M47" t="str">
        <v>S4</v>
      </c>
      <c r="T47" s="10"/>
    </row>
    <row r="48" spans="7:31" x14ac:dyDescent="0.25">
      <c r="G48">
        <v>0.98453000000000002</v>
      </c>
      <c r="H48">
        <v>0.97735000000000005</v>
      </c>
      <c r="I48" t="b">
        <f t="shared" si="0"/>
        <v>1</v>
      </c>
      <c r="J48" s="10">
        <f t="shared" si="1"/>
        <v>7.1799999999999642E-3</v>
      </c>
      <c r="K48" t="str">
        <v>Ultra Aggressive</v>
      </c>
      <c r="L48" t="str">
        <v>Ultra Aggressive</v>
      </c>
      <c r="M48" t="str">
        <v>S4</v>
      </c>
      <c r="T48" s="10"/>
    </row>
    <row r="49" spans="7:13" x14ac:dyDescent="0.25">
      <c r="G49">
        <v>0</v>
      </c>
      <c r="H49">
        <v>0</v>
      </c>
      <c r="K49" t="str">
        <v>Conservative</v>
      </c>
      <c r="L49">
        <v>0</v>
      </c>
      <c r="M49" t="str">
        <v>S0</v>
      </c>
    </row>
    <row r="50" spans="7:13" x14ac:dyDescent="0.25">
      <c r="G50">
        <v>0</v>
      </c>
      <c r="H50">
        <v>0</v>
      </c>
      <c r="K50" t="str">
        <v>Normal</v>
      </c>
      <c r="L50">
        <v>0</v>
      </c>
      <c r="M50" t="str">
        <v>S0</v>
      </c>
    </row>
    <row r="51" spans="7:13" x14ac:dyDescent="0.25">
      <c r="G51">
        <v>0</v>
      </c>
      <c r="H51">
        <v>0</v>
      </c>
      <c r="K51" t="str">
        <v>Aggressive</v>
      </c>
      <c r="L51">
        <v>0</v>
      </c>
      <c r="M51" t="str">
        <v>S0</v>
      </c>
    </row>
    <row r="52" spans="7:13" x14ac:dyDescent="0.25">
      <c r="G52">
        <v>0</v>
      </c>
      <c r="H52">
        <v>0</v>
      </c>
      <c r="K52" t="str">
        <v>Ultra Aggressive</v>
      </c>
      <c r="L52">
        <v>0</v>
      </c>
      <c r="M52" t="str">
        <v>S0</v>
      </c>
    </row>
    <row r="53" spans="7:13" x14ac:dyDescent="0.25">
      <c r="G53">
        <v>0</v>
      </c>
      <c r="H53">
        <v>0</v>
      </c>
      <c r="K53" t="str">
        <v>Conservative</v>
      </c>
      <c r="L53">
        <v>0</v>
      </c>
      <c r="M53" t="str">
        <v>S0</v>
      </c>
    </row>
    <row r="54" spans="7:13" x14ac:dyDescent="0.25">
      <c r="G54">
        <v>0</v>
      </c>
      <c r="H54">
        <v>0</v>
      </c>
      <c r="K54" t="str">
        <v>Normal</v>
      </c>
      <c r="L54">
        <v>0</v>
      </c>
      <c r="M54" t="str">
        <v>S0</v>
      </c>
    </row>
    <row r="55" spans="7:13" x14ac:dyDescent="0.25">
      <c r="G55">
        <v>0</v>
      </c>
      <c r="H55">
        <v>0</v>
      </c>
      <c r="K55" t="str">
        <v>Aggressive</v>
      </c>
      <c r="L55">
        <v>0</v>
      </c>
      <c r="M55" t="str">
        <v>S0</v>
      </c>
    </row>
    <row r="56" spans="7:13" x14ac:dyDescent="0.25">
      <c r="G56">
        <v>0</v>
      </c>
      <c r="H56">
        <v>0</v>
      </c>
      <c r="K56" t="str">
        <v>Ultra Aggressive</v>
      </c>
      <c r="L56">
        <v>0</v>
      </c>
      <c r="M56" t="str">
        <v>S0</v>
      </c>
    </row>
    <row r="57" spans="7:13" x14ac:dyDescent="0.25">
      <c r="G57">
        <v>0</v>
      </c>
      <c r="H57">
        <v>0</v>
      </c>
      <c r="K57" t="str">
        <v>Conservative</v>
      </c>
      <c r="L57">
        <v>0</v>
      </c>
      <c r="M57" t="str">
        <v>S0</v>
      </c>
    </row>
    <row r="58" spans="7:13" x14ac:dyDescent="0.25">
      <c r="G58">
        <v>0</v>
      </c>
      <c r="H58">
        <v>0</v>
      </c>
      <c r="K58" t="str">
        <v>Normal</v>
      </c>
      <c r="L58">
        <v>0</v>
      </c>
      <c r="M58" t="str">
        <v>S0</v>
      </c>
    </row>
    <row r="59" spans="7:13" x14ac:dyDescent="0.25">
      <c r="G59">
        <v>0</v>
      </c>
      <c r="H59">
        <v>0</v>
      </c>
      <c r="K59" t="str">
        <v>Aggressive</v>
      </c>
      <c r="L59">
        <v>0</v>
      </c>
      <c r="M59" t="str">
        <v>S0</v>
      </c>
    </row>
    <row r="60" spans="7:13" x14ac:dyDescent="0.25">
      <c r="G60">
        <v>0</v>
      </c>
      <c r="H60">
        <v>0</v>
      </c>
      <c r="K60" t="str">
        <v>Ultra Aggressive</v>
      </c>
      <c r="L60">
        <v>0</v>
      </c>
      <c r="M60" t="str">
        <v>S0</v>
      </c>
    </row>
    <row r="61" spans="7:13" x14ac:dyDescent="0.25">
      <c r="G61">
        <v>0</v>
      </c>
      <c r="K61" t="str">
        <v>Conservative</v>
      </c>
      <c r="M61" t="str">
        <v>S0</v>
      </c>
    </row>
    <row r="62" spans="7:13" x14ac:dyDescent="0.25">
      <c r="G62">
        <v>0</v>
      </c>
      <c r="K62" t="str">
        <v>Normal</v>
      </c>
      <c r="M62" t="str">
        <v>S0</v>
      </c>
    </row>
    <row r="63" spans="7:13" x14ac:dyDescent="0.25">
      <c r="G63">
        <v>0</v>
      </c>
      <c r="K63" t="str">
        <v>Aggressive</v>
      </c>
      <c r="M63" t="str">
        <v>S0</v>
      </c>
    </row>
    <row r="64" spans="7:13" x14ac:dyDescent="0.25">
      <c r="G64">
        <v>0</v>
      </c>
      <c r="K64" t="str">
        <v>Ultra Aggressive</v>
      </c>
      <c r="M64" t="str">
        <v>S0</v>
      </c>
    </row>
    <row r="65" spans="7:13" x14ac:dyDescent="0.25">
      <c r="G65">
        <v>0.69408360000000002</v>
      </c>
      <c r="K65" t="str">
        <v>Conservative</v>
      </c>
      <c r="M65" t="str">
        <v>S1</v>
      </c>
    </row>
    <row r="66" spans="7:13" x14ac:dyDescent="0.25">
      <c r="G66">
        <v>0.76021890000000003</v>
      </c>
      <c r="K66" t="str">
        <v>Normal</v>
      </c>
      <c r="M66" t="str">
        <v>S1</v>
      </c>
    </row>
    <row r="67" spans="7:13" x14ac:dyDescent="0.25">
      <c r="G67">
        <v>0.79131839999999998</v>
      </c>
      <c r="K67" t="str">
        <v>Aggressive</v>
      </c>
      <c r="M67" t="str">
        <v>S1</v>
      </c>
    </row>
    <row r="68" spans="7:13" x14ac:dyDescent="0.25">
      <c r="G68">
        <v>0.84037209999999996</v>
      </c>
      <c r="K68" t="str">
        <v>Ultra Aggressive</v>
      </c>
      <c r="M68" t="str">
        <v>S1</v>
      </c>
    </row>
    <row r="69" spans="7:13" x14ac:dyDescent="0.25">
      <c r="G69">
        <v>0.82548650000000001</v>
      </c>
      <c r="K69" t="str">
        <v>Conservative</v>
      </c>
      <c r="M69" t="str">
        <v>S2</v>
      </c>
    </row>
    <row r="70" spans="7:13" x14ac:dyDescent="0.25">
      <c r="G70">
        <v>0.86058590000000001</v>
      </c>
      <c r="K70" t="str">
        <v>Normal</v>
      </c>
      <c r="M70" t="str">
        <v>S2</v>
      </c>
    </row>
    <row r="71" spans="7:13" x14ac:dyDescent="0.25">
      <c r="G71">
        <v>0.88578849999999998</v>
      </c>
      <c r="K71" t="str">
        <v>Aggressive</v>
      </c>
      <c r="M71" t="str">
        <v>S2</v>
      </c>
    </row>
    <row r="72" spans="7:13" x14ac:dyDescent="0.25">
      <c r="G72">
        <v>0.93425170000000002</v>
      </c>
      <c r="K72" t="str">
        <v>Ultra Aggressive</v>
      </c>
      <c r="M72" t="str">
        <v>S2</v>
      </c>
    </row>
    <row r="73" spans="7:13" x14ac:dyDescent="0.25">
      <c r="G73">
        <v>0.87087590000000004</v>
      </c>
      <c r="K73" t="str">
        <v>Conservative</v>
      </c>
      <c r="M73" t="str">
        <v>S3</v>
      </c>
    </row>
    <row r="74" spans="7:13" x14ac:dyDescent="0.25">
      <c r="G74">
        <v>0.88802910000000002</v>
      </c>
      <c r="K74" t="str">
        <v>Normal</v>
      </c>
      <c r="M74" t="str">
        <v>S3</v>
      </c>
    </row>
    <row r="75" spans="7:13" x14ac:dyDescent="0.25">
      <c r="G75">
        <v>0.90862659999999995</v>
      </c>
      <c r="K75" t="str">
        <v>Aggressive</v>
      </c>
      <c r="M75" t="str">
        <v>S3</v>
      </c>
    </row>
    <row r="76" spans="7:13" x14ac:dyDescent="0.25">
      <c r="G76">
        <v>0.96100750000000001</v>
      </c>
      <c r="K76" t="str">
        <v>Ultra Aggressive</v>
      </c>
      <c r="M76" t="str">
        <v>S3</v>
      </c>
    </row>
    <row r="77" spans="7:13" x14ac:dyDescent="0.25">
      <c r="G77">
        <v>0.89116189999999995</v>
      </c>
      <c r="K77" t="str">
        <v>Conservative</v>
      </c>
      <c r="M77" t="str">
        <v>S4</v>
      </c>
    </row>
    <row r="78" spans="7:13" x14ac:dyDescent="0.25">
      <c r="G78">
        <v>0.89751320000000001</v>
      </c>
      <c r="K78" t="str">
        <v>Normal</v>
      </c>
      <c r="M78" t="str">
        <v>S4</v>
      </c>
    </row>
    <row r="79" spans="7:13" x14ac:dyDescent="0.25">
      <c r="G79">
        <v>0.91482589999999997</v>
      </c>
      <c r="K79" t="str">
        <v>Aggressive</v>
      </c>
      <c r="M79" t="str">
        <v>S4</v>
      </c>
    </row>
    <row r="80" spans="7:13" x14ac:dyDescent="0.25">
      <c r="G80">
        <v>0.97312569999999998</v>
      </c>
      <c r="K80" t="str">
        <v>Ultra Aggressive</v>
      </c>
      <c r="M80" t="str">
        <v>S4</v>
      </c>
    </row>
    <row r="81" spans="7:13" x14ac:dyDescent="0.25">
      <c r="G81">
        <v>0</v>
      </c>
      <c r="K81" t="str">
        <v>Conservative</v>
      </c>
      <c r="M81" t="str">
        <v>S0</v>
      </c>
    </row>
    <row r="82" spans="7:13" x14ac:dyDescent="0.25">
      <c r="G82">
        <v>0</v>
      </c>
      <c r="K82" t="str">
        <v>Normal</v>
      </c>
      <c r="M82" t="str">
        <v>S0</v>
      </c>
    </row>
    <row r="83" spans="7:13" x14ac:dyDescent="0.25">
      <c r="G83">
        <v>0</v>
      </c>
      <c r="K83" t="str">
        <v>Aggressive</v>
      </c>
      <c r="M83" t="str">
        <v>S0</v>
      </c>
    </row>
    <row r="84" spans="7:13" x14ac:dyDescent="0.25">
      <c r="G84">
        <v>0</v>
      </c>
      <c r="K84" t="str">
        <v>Ultra Aggressive</v>
      </c>
      <c r="M84" t="str">
        <v>S0</v>
      </c>
    </row>
    <row r="85" spans="7:13" x14ac:dyDescent="0.25">
      <c r="G85">
        <v>0.69445109999999999</v>
      </c>
      <c r="K85" t="str">
        <v>Conservative</v>
      </c>
      <c r="M85" t="str">
        <v>S1</v>
      </c>
    </row>
    <row r="86" spans="7:13" x14ac:dyDescent="0.25">
      <c r="G86">
        <v>0.93373099999999998</v>
      </c>
      <c r="K86" t="str">
        <v>Ultra Aggressive</v>
      </c>
      <c r="M86" t="str">
        <v>S2</v>
      </c>
    </row>
    <row r="87" spans="7:13" x14ac:dyDescent="0.25">
      <c r="G87">
        <v>0.88849180000000005</v>
      </c>
      <c r="K87" t="str">
        <v>Normal</v>
      </c>
      <c r="M87" t="str">
        <v>S3</v>
      </c>
    </row>
    <row r="88" spans="7:13" x14ac:dyDescent="0.25">
      <c r="G88">
        <v>0.91510550000000002</v>
      </c>
      <c r="K88" t="str">
        <v>Aggressive</v>
      </c>
      <c r="M88" t="str">
        <v>S4</v>
      </c>
    </row>
    <row r="89" spans="7:13" x14ac:dyDescent="0.25">
      <c r="G89">
        <v>0.999977701412753</v>
      </c>
      <c r="K89">
        <v>0</v>
      </c>
      <c r="M89">
        <v>0</v>
      </c>
    </row>
    <row r="90" spans="7:13" x14ac:dyDescent="0.25">
      <c r="G90">
        <v>0.99999501161090598</v>
      </c>
      <c r="K90">
        <v>0</v>
      </c>
      <c r="M90">
        <v>0</v>
      </c>
    </row>
    <row r="91" spans="7:13" x14ac:dyDescent="0.25">
      <c r="G91">
        <v>0.99999779998166705</v>
      </c>
      <c r="K91">
        <v>0</v>
      </c>
      <c r="M91">
        <v>0</v>
      </c>
    </row>
    <row r="92" spans="7:13" x14ac:dyDescent="0.25">
      <c r="G92">
        <v>0.95054573858705105</v>
      </c>
      <c r="K92">
        <v>0</v>
      </c>
      <c r="M92">
        <v>0</v>
      </c>
    </row>
    <row r="93" spans="7:13" x14ac:dyDescent="0.25">
      <c r="G93">
        <v>0.97116637157335595</v>
      </c>
      <c r="K93">
        <v>0</v>
      </c>
      <c r="M93">
        <v>0</v>
      </c>
    </row>
    <row r="94" spans="7:13" x14ac:dyDescent="0.25">
      <c r="G94">
        <v>0.98016961717901196</v>
      </c>
      <c r="K94">
        <v>0</v>
      </c>
      <c r="M94">
        <v>0</v>
      </c>
    </row>
    <row r="95" spans="7:13" x14ac:dyDescent="0.25">
      <c r="G95">
        <v>0.95276985548787796</v>
      </c>
      <c r="K95">
        <v>0</v>
      </c>
      <c r="M95">
        <v>0</v>
      </c>
    </row>
    <row r="96" spans="7:13" x14ac:dyDescent="0.25">
      <c r="G96">
        <v>0.96633642071237602</v>
      </c>
      <c r="K96">
        <v>0</v>
      </c>
      <c r="M96">
        <v>0</v>
      </c>
    </row>
    <row r="97" spans="7:13" x14ac:dyDescent="0.25">
      <c r="G97">
        <v>0</v>
      </c>
      <c r="K97">
        <v>0</v>
      </c>
      <c r="M97">
        <v>0</v>
      </c>
    </row>
    <row r="98" spans="7:13" x14ac:dyDescent="0.25">
      <c r="G98">
        <v>0</v>
      </c>
      <c r="K98">
        <v>0</v>
      </c>
      <c r="M98">
        <v>0</v>
      </c>
    </row>
    <row r="99" spans="7:13" x14ac:dyDescent="0.25">
      <c r="G99">
        <v>0</v>
      </c>
      <c r="K99">
        <v>0</v>
      </c>
      <c r="M99">
        <v>0</v>
      </c>
    </row>
    <row r="100" spans="7:13" x14ac:dyDescent="0.25">
      <c r="G100">
        <v>0</v>
      </c>
      <c r="K100">
        <v>0</v>
      </c>
      <c r="M100">
        <v>0</v>
      </c>
    </row>
    <row r="101" spans="7:13" x14ac:dyDescent="0.25">
      <c r="G101">
        <v>0.69512701524182896</v>
      </c>
      <c r="K101">
        <v>0</v>
      </c>
      <c r="M101">
        <v>0</v>
      </c>
    </row>
    <row r="102" spans="7:13" x14ac:dyDescent="0.25">
      <c r="G102">
        <v>0.92489788956608798</v>
      </c>
      <c r="K102">
        <v>0</v>
      </c>
      <c r="M102">
        <v>0</v>
      </c>
    </row>
    <row r="103" spans="7:13" x14ac:dyDescent="0.25">
      <c r="G103">
        <v>0.88846698160418003</v>
      </c>
      <c r="K103">
        <v>0</v>
      </c>
      <c r="M103">
        <v>0</v>
      </c>
    </row>
    <row r="104" spans="7:13" x14ac:dyDescent="0.25">
      <c r="G104">
        <v>0.91454217183433895</v>
      </c>
      <c r="K104">
        <v>0</v>
      </c>
      <c r="M104">
        <v>0</v>
      </c>
    </row>
  </sheetData>
  <sortState xmlns:xlrd2="http://schemas.microsoft.com/office/spreadsheetml/2017/richdata2" ref="O4:X48">
    <sortCondition ref="X4:X48"/>
    <sortCondition descending="1" ref="T4:T48"/>
  </sortState>
  <mergeCells count="18">
    <mergeCell ref="BM3:BN3"/>
    <mergeCell ref="BK3:BL3"/>
    <mergeCell ref="BI3:BJ3"/>
    <mergeCell ref="BG3:BH3"/>
    <mergeCell ref="BE3:BE4"/>
    <mergeCell ref="BF3:BF4"/>
    <mergeCell ref="AV3:AW3"/>
    <mergeCell ref="AX3:AY3"/>
    <mergeCell ref="AZ3:BA3"/>
    <mergeCell ref="BB3:BC3"/>
    <mergeCell ref="AT3:AT4"/>
    <mergeCell ref="AU3:AU4"/>
    <mergeCell ref="O24:T27"/>
    <mergeCell ref="V38:AE38"/>
    <mergeCell ref="V39:AE39"/>
    <mergeCell ref="V40:AE40"/>
    <mergeCell ref="V41:AE41"/>
    <mergeCell ref="V37:AE37"/>
  </mergeCells>
  <conditionalFormatting sqref="I4:I48">
    <cfRule type="cellIs" dxfId="0" priority="1" operator="equal">
      <formula>FALSE</formula>
    </cfRule>
  </conditionalFormatting>
  <pageMargins left="0.7" right="0.7" top="0.75" bottom="0.75" header="0.3" footer="0.3"/>
  <pageSetup orientation="portrait" r:id="rId2"/>
  <drawing r:id="rId3"/>
  <legacyDrawing r:id="rId4"/>
  <tableParts count="1">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010AB-6375-4216-A3BB-213E7F868183}">
  <dimension ref="A1:AL17"/>
  <sheetViews>
    <sheetView workbookViewId="0"/>
  </sheetViews>
  <sheetFormatPr defaultRowHeight="15" x14ac:dyDescent="0.25"/>
  <cols>
    <col min="1" max="1" width="8.28515625" bestFit="1" customWidth="1"/>
    <col min="2" max="2" width="48" bestFit="1" customWidth="1"/>
    <col min="3" max="3" width="7.5703125" bestFit="1" customWidth="1"/>
    <col min="4" max="4" width="11" bestFit="1" customWidth="1"/>
    <col min="5" max="5" width="6.140625" bestFit="1" customWidth="1"/>
    <col min="6" max="6" width="11.85546875" bestFit="1" customWidth="1"/>
    <col min="7" max="7" width="15" bestFit="1" customWidth="1"/>
    <col min="8" max="8" width="10.7109375" bestFit="1" customWidth="1"/>
    <col min="9" max="9" width="16.140625" bestFit="1" customWidth="1"/>
    <col min="10" max="10" width="6.7109375" bestFit="1" customWidth="1"/>
    <col min="11" max="11" width="5.28515625" bestFit="1" customWidth="1"/>
    <col min="12" max="12" width="35.5703125" bestFit="1" customWidth="1"/>
    <col min="13" max="13" width="37.28515625" bestFit="1" customWidth="1"/>
    <col min="14" max="14" width="30.85546875" bestFit="1" customWidth="1"/>
    <col min="15" max="15" width="43.140625" bestFit="1" customWidth="1"/>
    <col min="16" max="16" width="15.42578125" bestFit="1" customWidth="1"/>
    <col min="17" max="17" width="27.7109375" bestFit="1" customWidth="1"/>
    <col min="18" max="18" width="28" bestFit="1" customWidth="1"/>
    <col min="19" max="19" width="255.7109375" bestFit="1" customWidth="1"/>
    <col min="20" max="20" width="16.5703125" bestFit="1" customWidth="1"/>
    <col min="21" max="21" width="8.7109375" bestFit="1" customWidth="1"/>
    <col min="22" max="22" width="12.5703125" bestFit="1" customWidth="1"/>
    <col min="23" max="23" width="15.5703125" bestFit="1" customWidth="1"/>
    <col min="24" max="24" width="9" bestFit="1" customWidth="1"/>
    <col min="25" max="25" width="13.28515625" bestFit="1" customWidth="1"/>
    <col min="26" max="26" width="14.140625" bestFit="1" customWidth="1"/>
    <col min="27" max="27" width="13.85546875" bestFit="1" customWidth="1"/>
    <col min="28" max="28" width="16.7109375" bestFit="1" customWidth="1"/>
    <col min="29" max="29" width="17.28515625" bestFit="1" customWidth="1"/>
    <col min="30" max="30" width="18.42578125" bestFit="1" customWidth="1"/>
    <col min="31" max="31" width="10.85546875" bestFit="1" customWidth="1"/>
    <col min="32" max="32" width="11.7109375" bestFit="1" customWidth="1"/>
    <col min="33" max="33" width="18.5703125" bestFit="1" customWidth="1"/>
    <col min="34" max="34" width="8.42578125" bestFit="1" customWidth="1"/>
    <col min="35" max="35" width="12.5703125" bestFit="1" customWidth="1"/>
    <col min="36" max="36" width="10.85546875" bestFit="1" customWidth="1"/>
    <col min="37" max="37" width="7.85546875" bestFit="1" customWidth="1"/>
    <col min="38" max="38" width="6.5703125" bestFit="1"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5">
      <c r="A2">
        <v>124</v>
      </c>
      <c r="B2" t="s">
        <v>706</v>
      </c>
      <c r="C2" t="s">
        <v>41</v>
      </c>
      <c r="D2">
        <v>500</v>
      </c>
      <c r="E2">
        <v>2.5000000000000001E-2</v>
      </c>
      <c r="F2" t="s">
        <v>654</v>
      </c>
      <c r="G2" t="s">
        <v>42</v>
      </c>
      <c r="H2" t="s">
        <v>64</v>
      </c>
      <c r="I2" t="s">
        <v>44</v>
      </c>
      <c r="J2">
        <v>5</v>
      </c>
      <c r="K2">
        <v>2</v>
      </c>
      <c r="L2" t="s">
        <v>650</v>
      </c>
      <c r="M2" t="s">
        <v>710</v>
      </c>
      <c r="N2" t="s">
        <v>651</v>
      </c>
      <c r="O2" t="s">
        <v>711</v>
      </c>
      <c r="P2" t="s">
        <v>122</v>
      </c>
      <c r="Q2" t="s">
        <v>123</v>
      </c>
      <c r="R2" t="s">
        <v>124</v>
      </c>
      <c r="S2" t="s">
        <v>125</v>
      </c>
      <c r="T2" t="s">
        <v>51</v>
      </c>
      <c r="U2" t="s">
        <v>126</v>
      </c>
      <c r="V2" t="s">
        <v>53</v>
      </c>
      <c r="W2" t="b">
        <v>1</v>
      </c>
      <c r="X2" t="b">
        <v>1</v>
      </c>
      <c r="Y2">
        <v>1</v>
      </c>
      <c r="Z2">
        <v>1</v>
      </c>
      <c r="AA2" t="s">
        <v>56</v>
      </c>
      <c r="AB2" t="s">
        <v>57</v>
      </c>
      <c r="AC2">
        <v>0.75</v>
      </c>
      <c r="AD2" t="b">
        <v>1</v>
      </c>
      <c r="AE2" t="s">
        <v>23</v>
      </c>
      <c r="AF2">
        <v>20000</v>
      </c>
      <c r="AG2">
        <v>500</v>
      </c>
      <c r="AH2" t="s">
        <v>121</v>
      </c>
      <c r="AI2" t="b">
        <v>0</v>
      </c>
      <c r="AJ2" t="b">
        <v>0</v>
      </c>
      <c r="AK2" t="b">
        <v>1</v>
      </c>
      <c r="AL2" t="b">
        <v>0</v>
      </c>
    </row>
    <row r="3" spans="1:38" x14ac:dyDescent="0.25">
      <c r="A3">
        <v>125</v>
      </c>
      <c r="B3" t="s">
        <v>707</v>
      </c>
      <c r="C3" t="s">
        <v>41</v>
      </c>
      <c r="D3">
        <v>500</v>
      </c>
      <c r="E3">
        <v>2.5000000000000001E-2</v>
      </c>
      <c r="F3" t="s">
        <v>654</v>
      </c>
      <c r="G3" t="s">
        <v>42</v>
      </c>
      <c r="H3" t="s">
        <v>64</v>
      </c>
      <c r="I3" t="s">
        <v>44</v>
      </c>
      <c r="J3">
        <v>5</v>
      </c>
      <c r="K3">
        <v>2</v>
      </c>
      <c r="L3" t="s">
        <v>650</v>
      </c>
      <c r="M3" t="s">
        <v>710</v>
      </c>
      <c r="N3" t="s">
        <v>651</v>
      </c>
      <c r="O3" t="s">
        <v>711</v>
      </c>
      <c r="P3" t="s">
        <v>122</v>
      </c>
      <c r="Q3" t="s">
        <v>123</v>
      </c>
      <c r="R3" t="s">
        <v>124</v>
      </c>
      <c r="S3" t="s">
        <v>125</v>
      </c>
      <c r="T3" t="s">
        <v>51</v>
      </c>
      <c r="U3" t="s">
        <v>126</v>
      </c>
      <c r="V3" t="s">
        <v>53</v>
      </c>
      <c r="W3" t="b">
        <v>1</v>
      </c>
      <c r="X3" t="b">
        <v>1</v>
      </c>
      <c r="Y3">
        <v>1</v>
      </c>
      <c r="Z3">
        <v>1</v>
      </c>
      <c r="AA3" t="s">
        <v>56</v>
      </c>
      <c r="AB3" t="s">
        <v>57</v>
      </c>
      <c r="AC3">
        <v>0.5</v>
      </c>
      <c r="AD3" t="b">
        <v>1</v>
      </c>
      <c r="AE3" t="s">
        <v>23</v>
      </c>
      <c r="AF3">
        <v>20000</v>
      </c>
      <c r="AG3">
        <v>500</v>
      </c>
      <c r="AH3" t="s">
        <v>121</v>
      </c>
      <c r="AI3" t="b">
        <v>0</v>
      </c>
      <c r="AJ3" t="b">
        <v>0</v>
      </c>
      <c r="AK3" t="b">
        <v>1</v>
      </c>
      <c r="AL3" t="b">
        <v>0</v>
      </c>
    </row>
    <row r="4" spans="1:38" x14ac:dyDescent="0.25">
      <c r="A4">
        <v>126</v>
      </c>
      <c r="B4" t="s">
        <v>708</v>
      </c>
      <c r="C4" t="s">
        <v>41</v>
      </c>
      <c r="D4">
        <v>500</v>
      </c>
      <c r="E4">
        <v>2.5000000000000001E-2</v>
      </c>
      <c r="F4" t="s">
        <v>654</v>
      </c>
      <c r="G4" t="s">
        <v>42</v>
      </c>
      <c r="H4" t="s">
        <v>64</v>
      </c>
      <c r="I4" t="s">
        <v>44</v>
      </c>
      <c r="J4">
        <v>5</v>
      </c>
      <c r="K4">
        <v>2</v>
      </c>
      <c r="L4" t="s">
        <v>650</v>
      </c>
      <c r="M4" t="s">
        <v>710</v>
      </c>
      <c r="N4" t="s">
        <v>651</v>
      </c>
      <c r="O4" t="s">
        <v>711</v>
      </c>
      <c r="P4" t="s">
        <v>122</v>
      </c>
      <c r="Q4" t="s">
        <v>123</v>
      </c>
      <c r="R4" t="s">
        <v>124</v>
      </c>
      <c r="S4" t="s">
        <v>125</v>
      </c>
      <c r="T4" t="s">
        <v>51</v>
      </c>
      <c r="U4" t="s">
        <v>126</v>
      </c>
      <c r="V4" t="s">
        <v>53</v>
      </c>
      <c r="W4" t="b">
        <v>1</v>
      </c>
      <c r="X4" t="b">
        <v>1</v>
      </c>
      <c r="Y4">
        <v>1</v>
      </c>
      <c r="Z4">
        <v>1</v>
      </c>
      <c r="AA4" t="s">
        <v>56</v>
      </c>
      <c r="AB4" t="s">
        <v>57</v>
      </c>
      <c r="AC4">
        <v>0.25</v>
      </c>
      <c r="AD4" t="b">
        <v>1</v>
      </c>
      <c r="AE4" t="s">
        <v>23</v>
      </c>
      <c r="AF4">
        <v>20000</v>
      </c>
      <c r="AG4">
        <v>500</v>
      </c>
      <c r="AH4" t="s">
        <v>121</v>
      </c>
      <c r="AI4" t="b">
        <v>0</v>
      </c>
      <c r="AJ4" t="b">
        <v>0</v>
      </c>
      <c r="AK4" t="b">
        <v>1</v>
      </c>
      <c r="AL4" t="b">
        <v>0</v>
      </c>
    </row>
    <row r="5" spans="1:38" x14ac:dyDescent="0.25">
      <c r="A5">
        <v>127</v>
      </c>
      <c r="B5" t="s">
        <v>709</v>
      </c>
      <c r="C5" t="s">
        <v>41</v>
      </c>
      <c r="D5">
        <v>500</v>
      </c>
      <c r="E5">
        <v>2.5000000000000001E-2</v>
      </c>
      <c r="F5" t="s">
        <v>654</v>
      </c>
      <c r="G5" t="s">
        <v>42</v>
      </c>
      <c r="H5" t="s">
        <v>64</v>
      </c>
      <c r="I5" t="s">
        <v>44</v>
      </c>
      <c r="J5">
        <v>5</v>
      </c>
      <c r="K5">
        <v>2</v>
      </c>
      <c r="L5" t="s">
        <v>650</v>
      </c>
      <c r="M5" t="s">
        <v>710</v>
      </c>
      <c r="N5" t="s">
        <v>651</v>
      </c>
      <c r="O5" t="s">
        <v>711</v>
      </c>
      <c r="P5" t="s">
        <v>122</v>
      </c>
      <c r="Q5" t="s">
        <v>123</v>
      </c>
      <c r="R5" t="s">
        <v>124</v>
      </c>
      <c r="S5" t="s">
        <v>125</v>
      </c>
      <c r="T5" t="s">
        <v>51</v>
      </c>
      <c r="U5" t="s">
        <v>126</v>
      </c>
      <c r="V5" t="s">
        <v>53</v>
      </c>
      <c r="W5" t="b">
        <v>1</v>
      </c>
      <c r="X5" t="b">
        <v>1</v>
      </c>
      <c r="Y5">
        <v>1</v>
      </c>
      <c r="Z5">
        <v>1</v>
      </c>
      <c r="AA5" t="s">
        <v>56</v>
      </c>
      <c r="AB5" t="s">
        <v>60</v>
      </c>
      <c r="AC5">
        <v>1</v>
      </c>
      <c r="AD5" t="b">
        <v>1</v>
      </c>
      <c r="AE5" t="s">
        <v>23</v>
      </c>
      <c r="AF5">
        <v>20000</v>
      </c>
      <c r="AG5">
        <v>500</v>
      </c>
      <c r="AH5" t="s">
        <v>121</v>
      </c>
      <c r="AI5" t="b">
        <v>0</v>
      </c>
      <c r="AJ5" t="b">
        <v>0</v>
      </c>
      <c r="AK5" t="b">
        <v>1</v>
      </c>
      <c r="AL5" t="b">
        <v>0</v>
      </c>
    </row>
    <row r="6" spans="1:38" x14ac:dyDescent="0.25">
      <c r="A6">
        <v>128</v>
      </c>
      <c r="B6" t="s">
        <v>712</v>
      </c>
      <c r="C6" t="s">
        <v>41</v>
      </c>
      <c r="D6">
        <v>500</v>
      </c>
      <c r="E6">
        <v>2.5000000000000001E-2</v>
      </c>
      <c r="F6" t="s">
        <v>654</v>
      </c>
      <c r="G6" t="s">
        <v>42</v>
      </c>
      <c r="H6" t="s">
        <v>64</v>
      </c>
      <c r="I6" t="s">
        <v>44</v>
      </c>
      <c r="J6">
        <v>5</v>
      </c>
      <c r="K6">
        <v>2</v>
      </c>
      <c r="L6" t="s">
        <v>650</v>
      </c>
      <c r="M6" t="s">
        <v>724</v>
      </c>
      <c r="N6" t="s">
        <v>651</v>
      </c>
      <c r="O6" t="s">
        <v>727</v>
      </c>
      <c r="P6" t="s">
        <v>122</v>
      </c>
      <c r="Q6" t="s">
        <v>123</v>
      </c>
      <c r="R6" t="s">
        <v>124</v>
      </c>
      <c r="S6" t="s">
        <v>125</v>
      </c>
      <c r="T6" t="s">
        <v>51</v>
      </c>
      <c r="U6" t="s">
        <v>126</v>
      </c>
      <c r="V6" t="s">
        <v>53</v>
      </c>
      <c r="W6" t="b">
        <v>1</v>
      </c>
      <c r="X6" t="b">
        <v>1</v>
      </c>
      <c r="Y6">
        <v>1</v>
      </c>
      <c r="Z6">
        <v>1</v>
      </c>
      <c r="AA6" t="s">
        <v>56</v>
      </c>
      <c r="AB6" t="s">
        <v>57</v>
      </c>
      <c r="AC6">
        <v>0.75</v>
      </c>
      <c r="AD6" t="b">
        <v>1</v>
      </c>
      <c r="AE6" t="s">
        <v>23</v>
      </c>
      <c r="AF6">
        <v>20000</v>
      </c>
      <c r="AG6">
        <v>500</v>
      </c>
      <c r="AH6" t="s">
        <v>121</v>
      </c>
      <c r="AI6" t="b">
        <v>0</v>
      </c>
      <c r="AJ6" t="b">
        <v>0</v>
      </c>
      <c r="AK6" t="b">
        <v>1</v>
      </c>
      <c r="AL6" t="b">
        <v>0</v>
      </c>
    </row>
    <row r="7" spans="1:38" x14ac:dyDescent="0.25">
      <c r="A7">
        <v>129</v>
      </c>
      <c r="B7" t="s">
        <v>713</v>
      </c>
      <c r="C7" t="s">
        <v>41</v>
      </c>
      <c r="D7">
        <v>500</v>
      </c>
      <c r="E7">
        <v>2.5000000000000001E-2</v>
      </c>
      <c r="F7" t="s">
        <v>654</v>
      </c>
      <c r="G7" t="s">
        <v>42</v>
      </c>
      <c r="H7" t="s">
        <v>64</v>
      </c>
      <c r="I7" t="s">
        <v>44</v>
      </c>
      <c r="J7">
        <v>5</v>
      </c>
      <c r="K7">
        <v>2</v>
      </c>
      <c r="L7" t="s">
        <v>650</v>
      </c>
      <c r="M7" t="s">
        <v>724</v>
      </c>
      <c r="N7" t="s">
        <v>651</v>
      </c>
      <c r="O7" t="s">
        <v>727</v>
      </c>
      <c r="P7" t="s">
        <v>122</v>
      </c>
      <c r="Q7" t="s">
        <v>123</v>
      </c>
      <c r="R7" t="s">
        <v>124</v>
      </c>
      <c r="S7" t="s">
        <v>125</v>
      </c>
      <c r="T7" t="s">
        <v>51</v>
      </c>
      <c r="U7" t="s">
        <v>126</v>
      </c>
      <c r="V7" t="s">
        <v>53</v>
      </c>
      <c r="W7" t="b">
        <v>1</v>
      </c>
      <c r="X7" t="b">
        <v>1</v>
      </c>
      <c r="Y7">
        <v>1</v>
      </c>
      <c r="Z7">
        <v>1</v>
      </c>
      <c r="AA7" t="s">
        <v>56</v>
      </c>
      <c r="AB7" t="s">
        <v>57</v>
      </c>
      <c r="AC7">
        <v>0.5</v>
      </c>
      <c r="AD7" t="b">
        <v>1</v>
      </c>
      <c r="AE7" t="s">
        <v>23</v>
      </c>
      <c r="AF7">
        <v>20000</v>
      </c>
      <c r="AG7">
        <v>500</v>
      </c>
      <c r="AH7" t="s">
        <v>121</v>
      </c>
      <c r="AI7" t="b">
        <v>0</v>
      </c>
      <c r="AJ7" t="b">
        <v>0</v>
      </c>
      <c r="AK7" t="b">
        <v>1</v>
      </c>
      <c r="AL7" t="b">
        <v>0</v>
      </c>
    </row>
    <row r="8" spans="1:38" x14ac:dyDescent="0.25">
      <c r="A8">
        <v>130</v>
      </c>
      <c r="B8" t="s">
        <v>714</v>
      </c>
      <c r="C8" t="s">
        <v>41</v>
      </c>
      <c r="D8">
        <v>500</v>
      </c>
      <c r="E8">
        <v>2.5000000000000001E-2</v>
      </c>
      <c r="F8" t="s">
        <v>654</v>
      </c>
      <c r="G8" t="s">
        <v>42</v>
      </c>
      <c r="H8" t="s">
        <v>64</v>
      </c>
      <c r="I8" t="s">
        <v>44</v>
      </c>
      <c r="J8">
        <v>5</v>
      </c>
      <c r="K8">
        <v>2</v>
      </c>
      <c r="L8" t="s">
        <v>650</v>
      </c>
      <c r="M8" t="s">
        <v>724</v>
      </c>
      <c r="N8" t="s">
        <v>651</v>
      </c>
      <c r="O8" t="s">
        <v>727</v>
      </c>
      <c r="P8" t="s">
        <v>122</v>
      </c>
      <c r="Q8" t="s">
        <v>123</v>
      </c>
      <c r="R8" t="s">
        <v>124</v>
      </c>
      <c r="S8" t="s">
        <v>125</v>
      </c>
      <c r="T8" t="s">
        <v>51</v>
      </c>
      <c r="U8" t="s">
        <v>126</v>
      </c>
      <c r="V8" t="s">
        <v>53</v>
      </c>
      <c r="W8" t="b">
        <v>1</v>
      </c>
      <c r="X8" t="b">
        <v>1</v>
      </c>
      <c r="Y8">
        <v>1</v>
      </c>
      <c r="Z8">
        <v>1</v>
      </c>
      <c r="AA8" t="s">
        <v>56</v>
      </c>
      <c r="AB8" t="s">
        <v>57</v>
      </c>
      <c r="AC8">
        <v>0.25</v>
      </c>
      <c r="AD8" t="b">
        <v>1</v>
      </c>
      <c r="AE8" t="s">
        <v>23</v>
      </c>
      <c r="AF8">
        <v>20000</v>
      </c>
      <c r="AG8">
        <v>500</v>
      </c>
      <c r="AH8" t="s">
        <v>121</v>
      </c>
      <c r="AI8" t="b">
        <v>0</v>
      </c>
      <c r="AJ8" t="b">
        <v>0</v>
      </c>
      <c r="AK8" t="b">
        <v>1</v>
      </c>
      <c r="AL8" t="b">
        <v>0</v>
      </c>
    </row>
    <row r="9" spans="1:38" x14ac:dyDescent="0.25">
      <c r="A9">
        <v>131</v>
      </c>
      <c r="B9" t="s">
        <v>715</v>
      </c>
      <c r="C9" t="s">
        <v>41</v>
      </c>
      <c r="D9">
        <v>500</v>
      </c>
      <c r="E9">
        <v>2.5000000000000001E-2</v>
      </c>
      <c r="F9" t="s">
        <v>654</v>
      </c>
      <c r="G9" t="s">
        <v>42</v>
      </c>
      <c r="H9" t="s">
        <v>64</v>
      </c>
      <c r="I9" t="s">
        <v>44</v>
      </c>
      <c r="J9">
        <v>5</v>
      </c>
      <c r="K9">
        <v>2</v>
      </c>
      <c r="L9" t="s">
        <v>650</v>
      </c>
      <c r="M9" t="s">
        <v>724</v>
      </c>
      <c r="N9" t="s">
        <v>651</v>
      </c>
      <c r="O9" t="s">
        <v>727</v>
      </c>
      <c r="P9" t="s">
        <v>122</v>
      </c>
      <c r="Q9" t="s">
        <v>123</v>
      </c>
      <c r="R9" t="s">
        <v>124</v>
      </c>
      <c r="S9" t="s">
        <v>125</v>
      </c>
      <c r="T9" t="s">
        <v>51</v>
      </c>
      <c r="U9" t="s">
        <v>126</v>
      </c>
      <c r="V9" t="s">
        <v>53</v>
      </c>
      <c r="W9" t="b">
        <v>1</v>
      </c>
      <c r="X9" t="b">
        <v>1</v>
      </c>
      <c r="Y9">
        <v>1</v>
      </c>
      <c r="Z9">
        <v>1</v>
      </c>
      <c r="AA9" t="s">
        <v>56</v>
      </c>
      <c r="AB9" t="s">
        <v>60</v>
      </c>
      <c r="AC9">
        <v>1</v>
      </c>
      <c r="AD9" t="b">
        <v>1</v>
      </c>
      <c r="AE9" t="s">
        <v>23</v>
      </c>
      <c r="AF9">
        <v>20000</v>
      </c>
      <c r="AG9">
        <v>500</v>
      </c>
      <c r="AH9" t="s">
        <v>121</v>
      </c>
      <c r="AI9" t="b">
        <v>0</v>
      </c>
      <c r="AJ9" t="b">
        <v>0</v>
      </c>
      <c r="AK9" t="b">
        <v>1</v>
      </c>
      <c r="AL9" t="b">
        <v>0</v>
      </c>
    </row>
    <row r="10" spans="1:38" x14ac:dyDescent="0.25">
      <c r="A10">
        <v>132</v>
      </c>
      <c r="B10" t="s">
        <v>716</v>
      </c>
      <c r="C10" t="s">
        <v>41</v>
      </c>
      <c r="D10">
        <v>500</v>
      </c>
      <c r="E10">
        <v>2.5000000000000001E-2</v>
      </c>
      <c r="F10" t="s">
        <v>654</v>
      </c>
      <c r="G10" t="s">
        <v>42</v>
      </c>
      <c r="H10" t="s">
        <v>64</v>
      </c>
      <c r="I10" t="s">
        <v>44</v>
      </c>
      <c r="J10">
        <v>5</v>
      </c>
      <c r="K10">
        <v>2</v>
      </c>
      <c r="L10" t="s">
        <v>650</v>
      </c>
      <c r="M10" t="s">
        <v>725</v>
      </c>
      <c r="N10" t="s">
        <v>651</v>
      </c>
      <c r="O10" t="s">
        <v>728</v>
      </c>
      <c r="P10" t="s">
        <v>122</v>
      </c>
      <c r="Q10" t="s">
        <v>123</v>
      </c>
      <c r="R10" t="s">
        <v>124</v>
      </c>
      <c r="S10" t="s">
        <v>125</v>
      </c>
      <c r="T10" t="s">
        <v>51</v>
      </c>
      <c r="U10" t="s">
        <v>126</v>
      </c>
      <c r="V10" t="s">
        <v>53</v>
      </c>
      <c r="W10" t="b">
        <v>1</v>
      </c>
      <c r="X10" t="b">
        <v>1</v>
      </c>
      <c r="Y10">
        <v>1</v>
      </c>
      <c r="Z10">
        <v>1</v>
      </c>
      <c r="AA10" t="s">
        <v>56</v>
      </c>
      <c r="AB10" t="s">
        <v>57</v>
      </c>
      <c r="AC10">
        <v>0.75</v>
      </c>
      <c r="AD10" t="b">
        <v>1</v>
      </c>
      <c r="AE10" t="s">
        <v>23</v>
      </c>
      <c r="AF10">
        <v>20000</v>
      </c>
      <c r="AG10">
        <v>500</v>
      </c>
      <c r="AH10" t="s">
        <v>121</v>
      </c>
      <c r="AI10" t="b">
        <v>0</v>
      </c>
      <c r="AJ10" t="b">
        <v>0</v>
      </c>
      <c r="AK10" t="b">
        <v>1</v>
      </c>
      <c r="AL10" t="b">
        <v>0</v>
      </c>
    </row>
    <row r="11" spans="1:38" x14ac:dyDescent="0.25">
      <c r="A11">
        <v>133</v>
      </c>
      <c r="B11" t="s">
        <v>717</v>
      </c>
      <c r="C11" t="s">
        <v>41</v>
      </c>
      <c r="D11">
        <v>500</v>
      </c>
      <c r="E11">
        <v>2.5000000000000001E-2</v>
      </c>
      <c r="F11" t="s">
        <v>654</v>
      </c>
      <c r="G11" t="s">
        <v>42</v>
      </c>
      <c r="H11" t="s">
        <v>64</v>
      </c>
      <c r="I11" t="s">
        <v>44</v>
      </c>
      <c r="J11">
        <v>5</v>
      </c>
      <c r="K11">
        <v>2</v>
      </c>
      <c r="L11" t="s">
        <v>650</v>
      </c>
      <c r="M11" t="s">
        <v>725</v>
      </c>
      <c r="N11" t="s">
        <v>651</v>
      </c>
      <c r="O11" t="s">
        <v>728</v>
      </c>
      <c r="P11" t="s">
        <v>122</v>
      </c>
      <c r="Q11" t="s">
        <v>123</v>
      </c>
      <c r="R11" t="s">
        <v>124</v>
      </c>
      <c r="S11" t="s">
        <v>125</v>
      </c>
      <c r="T11" t="s">
        <v>51</v>
      </c>
      <c r="U11" t="s">
        <v>126</v>
      </c>
      <c r="V11" t="s">
        <v>53</v>
      </c>
      <c r="W11" t="b">
        <v>1</v>
      </c>
      <c r="X11" t="b">
        <v>1</v>
      </c>
      <c r="Y11">
        <v>1</v>
      </c>
      <c r="Z11">
        <v>1</v>
      </c>
      <c r="AA11" t="s">
        <v>56</v>
      </c>
      <c r="AB11" t="s">
        <v>57</v>
      </c>
      <c r="AC11">
        <v>0.5</v>
      </c>
      <c r="AD11" t="b">
        <v>1</v>
      </c>
      <c r="AE11" t="s">
        <v>23</v>
      </c>
      <c r="AF11">
        <v>20000</v>
      </c>
      <c r="AG11">
        <v>500</v>
      </c>
      <c r="AH11" t="s">
        <v>121</v>
      </c>
      <c r="AI11" t="b">
        <v>0</v>
      </c>
      <c r="AJ11" t="b">
        <v>0</v>
      </c>
      <c r="AK11" t="b">
        <v>1</v>
      </c>
      <c r="AL11" t="b">
        <v>0</v>
      </c>
    </row>
    <row r="12" spans="1:38" x14ac:dyDescent="0.25">
      <c r="A12">
        <v>134</v>
      </c>
      <c r="B12" t="s">
        <v>718</v>
      </c>
      <c r="C12" t="s">
        <v>41</v>
      </c>
      <c r="D12">
        <v>500</v>
      </c>
      <c r="E12">
        <v>2.5000000000000001E-2</v>
      </c>
      <c r="F12" t="s">
        <v>654</v>
      </c>
      <c r="G12" t="s">
        <v>42</v>
      </c>
      <c r="H12" t="s">
        <v>64</v>
      </c>
      <c r="I12" t="s">
        <v>44</v>
      </c>
      <c r="J12">
        <v>5</v>
      </c>
      <c r="K12">
        <v>2</v>
      </c>
      <c r="L12" t="s">
        <v>650</v>
      </c>
      <c r="M12" t="s">
        <v>725</v>
      </c>
      <c r="N12" t="s">
        <v>651</v>
      </c>
      <c r="O12" t="s">
        <v>728</v>
      </c>
      <c r="P12" t="s">
        <v>122</v>
      </c>
      <c r="Q12" t="s">
        <v>123</v>
      </c>
      <c r="R12" t="s">
        <v>124</v>
      </c>
      <c r="S12" t="s">
        <v>125</v>
      </c>
      <c r="T12" t="s">
        <v>51</v>
      </c>
      <c r="U12" t="s">
        <v>126</v>
      </c>
      <c r="V12" t="s">
        <v>53</v>
      </c>
      <c r="W12" t="b">
        <v>1</v>
      </c>
      <c r="X12" t="b">
        <v>1</v>
      </c>
      <c r="Y12">
        <v>1</v>
      </c>
      <c r="Z12">
        <v>1</v>
      </c>
      <c r="AA12" t="s">
        <v>56</v>
      </c>
      <c r="AB12" t="s">
        <v>57</v>
      </c>
      <c r="AC12">
        <v>0.25</v>
      </c>
      <c r="AD12" t="b">
        <v>1</v>
      </c>
      <c r="AE12" t="s">
        <v>23</v>
      </c>
      <c r="AF12">
        <v>20000</v>
      </c>
      <c r="AG12">
        <v>500</v>
      </c>
      <c r="AH12" t="s">
        <v>121</v>
      </c>
      <c r="AI12" t="b">
        <v>0</v>
      </c>
      <c r="AJ12" t="b">
        <v>0</v>
      </c>
      <c r="AK12" t="b">
        <v>1</v>
      </c>
      <c r="AL12" t="b">
        <v>0</v>
      </c>
    </row>
    <row r="13" spans="1:38" x14ac:dyDescent="0.25">
      <c r="A13">
        <v>135</v>
      </c>
      <c r="B13" t="s">
        <v>719</v>
      </c>
      <c r="C13" t="s">
        <v>41</v>
      </c>
      <c r="D13">
        <v>500</v>
      </c>
      <c r="E13">
        <v>2.5000000000000001E-2</v>
      </c>
      <c r="F13" t="s">
        <v>654</v>
      </c>
      <c r="G13" t="s">
        <v>42</v>
      </c>
      <c r="H13" t="s">
        <v>64</v>
      </c>
      <c r="I13" t="s">
        <v>44</v>
      </c>
      <c r="J13">
        <v>5</v>
      </c>
      <c r="K13">
        <v>2</v>
      </c>
      <c r="L13" t="s">
        <v>650</v>
      </c>
      <c r="M13" t="s">
        <v>725</v>
      </c>
      <c r="N13" t="s">
        <v>651</v>
      </c>
      <c r="O13" t="s">
        <v>728</v>
      </c>
      <c r="P13" t="s">
        <v>122</v>
      </c>
      <c r="Q13" t="s">
        <v>123</v>
      </c>
      <c r="R13" t="s">
        <v>124</v>
      </c>
      <c r="S13" t="s">
        <v>125</v>
      </c>
      <c r="T13" t="s">
        <v>51</v>
      </c>
      <c r="U13" t="s">
        <v>126</v>
      </c>
      <c r="V13" t="s">
        <v>53</v>
      </c>
      <c r="W13" t="b">
        <v>1</v>
      </c>
      <c r="X13" t="b">
        <v>1</v>
      </c>
      <c r="Y13">
        <v>1</v>
      </c>
      <c r="Z13">
        <v>1</v>
      </c>
      <c r="AA13" t="s">
        <v>56</v>
      </c>
      <c r="AB13" t="s">
        <v>60</v>
      </c>
      <c r="AC13">
        <v>1</v>
      </c>
      <c r="AD13" t="b">
        <v>1</v>
      </c>
      <c r="AE13" t="s">
        <v>23</v>
      </c>
      <c r="AF13">
        <v>20000</v>
      </c>
      <c r="AG13">
        <v>500</v>
      </c>
      <c r="AH13" t="s">
        <v>121</v>
      </c>
      <c r="AI13" t="b">
        <v>0</v>
      </c>
      <c r="AJ13" t="b">
        <v>0</v>
      </c>
      <c r="AK13" t="b">
        <v>1</v>
      </c>
      <c r="AL13" t="b">
        <v>0</v>
      </c>
    </row>
    <row r="14" spans="1:38" x14ac:dyDescent="0.25">
      <c r="A14">
        <v>136</v>
      </c>
      <c r="B14" t="s">
        <v>720</v>
      </c>
      <c r="C14" t="s">
        <v>41</v>
      </c>
      <c r="D14">
        <v>500</v>
      </c>
      <c r="E14">
        <v>2.5000000000000001E-2</v>
      </c>
      <c r="F14" t="s">
        <v>654</v>
      </c>
      <c r="G14" t="s">
        <v>42</v>
      </c>
      <c r="H14" t="s">
        <v>64</v>
      </c>
      <c r="I14" t="s">
        <v>44</v>
      </c>
      <c r="J14">
        <v>5</v>
      </c>
      <c r="K14">
        <v>2</v>
      </c>
      <c r="L14" t="s">
        <v>650</v>
      </c>
      <c r="M14" t="s">
        <v>726</v>
      </c>
      <c r="N14" t="s">
        <v>651</v>
      </c>
      <c r="O14" t="s">
        <v>729</v>
      </c>
      <c r="P14" t="s">
        <v>122</v>
      </c>
      <c r="Q14" t="s">
        <v>123</v>
      </c>
      <c r="R14" t="s">
        <v>124</v>
      </c>
      <c r="S14" t="s">
        <v>125</v>
      </c>
      <c r="T14" t="s">
        <v>51</v>
      </c>
      <c r="U14" t="s">
        <v>126</v>
      </c>
      <c r="V14" t="s">
        <v>53</v>
      </c>
      <c r="W14" t="b">
        <v>1</v>
      </c>
      <c r="X14" t="b">
        <v>1</v>
      </c>
      <c r="Y14">
        <v>1</v>
      </c>
      <c r="Z14">
        <v>1</v>
      </c>
      <c r="AA14" t="s">
        <v>56</v>
      </c>
      <c r="AB14" t="s">
        <v>57</v>
      </c>
      <c r="AC14">
        <v>0.75</v>
      </c>
      <c r="AD14" t="b">
        <v>1</v>
      </c>
      <c r="AE14" t="s">
        <v>23</v>
      </c>
      <c r="AF14">
        <v>20000</v>
      </c>
      <c r="AG14">
        <v>500</v>
      </c>
      <c r="AH14" t="s">
        <v>121</v>
      </c>
      <c r="AI14" t="b">
        <v>0</v>
      </c>
      <c r="AJ14" t="b">
        <v>0</v>
      </c>
      <c r="AK14" t="b">
        <v>1</v>
      </c>
      <c r="AL14" t="b">
        <v>0</v>
      </c>
    </row>
    <row r="15" spans="1:38" x14ac:dyDescent="0.25">
      <c r="A15">
        <v>137</v>
      </c>
      <c r="B15" t="s">
        <v>721</v>
      </c>
      <c r="C15" t="s">
        <v>41</v>
      </c>
      <c r="D15">
        <v>500</v>
      </c>
      <c r="E15">
        <v>2.5000000000000001E-2</v>
      </c>
      <c r="F15" t="s">
        <v>654</v>
      </c>
      <c r="G15" t="s">
        <v>42</v>
      </c>
      <c r="H15" t="s">
        <v>64</v>
      </c>
      <c r="I15" t="s">
        <v>44</v>
      </c>
      <c r="J15">
        <v>5</v>
      </c>
      <c r="K15">
        <v>2</v>
      </c>
      <c r="L15" t="s">
        <v>650</v>
      </c>
      <c r="M15" t="s">
        <v>726</v>
      </c>
      <c r="N15" t="s">
        <v>651</v>
      </c>
      <c r="O15" t="s">
        <v>729</v>
      </c>
      <c r="P15" t="s">
        <v>122</v>
      </c>
      <c r="Q15" t="s">
        <v>123</v>
      </c>
      <c r="R15" t="s">
        <v>124</v>
      </c>
      <c r="S15" t="s">
        <v>125</v>
      </c>
      <c r="T15" t="s">
        <v>51</v>
      </c>
      <c r="U15" t="s">
        <v>126</v>
      </c>
      <c r="V15" t="s">
        <v>53</v>
      </c>
      <c r="W15" t="b">
        <v>1</v>
      </c>
      <c r="X15" t="b">
        <v>1</v>
      </c>
      <c r="Y15">
        <v>1</v>
      </c>
      <c r="Z15">
        <v>1</v>
      </c>
      <c r="AA15" t="s">
        <v>56</v>
      </c>
      <c r="AB15" t="s">
        <v>57</v>
      </c>
      <c r="AC15">
        <v>0.5</v>
      </c>
      <c r="AD15" t="b">
        <v>1</v>
      </c>
      <c r="AE15" t="s">
        <v>23</v>
      </c>
      <c r="AF15">
        <v>20000</v>
      </c>
      <c r="AG15">
        <v>500</v>
      </c>
      <c r="AH15" t="s">
        <v>121</v>
      </c>
      <c r="AI15" t="b">
        <v>0</v>
      </c>
      <c r="AJ15" t="b">
        <v>0</v>
      </c>
      <c r="AK15" t="b">
        <v>1</v>
      </c>
      <c r="AL15" t="b">
        <v>0</v>
      </c>
    </row>
    <row r="16" spans="1:38" x14ac:dyDescent="0.25">
      <c r="A16">
        <v>138</v>
      </c>
      <c r="B16" t="s">
        <v>722</v>
      </c>
      <c r="C16" t="s">
        <v>41</v>
      </c>
      <c r="D16">
        <v>500</v>
      </c>
      <c r="E16">
        <v>2.5000000000000001E-2</v>
      </c>
      <c r="F16" t="s">
        <v>654</v>
      </c>
      <c r="G16" t="s">
        <v>42</v>
      </c>
      <c r="H16" t="s">
        <v>64</v>
      </c>
      <c r="I16" t="s">
        <v>44</v>
      </c>
      <c r="J16">
        <v>5</v>
      </c>
      <c r="K16">
        <v>2</v>
      </c>
      <c r="L16" t="s">
        <v>650</v>
      </c>
      <c r="M16" t="s">
        <v>726</v>
      </c>
      <c r="N16" t="s">
        <v>651</v>
      </c>
      <c r="O16" t="s">
        <v>729</v>
      </c>
      <c r="P16" t="s">
        <v>122</v>
      </c>
      <c r="Q16" t="s">
        <v>123</v>
      </c>
      <c r="R16" t="s">
        <v>124</v>
      </c>
      <c r="S16" t="s">
        <v>125</v>
      </c>
      <c r="T16" t="s">
        <v>51</v>
      </c>
      <c r="U16" t="s">
        <v>126</v>
      </c>
      <c r="V16" t="s">
        <v>53</v>
      </c>
      <c r="W16" t="b">
        <v>1</v>
      </c>
      <c r="X16" t="b">
        <v>1</v>
      </c>
      <c r="Y16">
        <v>1</v>
      </c>
      <c r="Z16">
        <v>1</v>
      </c>
      <c r="AA16" t="s">
        <v>56</v>
      </c>
      <c r="AB16" t="s">
        <v>57</v>
      </c>
      <c r="AC16">
        <v>0.25</v>
      </c>
      <c r="AD16" t="b">
        <v>1</v>
      </c>
      <c r="AE16" t="s">
        <v>23</v>
      </c>
      <c r="AF16">
        <v>20000</v>
      </c>
      <c r="AG16">
        <v>500</v>
      </c>
      <c r="AH16" t="s">
        <v>121</v>
      </c>
      <c r="AI16" t="b">
        <v>0</v>
      </c>
      <c r="AJ16" t="b">
        <v>0</v>
      </c>
      <c r="AK16" t="b">
        <v>1</v>
      </c>
      <c r="AL16" t="b">
        <v>0</v>
      </c>
    </row>
    <row r="17" spans="1:38" x14ac:dyDescent="0.25">
      <c r="A17">
        <v>139</v>
      </c>
      <c r="B17" t="s">
        <v>723</v>
      </c>
      <c r="C17" t="s">
        <v>41</v>
      </c>
      <c r="D17">
        <v>500</v>
      </c>
      <c r="E17">
        <v>2.5000000000000001E-2</v>
      </c>
      <c r="F17" t="s">
        <v>654</v>
      </c>
      <c r="G17" t="s">
        <v>42</v>
      </c>
      <c r="H17" t="s">
        <v>64</v>
      </c>
      <c r="I17" t="s">
        <v>44</v>
      </c>
      <c r="J17">
        <v>5</v>
      </c>
      <c r="K17">
        <v>2</v>
      </c>
      <c r="L17" t="s">
        <v>650</v>
      </c>
      <c r="M17" t="s">
        <v>726</v>
      </c>
      <c r="N17" t="s">
        <v>651</v>
      </c>
      <c r="O17" t="s">
        <v>729</v>
      </c>
      <c r="P17" t="s">
        <v>122</v>
      </c>
      <c r="Q17" t="s">
        <v>123</v>
      </c>
      <c r="R17" t="s">
        <v>124</v>
      </c>
      <c r="S17" t="s">
        <v>125</v>
      </c>
      <c r="T17" t="s">
        <v>51</v>
      </c>
      <c r="U17" t="s">
        <v>126</v>
      </c>
      <c r="V17" t="s">
        <v>53</v>
      </c>
      <c r="W17" t="b">
        <v>1</v>
      </c>
      <c r="X17" t="b">
        <v>1</v>
      </c>
      <c r="Y17">
        <v>1</v>
      </c>
      <c r="Z17">
        <v>1</v>
      </c>
      <c r="AA17" t="s">
        <v>56</v>
      </c>
      <c r="AB17" t="s">
        <v>60</v>
      </c>
      <c r="AC17">
        <v>1</v>
      </c>
      <c r="AD17" t="b">
        <v>1</v>
      </c>
      <c r="AE17" t="s">
        <v>23</v>
      </c>
      <c r="AF17">
        <v>20000</v>
      </c>
      <c r="AG17">
        <v>500</v>
      </c>
      <c r="AH17" t="s">
        <v>121</v>
      </c>
      <c r="AI17" t="b">
        <v>0</v>
      </c>
      <c r="AJ17" t="b">
        <v>0</v>
      </c>
      <c r="AK17" t="b">
        <v>1</v>
      </c>
      <c r="AL17" t="b">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A5B7B-C874-4108-BAFD-465C523151A2}">
  <dimension ref="A1:AL13"/>
  <sheetViews>
    <sheetView workbookViewId="0"/>
  </sheetViews>
  <sheetFormatPr defaultRowHeight="15" x14ac:dyDescent="0.25"/>
  <cols>
    <col min="2" max="2" width="48" bestFit="1"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5">
      <c r="A2">
        <v>108</v>
      </c>
      <c r="B2" t="s">
        <v>659</v>
      </c>
      <c r="C2" t="s">
        <v>41</v>
      </c>
      <c r="D2">
        <v>500</v>
      </c>
      <c r="E2">
        <v>2.5000000000000001E-2</v>
      </c>
      <c r="F2" t="s">
        <v>654</v>
      </c>
      <c r="G2" t="s">
        <v>42</v>
      </c>
      <c r="H2" t="s">
        <v>64</v>
      </c>
      <c r="I2" t="s">
        <v>44</v>
      </c>
      <c r="J2">
        <v>5</v>
      </c>
      <c r="K2">
        <v>2</v>
      </c>
      <c r="L2" t="s">
        <v>650</v>
      </c>
      <c r="M2" t="s">
        <v>652</v>
      </c>
      <c r="N2" t="s">
        <v>651</v>
      </c>
      <c r="O2" t="s">
        <v>653</v>
      </c>
      <c r="P2" t="s">
        <v>122</v>
      </c>
      <c r="Q2" t="s">
        <v>663</v>
      </c>
      <c r="R2" t="s">
        <v>124</v>
      </c>
      <c r="S2" t="s">
        <v>125</v>
      </c>
      <c r="T2" t="s">
        <v>51</v>
      </c>
      <c r="U2" t="s">
        <v>126</v>
      </c>
      <c r="V2" t="s">
        <v>53</v>
      </c>
      <c r="W2" t="b">
        <v>1</v>
      </c>
      <c r="X2" t="b">
        <v>1</v>
      </c>
      <c r="Y2">
        <v>1</v>
      </c>
      <c r="Z2">
        <v>1</v>
      </c>
      <c r="AA2" t="s">
        <v>56</v>
      </c>
      <c r="AB2" t="s">
        <v>57</v>
      </c>
      <c r="AC2">
        <v>0.75</v>
      </c>
      <c r="AD2" t="b">
        <v>1</v>
      </c>
      <c r="AE2" t="s">
        <v>23</v>
      </c>
      <c r="AF2">
        <v>20000</v>
      </c>
      <c r="AG2">
        <v>500</v>
      </c>
      <c r="AH2" t="s">
        <v>121</v>
      </c>
      <c r="AI2" t="b">
        <v>0</v>
      </c>
      <c r="AJ2" t="b">
        <v>0</v>
      </c>
      <c r="AK2" t="b">
        <v>1</v>
      </c>
      <c r="AL2" t="b">
        <v>0</v>
      </c>
    </row>
    <row r="3" spans="1:38" x14ac:dyDescent="0.25">
      <c r="A3">
        <v>109</v>
      </c>
      <c r="B3" t="s">
        <v>660</v>
      </c>
      <c r="C3" t="s">
        <v>41</v>
      </c>
      <c r="D3">
        <v>500</v>
      </c>
      <c r="E3">
        <v>2.5000000000000001E-2</v>
      </c>
      <c r="F3" t="s">
        <v>654</v>
      </c>
      <c r="G3" t="s">
        <v>42</v>
      </c>
      <c r="H3" t="s">
        <v>64</v>
      </c>
      <c r="I3" t="s">
        <v>44</v>
      </c>
      <c r="J3">
        <v>5</v>
      </c>
      <c r="K3">
        <v>2</v>
      </c>
      <c r="L3" t="s">
        <v>650</v>
      </c>
      <c r="M3" t="s">
        <v>652</v>
      </c>
      <c r="N3" t="s">
        <v>651</v>
      </c>
      <c r="O3" t="s">
        <v>653</v>
      </c>
      <c r="P3" t="s">
        <v>122</v>
      </c>
      <c r="Q3" t="s">
        <v>663</v>
      </c>
      <c r="R3" t="s">
        <v>124</v>
      </c>
      <c r="S3" t="s">
        <v>125</v>
      </c>
      <c r="T3" t="s">
        <v>51</v>
      </c>
      <c r="U3" t="s">
        <v>126</v>
      </c>
      <c r="V3" t="s">
        <v>53</v>
      </c>
      <c r="W3" t="b">
        <v>1</v>
      </c>
      <c r="X3" t="b">
        <v>1</v>
      </c>
      <c r="Y3">
        <v>1</v>
      </c>
      <c r="Z3">
        <v>1</v>
      </c>
      <c r="AA3" t="s">
        <v>56</v>
      </c>
      <c r="AB3" t="s">
        <v>57</v>
      </c>
      <c r="AC3">
        <v>0.5</v>
      </c>
      <c r="AD3" t="b">
        <v>1</v>
      </c>
      <c r="AE3" t="s">
        <v>23</v>
      </c>
      <c r="AF3">
        <v>20000</v>
      </c>
      <c r="AG3">
        <v>500</v>
      </c>
      <c r="AH3" t="s">
        <v>121</v>
      </c>
      <c r="AI3" t="b">
        <v>0</v>
      </c>
      <c r="AJ3" t="b">
        <v>0</v>
      </c>
      <c r="AK3" t="b">
        <v>1</v>
      </c>
      <c r="AL3" t="b">
        <v>0</v>
      </c>
    </row>
    <row r="4" spans="1:38" x14ac:dyDescent="0.25">
      <c r="A4">
        <v>110</v>
      </c>
      <c r="B4" t="s">
        <v>661</v>
      </c>
      <c r="C4" t="s">
        <v>41</v>
      </c>
      <c r="D4">
        <v>500</v>
      </c>
      <c r="E4">
        <v>2.5000000000000001E-2</v>
      </c>
      <c r="F4" t="s">
        <v>654</v>
      </c>
      <c r="G4" t="s">
        <v>42</v>
      </c>
      <c r="H4" t="s">
        <v>64</v>
      </c>
      <c r="I4" t="s">
        <v>44</v>
      </c>
      <c r="J4">
        <v>5</v>
      </c>
      <c r="K4">
        <v>2</v>
      </c>
      <c r="L4" t="s">
        <v>650</v>
      </c>
      <c r="M4" t="s">
        <v>652</v>
      </c>
      <c r="N4" t="s">
        <v>651</v>
      </c>
      <c r="O4" t="s">
        <v>653</v>
      </c>
      <c r="P4" t="s">
        <v>122</v>
      </c>
      <c r="Q4" t="s">
        <v>663</v>
      </c>
      <c r="R4" t="s">
        <v>124</v>
      </c>
      <c r="S4" t="s">
        <v>125</v>
      </c>
      <c r="T4" t="s">
        <v>51</v>
      </c>
      <c r="U4" t="s">
        <v>126</v>
      </c>
      <c r="V4" t="s">
        <v>53</v>
      </c>
      <c r="W4" t="b">
        <v>1</v>
      </c>
      <c r="X4" t="b">
        <v>1</v>
      </c>
      <c r="Y4">
        <v>1</v>
      </c>
      <c r="Z4">
        <v>1</v>
      </c>
      <c r="AA4" t="s">
        <v>56</v>
      </c>
      <c r="AB4" t="s">
        <v>57</v>
      </c>
      <c r="AC4">
        <v>0.25</v>
      </c>
      <c r="AD4" t="b">
        <v>1</v>
      </c>
      <c r="AE4" t="s">
        <v>23</v>
      </c>
      <c r="AF4">
        <v>20000</v>
      </c>
      <c r="AG4">
        <v>500</v>
      </c>
      <c r="AH4" t="s">
        <v>121</v>
      </c>
      <c r="AI4" t="b">
        <v>0</v>
      </c>
      <c r="AJ4" t="b">
        <v>0</v>
      </c>
      <c r="AK4" t="b">
        <v>1</v>
      </c>
      <c r="AL4" t="b">
        <v>0</v>
      </c>
    </row>
    <row r="5" spans="1:38" x14ac:dyDescent="0.25">
      <c r="A5">
        <v>111</v>
      </c>
      <c r="B5" t="s">
        <v>662</v>
      </c>
      <c r="C5" t="s">
        <v>41</v>
      </c>
      <c r="D5">
        <v>500</v>
      </c>
      <c r="E5">
        <v>2.5000000000000001E-2</v>
      </c>
      <c r="F5" t="s">
        <v>654</v>
      </c>
      <c r="G5" t="s">
        <v>42</v>
      </c>
      <c r="H5" t="s">
        <v>64</v>
      </c>
      <c r="I5" t="s">
        <v>44</v>
      </c>
      <c r="J5">
        <v>5</v>
      </c>
      <c r="K5">
        <v>2</v>
      </c>
      <c r="L5" t="s">
        <v>650</v>
      </c>
      <c r="M5" t="s">
        <v>652</v>
      </c>
      <c r="N5" t="s">
        <v>651</v>
      </c>
      <c r="O5" t="s">
        <v>653</v>
      </c>
      <c r="P5" t="s">
        <v>122</v>
      </c>
      <c r="Q5" t="s">
        <v>663</v>
      </c>
      <c r="R5" t="s">
        <v>124</v>
      </c>
      <c r="S5" t="s">
        <v>125</v>
      </c>
      <c r="T5" t="s">
        <v>51</v>
      </c>
      <c r="U5" t="s">
        <v>126</v>
      </c>
      <c r="V5" t="s">
        <v>53</v>
      </c>
      <c r="W5" t="b">
        <v>1</v>
      </c>
      <c r="X5" t="b">
        <v>1</v>
      </c>
      <c r="Y5">
        <v>1</v>
      </c>
      <c r="Z5">
        <v>1</v>
      </c>
      <c r="AA5" t="s">
        <v>56</v>
      </c>
      <c r="AB5" t="s">
        <v>60</v>
      </c>
      <c r="AC5">
        <v>1</v>
      </c>
      <c r="AD5" t="b">
        <v>1</v>
      </c>
      <c r="AE5" t="s">
        <v>23</v>
      </c>
      <c r="AF5">
        <v>20000</v>
      </c>
      <c r="AG5">
        <v>500</v>
      </c>
      <c r="AH5" t="s">
        <v>121</v>
      </c>
      <c r="AI5" t="b">
        <v>0</v>
      </c>
      <c r="AJ5" t="b">
        <v>0</v>
      </c>
      <c r="AK5" t="b">
        <v>1</v>
      </c>
      <c r="AL5" t="b">
        <v>0</v>
      </c>
    </row>
    <row r="6" spans="1:38" x14ac:dyDescent="0.25">
      <c r="A6">
        <v>116</v>
      </c>
      <c r="B6" t="s">
        <v>655</v>
      </c>
      <c r="C6" t="s">
        <v>41</v>
      </c>
      <c r="D6">
        <v>500</v>
      </c>
      <c r="E6">
        <v>2.5000000000000001E-2</v>
      </c>
      <c r="F6" t="s">
        <v>654</v>
      </c>
      <c r="G6" t="s">
        <v>42</v>
      </c>
      <c r="H6" t="s">
        <v>64</v>
      </c>
      <c r="I6" t="s">
        <v>44</v>
      </c>
      <c r="J6">
        <v>5</v>
      </c>
      <c r="K6">
        <v>2</v>
      </c>
      <c r="L6" t="s">
        <v>650</v>
      </c>
      <c r="M6" t="s">
        <v>652</v>
      </c>
      <c r="N6" t="s">
        <v>651</v>
      </c>
      <c r="O6" t="s">
        <v>653</v>
      </c>
      <c r="P6" t="s">
        <v>122</v>
      </c>
      <c r="Q6" t="s">
        <v>123</v>
      </c>
      <c r="R6" t="s">
        <v>124</v>
      </c>
      <c r="S6" t="s">
        <v>125</v>
      </c>
      <c r="T6" t="s">
        <v>51</v>
      </c>
      <c r="U6" t="s">
        <v>126</v>
      </c>
      <c r="V6" t="s">
        <v>53</v>
      </c>
      <c r="W6" t="b">
        <v>1</v>
      </c>
      <c r="X6" t="b">
        <v>1</v>
      </c>
      <c r="Y6">
        <v>1</v>
      </c>
      <c r="Z6">
        <v>1</v>
      </c>
      <c r="AA6" t="s">
        <v>56</v>
      </c>
      <c r="AB6" t="s">
        <v>57</v>
      </c>
      <c r="AC6">
        <v>0.75</v>
      </c>
      <c r="AD6" t="b">
        <v>1</v>
      </c>
      <c r="AE6" t="s">
        <v>23</v>
      </c>
      <c r="AF6">
        <v>20000</v>
      </c>
      <c r="AG6">
        <v>500</v>
      </c>
      <c r="AH6" t="s">
        <v>121</v>
      </c>
      <c r="AI6" t="b">
        <v>0</v>
      </c>
      <c r="AJ6" t="b">
        <v>0</v>
      </c>
      <c r="AK6" t="b">
        <v>1</v>
      </c>
      <c r="AL6" t="b">
        <v>0</v>
      </c>
    </row>
    <row r="7" spans="1:38" x14ac:dyDescent="0.25">
      <c r="A7">
        <v>117</v>
      </c>
      <c r="B7" t="s">
        <v>656</v>
      </c>
      <c r="C7" t="s">
        <v>41</v>
      </c>
      <c r="D7">
        <v>500</v>
      </c>
      <c r="E7">
        <v>2.5000000000000001E-2</v>
      </c>
      <c r="F7" t="s">
        <v>654</v>
      </c>
      <c r="G7" t="s">
        <v>42</v>
      </c>
      <c r="H7" t="s">
        <v>64</v>
      </c>
      <c r="I7" t="s">
        <v>44</v>
      </c>
      <c r="J7">
        <v>5</v>
      </c>
      <c r="K7">
        <v>2</v>
      </c>
      <c r="L7" t="s">
        <v>650</v>
      </c>
      <c r="M7" t="s">
        <v>652</v>
      </c>
      <c r="N7" t="s">
        <v>651</v>
      </c>
      <c r="O7" t="s">
        <v>653</v>
      </c>
      <c r="P7" t="s">
        <v>122</v>
      </c>
      <c r="Q7" t="s">
        <v>123</v>
      </c>
      <c r="R7" t="s">
        <v>124</v>
      </c>
      <c r="S7" t="s">
        <v>125</v>
      </c>
      <c r="T7" t="s">
        <v>51</v>
      </c>
      <c r="U7" t="s">
        <v>126</v>
      </c>
      <c r="V7" t="s">
        <v>53</v>
      </c>
      <c r="W7" t="b">
        <v>1</v>
      </c>
      <c r="X7" t="b">
        <v>1</v>
      </c>
      <c r="Y7">
        <v>1</v>
      </c>
      <c r="Z7">
        <v>1</v>
      </c>
      <c r="AA7" t="s">
        <v>56</v>
      </c>
      <c r="AB7" t="s">
        <v>57</v>
      </c>
      <c r="AC7">
        <v>0.5</v>
      </c>
      <c r="AD7" t="b">
        <v>1</v>
      </c>
      <c r="AE7" t="s">
        <v>23</v>
      </c>
      <c r="AF7">
        <v>20000</v>
      </c>
      <c r="AG7">
        <v>500</v>
      </c>
      <c r="AH7" t="s">
        <v>121</v>
      </c>
      <c r="AI7" t="b">
        <v>0</v>
      </c>
      <c r="AJ7" t="b">
        <v>0</v>
      </c>
      <c r="AK7" t="b">
        <v>1</v>
      </c>
      <c r="AL7" t="b">
        <v>0</v>
      </c>
    </row>
    <row r="8" spans="1:38" x14ac:dyDescent="0.25">
      <c r="A8">
        <v>118</v>
      </c>
      <c r="B8" t="s">
        <v>657</v>
      </c>
      <c r="C8" t="s">
        <v>41</v>
      </c>
      <c r="D8">
        <v>500</v>
      </c>
      <c r="E8">
        <v>2.5000000000000001E-2</v>
      </c>
      <c r="F8" t="s">
        <v>654</v>
      </c>
      <c r="G8" t="s">
        <v>42</v>
      </c>
      <c r="H8" t="s">
        <v>64</v>
      </c>
      <c r="I8" t="s">
        <v>44</v>
      </c>
      <c r="J8">
        <v>5</v>
      </c>
      <c r="K8">
        <v>2</v>
      </c>
      <c r="L8" t="s">
        <v>650</v>
      </c>
      <c r="M8" t="s">
        <v>652</v>
      </c>
      <c r="N8" t="s">
        <v>651</v>
      </c>
      <c r="O8" t="s">
        <v>653</v>
      </c>
      <c r="P8" t="s">
        <v>122</v>
      </c>
      <c r="Q8" t="s">
        <v>123</v>
      </c>
      <c r="R8" t="s">
        <v>124</v>
      </c>
      <c r="S8" t="s">
        <v>125</v>
      </c>
      <c r="T8" t="s">
        <v>51</v>
      </c>
      <c r="U8" t="s">
        <v>126</v>
      </c>
      <c r="V8" t="s">
        <v>53</v>
      </c>
      <c r="W8" t="b">
        <v>1</v>
      </c>
      <c r="X8" t="b">
        <v>1</v>
      </c>
      <c r="Y8">
        <v>1</v>
      </c>
      <c r="Z8">
        <v>1</v>
      </c>
      <c r="AA8" t="s">
        <v>56</v>
      </c>
      <c r="AB8" t="s">
        <v>57</v>
      </c>
      <c r="AC8">
        <v>0.25</v>
      </c>
      <c r="AD8" t="b">
        <v>1</v>
      </c>
      <c r="AE8" t="s">
        <v>23</v>
      </c>
      <c r="AF8">
        <v>20000</v>
      </c>
      <c r="AG8">
        <v>500</v>
      </c>
      <c r="AH8" t="s">
        <v>121</v>
      </c>
      <c r="AI8" t="b">
        <v>0</v>
      </c>
      <c r="AJ8" t="b">
        <v>0</v>
      </c>
      <c r="AK8" t="b">
        <v>1</v>
      </c>
      <c r="AL8" t="b">
        <v>0</v>
      </c>
    </row>
    <row r="9" spans="1:38" x14ac:dyDescent="0.25">
      <c r="A9">
        <v>119</v>
      </c>
      <c r="B9" t="s">
        <v>658</v>
      </c>
      <c r="C9" t="s">
        <v>41</v>
      </c>
      <c r="D9">
        <v>500</v>
      </c>
      <c r="E9">
        <v>2.5000000000000001E-2</v>
      </c>
      <c r="F9" t="s">
        <v>654</v>
      </c>
      <c r="G9" t="s">
        <v>42</v>
      </c>
      <c r="H9" t="s">
        <v>64</v>
      </c>
      <c r="I9" t="s">
        <v>44</v>
      </c>
      <c r="J9">
        <v>5</v>
      </c>
      <c r="K9">
        <v>2</v>
      </c>
      <c r="L9" t="s">
        <v>650</v>
      </c>
      <c r="M9" t="s">
        <v>652</v>
      </c>
      <c r="N9" t="s">
        <v>651</v>
      </c>
      <c r="O9" t="s">
        <v>653</v>
      </c>
      <c r="P9" t="s">
        <v>122</v>
      </c>
      <c r="Q9" t="s">
        <v>123</v>
      </c>
      <c r="R9" t="s">
        <v>124</v>
      </c>
      <c r="S9" t="s">
        <v>125</v>
      </c>
      <c r="T9" t="s">
        <v>51</v>
      </c>
      <c r="U9" t="s">
        <v>126</v>
      </c>
      <c r="V9" t="s">
        <v>53</v>
      </c>
      <c r="W9" t="b">
        <v>1</v>
      </c>
      <c r="X9" t="b">
        <v>1</v>
      </c>
      <c r="Y9">
        <v>1</v>
      </c>
      <c r="Z9">
        <v>1</v>
      </c>
      <c r="AA9" t="s">
        <v>56</v>
      </c>
      <c r="AB9" t="s">
        <v>60</v>
      </c>
      <c r="AC9">
        <v>1</v>
      </c>
      <c r="AD9" t="b">
        <v>1</v>
      </c>
      <c r="AE9" t="s">
        <v>23</v>
      </c>
      <c r="AF9">
        <v>20000</v>
      </c>
      <c r="AG9">
        <v>500</v>
      </c>
      <c r="AH9" t="s">
        <v>121</v>
      </c>
      <c r="AI9" t="b">
        <v>0</v>
      </c>
      <c r="AJ9" t="b">
        <v>0</v>
      </c>
      <c r="AK9" t="b">
        <v>1</v>
      </c>
      <c r="AL9" t="b">
        <v>0</v>
      </c>
    </row>
    <row r="10" spans="1:38" x14ac:dyDescent="0.25">
      <c r="A10">
        <v>120</v>
      </c>
      <c r="B10" t="s">
        <v>669</v>
      </c>
      <c r="C10" t="s">
        <v>41</v>
      </c>
      <c r="D10">
        <v>500</v>
      </c>
      <c r="E10">
        <v>2.5000000000000001E-2</v>
      </c>
      <c r="F10" t="s">
        <v>654</v>
      </c>
      <c r="G10" t="s">
        <v>42</v>
      </c>
      <c r="H10" t="s">
        <v>64</v>
      </c>
      <c r="I10" t="s">
        <v>44</v>
      </c>
      <c r="J10">
        <v>5</v>
      </c>
      <c r="K10">
        <v>2</v>
      </c>
      <c r="L10" t="s">
        <v>650</v>
      </c>
      <c r="M10" t="s">
        <v>652</v>
      </c>
      <c r="N10" t="s">
        <v>651</v>
      </c>
      <c r="O10" t="s">
        <v>653</v>
      </c>
      <c r="P10" t="s">
        <v>122</v>
      </c>
      <c r="Q10" t="s">
        <v>673</v>
      </c>
      <c r="R10" t="s">
        <v>124</v>
      </c>
      <c r="S10" t="s">
        <v>125</v>
      </c>
      <c r="T10" t="s">
        <v>51</v>
      </c>
      <c r="U10" t="s">
        <v>126</v>
      </c>
      <c r="V10" t="s">
        <v>53</v>
      </c>
      <c r="W10" t="b">
        <v>1</v>
      </c>
      <c r="X10" t="b">
        <v>1</v>
      </c>
      <c r="Y10">
        <v>1</v>
      </c>
      <c r="Z10">
        <v>1</v>
      </c>
      <c r="AA10" t="s">
        <v>56</v>
      </c>
      <c r="AB10" t="s">
        <v>57</v>
      </c>
      <c r="AC10">
        <v>0.75</v>
      </c>
      <c r="AD10" t="b">
        <v>1</v>
      </c>
      <c r="AE10" t="s">
        <v>23</v>
      </c>
      <c r="AF10">
        <v>20000</v>
      </c>
      <c r="AG10">
        <v>500</v>
      </c>
      <c r="AH10" t="s">
        <v>121</v>
      </c>
      <c r="AI10" t="b">
        <v>0</v>
      </c>
      <c r="AJ10" t="b">
        <v>0</v>
      </c>
      <c r="AK10" t="b">
        <v>1</v>
      </c>
      <c r="AL10" t="b">
        <v>0</v>
      </c>
    </row>
    <row r="11" spans="1:38" x14ac:dyDescent="0.25">
      <c r="A11">
        <v>121</v>
      </c>
      <c r="B11" t="s">
        <v>670</v>
      </c>
      <c r="C11" t="s">
        <v>41</v>
      </c>
      <c r="D11">
        <v>500</v>
      </c>
      <c r="E11">
        <v>2.5000000000000001E-2</v>
      </c>
      <c r="F11" t="s">
        <v>654</v>
      </c>
      <c r="G11" t="s">
        <v>42</v>
      </c>
      <c r="H11" t="s">
        <v>64</v>
      </c>
      <c r="I11" t="s">
        <v>44</v>
      </c>
      <c r="J11">
        <v>5</v>
      </c>
      <c r="K11">
        <v>2</v>
      </c>
      <c r="L11" t="s">
        <v>650</v>
      </c>
      <c r="M11" t="s">
        <v>652</v>
      </c>
      <c r="N11" t="s">
        <v>651</v>
      </c>
      <c r="O11" t="s">
        <v>653</v>
      </c>
      <c r="P11" t="s">
        <v>122</v>
      </c>
      <c r="Q11" t="s">
        <v>673</v>
      </c>
      <c r="R11" t="s">
        <v>124</v>
      </c>
      <c r="S11" t="s">
        <v>125</v>
      </c>
      <c r="T11" t="s">
        <v>51</v>
      </c>
      <c r="U11" t="s">
        <v>126</v>
      </c>
      <c r="V11" t="s">
        <v>53</v>
      </c>
      <c r="W11" t="b">
        <v>1</v>
      </c>
      <c r="X11" t="b">
        <v>1</v>
      </c>
      <c r="Y11">
        <v>1</v>
      </c>
      <c r="Z11">
        <v>1</v>
      </c>
      <c r="AA11" t="s">
        <v>56</v>
      </c>
      <c r="AB11" t="s">
        <v>57</v>
      </c>
      <c r="AC11">
        <v>0.5</v>
      </c>
      <c r="AD11" t="b">
        <v>1</v>
      </c>
      <c r="AE11" t="s">
        <v>23</v>
      </c>
      <c r="AF11">
        <v>20000</v>
      </c>
      <c r="AG11">
        <v>500</v>
      </c>
      <c r="AH11" t="s">
        <v>121</v>
      </c>
      <c r="AI11" t="b">
        <v>0</v>
      </c>
      <c r="AJ11" t="b">
        <v>0</v>
      </c>
      <c r="AK11" t="b">
        <v>1</v>
      </c>
      <c r="AL11" t="b">
        <v>0</v>
      </c>
    </row>
    <row r="12" spans="1:38" x14ac:dyDescent="0.25">
      <c r="A12">
        <v>122</v>
      </c>
      <c r="B12" t="s">
        <v>671</v>
      </c>
      <c r="C12" t="s">
        <v>41</v>
      </c>
      <c r="D12">
        <v>500</v>
      </c>
      <c r="E12">
        <v>2.5000000000000001E-2</v>
      </c>
      <c r="F12" t="s">
        <v>654</v>
      </c>
      <c r="G12" t="s">
        <v>42</v>
      </c>
      <c r="H12" t="s">
        <v>64</v>
      </c>
      <c r="I12" t="s">
        <v>44</v>
      </c>
      <c r="J12">
        <v>5</v>
      </c>
      <c r="K12">
        <v>2</v>
      </c>
      <c r="L12" t="s">
        <v>650</v>
      </c>
      <c r="M12" t="s">
        <v>652</v>
      </c>
      <c r="N12" t="s">
        <v>651</v>
      </c>
      <c r="O12" t="s">
        <v>653</v>
      </c>
      <c r="P12" t="s">
        <v>122</v>
      </c>
      <c r="Q12" t="s">
        <v>673</v>
      </c>
      <c r="R12" t="s">
        <v>124</v>
      </c>
      <c r="S12" t="s">
        <v>125</v>
      </c>
      <c r="T12" t="s">
        <v>51</v>
      </c>
      <c r="U12" t="s">
        <v>126</v>
      </c>
      <c r="V12" t="s">
        <v>53</v>
      </c>
      <c r="W12" t="b">
        <v>1</v>
      </c>
      <c r="X12" t="b">
        <v>1</v>
      </c>
      <c r="Y12">
        <v>1</v>
      </c>
      <c r="Z12">
        <v>1</v>
      </c>
      <c r="AA12" t="s">
        <v>56</v>
      </c>
      <c r="AB12" t="s">
        <v>57</v>
      </c>
      <c r="AC12">
        <v>0.25</v>
      </c>
      <c r="AD12" t="b">
        <v>1</v>
      </c>
      <c r="AE12" t="s">
        <v>23</v>
      </c>
      <c r="AF12">
        <v>20000</v>
      </c>
      <c r="AG12">
        <v>500</v>
      </c>
      <c r="AH12" t="s">
        <v>121</v>
      </c>
      <c r="AI12" t="b">
        <v>0</v>
      </c>
      <c r="AJ12" t="b">
        <v>0</v>
      </c>
      <c r="AK12" t="b">
        <v>1</v>
      </c>
      <c r="AL12" t="b">
        <v>0</v>
      </c>
    </row>
    <row r="13" spans="1:38" x14ac:dyDescent="0.25">
      <c r="A13">
        <v>123</v>
      </c>
      <c r="B13" t="s">
        <v>672</v>
      </c>
      <c r="C13" t="s">
        <v>41</v>
      </c>
      <c r="D13">
        <v>500</v>
      </c>
      <c r="E13">
        <v>2.5000000000000001E-2</v>
      </c>
      <c r="F13" t="s">
        <v>654</v>
      </c>
      <c r="G13" t="s">
        <v>42</v>
      </c>
      <c r="H13" t="s">
        <v>64</v>
      </c>
      <c r="I13" t="s">
        <v>44</v>
      </c>
      <c r="J13">
        <v>5</v>
      </c>
      <c r="K13">
        <v>2</v>
      </c>
      <c r="L13" t="s">
        <v>650</v>
      </c>
      <c r="M13" t="s">
        <v>652</v>
      </c>
      <c r="N13" t="s">
        <v>651</v>
      </c>
      <c r="O13" t="s">
        <v>653</v>
      </c>
      <c r="P13" t="s">
        <v>122</v>
      </c>
      <c r="Q13" t="s">
        <v>673</v>
      </c>
      <c r="R13" t="s">
        <v>124</v>
      </c>
      <c r="S13" t="s">
        <v>125</v>
      </c>
      <c r="T13" t="s">
        <v>51</v>
      </c>
      <c r="U13" t="s">
        <v>126</v>
      </c>
      <c r="V13" t="s">
        <v>53</v>
      </c>
      <c r="W13" t="b">
        <v>1</v>
      </c>
      <c r="X13" t="b">
        <v>1</v>
      </c>
      <c r="Y13">
        <v>1</v>
      </c>
      <c r="Z13">
        <v>1</v>
      </c>
      <c r="AA13" t="s">
        <v>56</v>
      </c>
      <c r="AB13" t="s">
        <v>60</v>
      </c>
      <c r="AC13">
        <v>1</v>
      </c>
      <c r="AD13" t="b">
        <v>1</v>
      </c>
      <c r="AE13" t="s">
        <v>23</v>
      </c>
      <c r="AF13">
        <v>20000</v>
      </c>
      <c r="AG13">
        <v>500</v>
      </c>
      <c r="AH13" t="s">
        <v>121</v>
      </c>
      <c r="AI13" t="b">
        <v>0</v>
      </c>
      <c r="AJ13" t="b">
        <v>0</v>
      </c>
      <c r="AK13" t="b">
        <v>1</v>
      </c>
      <c r="AL13" t="b">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A25AE-0BB6-47A6-A7E5-4DCAE8F773C5}">
  <dimension ref="A1:CD30"/>
  <sheetViews>
    <sheetView workbookViewId="0">
      <pane xSplit="2" ySplit="2" topLeftCell="BT3" activePane="bottomRight" state="frozen"/>
      <selection pane="topRight" activeCell="C1" sqref="C1"/>
      <selection pane="bottomLeft" activeCell="A3" sqref="A3"/>
      <selection pane="bottomRight" activeCell="BY2" sqref="BY2:BZ14"/>
    </sheetView>
  </sheetViews>
  <sheetFormatPr defaultRowHeight="15" x14ac:dyDescent="0.25"/>
  <cols>
    <col min="1" max="1" width="10.85546875" bestFit="1" customWidth="1"/>
    <col min="2" max="2" width="48" bestFit="1" customWidth="1"/>
    <col min="4" max="4" width="15" customWidth="1"/>
    <col min="5" max="5" width="19.42578125" customWidth="1"/>
    <col min="6" max="6" width="18.85546875" customWidth="1"/>
    <col min="8" max="8" width="24.28515625" customWidth="1"/>
    <col min="9" max="9" width="28.7109375" customWidth="1"/>
    <col min="10" max="10" width="28.140625" customWidth="1"/>
    <col min="11" max="11" width="17.28515625" customWidth="1"/>
    <col min="12" max="12" width="26" customWidth="1"/>
    <col min="13" max="13" width="30.5703125" customWidth="1"/>
    <col min="14" max="14" width="13.7109375" customWidth="1"/>
    <col min="16" max="16" width="9.7109375" customWidth="1"/>
    <col min="17" max="17" width="13.140625" customWidth="1"/>
    <col min="19" max="19" width="14" customWidth="1"/>
    <col min="20" max="20" width="17" customWidth="1"/>
    <col min="21" max="21" width="12.85546875" customWidth="1"/>
    <col min="22" max="22" width="14.42578125" customWidth="1"/>
    <col min="25" max="25" width="9.85546875" customWidth="1"/>
    <col min="26" max="26" width="13.140625" customWidth="1"/>
    <col min="27" max="27" width="14.5703125" customWidth="1"/>
    <col min="28" max="28" width="12.42578125" customWidth="1"/>
    <col min="29" max="29" width="17.42578125" customWidth="1"/>
    <col min="30" max="30" width="9.5703125" customWidth="1"/>
    <col min="33" max="33" width="10.42578125" customWidth="1"/>
    <col min="34" max="34" width="10.85546875" customWidth="1"/>
    <col min="35" max="35" width="14.7109375" customWidth="1"/>
    <col min="36" max="36" width="17.5703125" customWidth="1"/>
    <col min="37" max="37" width="11.140625" customWidth="1"/>
    <col min="38" max="38" width="15.28515625" customWidth="1"/>
    <col min="39" max="39" width="16.140625" customWidth="1"/>
    <col min="40" max="40" width="15.85546875" customWidth="1"/>
    <col min="41" max="41" width="18.7109375" customWidth="1"/>
    <col min="42" max="42" width="19.140625" customWidth="1"/>
    <col min="43" max="43" width="20.28515625" customWidth="1"/>
    <col min="44" max="44" width="13" customWidth="1"/>
    <col min="45" max="45" width="13.85546875" customWidth="1"/>
    <col min="46" max="46" width="20.42578125" customWidth="1"/>
    <col min="48" max="48" width="14.7109375" customWidth="1"/>
    <col min="49" max="49" width="13" customWidth="1"/>
    <col min="50" max="50" width="10" customWidth="1"/>
    <col min="52" max="52" width="15.42578125" customWidth="1"/>
    <col min="53" max="53" width="11.5703125" customWidth="1"/>
    <col min="54" max="54" width="14.28515625" customWidth="1"/>
    <col min="55" max="55" width="11" customWidth="1"/>
    <col min="56" max="56" width="14.28515625" bestFit="1" customWidth="1"/>
    <col min="57" max="57" width="13" bestFit="1" customWidth="1"/>
    <col min="58" max="58" width="14.7109375" bestFit="1" customWidth="1"/>
    <col min="59" max="59" width="17.42578125" bestFit="1" customWidth="1"/>
    <col min="60" max="60" width="10.5703125" bestFit="1" customWidth="1"/>
    <col min="61" max="61" width="11.42578125" bestFit="1" customWidth="1"/>
    <col min="62" max="62" width="13.140625" bestFit="1" customWidth="1"/>
    <col min="63" max="63" width="15.85546875" bestFit="1" customWidth="1"/>
    <col min="64" max="64" width="11.28515625" bestFit="1" customWidth="1"/>
    <col min="65" max="65" width="12.140625" bestFit="1" customWidth="1"/>
    <col min="66" max="66" width="13.85546875" bestFit="1" customWidth="1"/>
    <col min="67" max="67" width="16.5703125" bestFit="1" customWidth="1"/>
    <col min="68" max="68" width="12.5703125" customWidth="1"/>
    <col min="69" max="69" width="16.42578125" bestFit="1" customWidth="1"/>
    <col min="70" max="70" width="21.7109375" bestFit="1" customWidth="1"/>
    <col min="71" max="71" width="21" bestFit="1" customWidth="1"/>
    <col min="72" max="72" width="12" bestFit="1" customWidth="1"/>
    <col min="73" max="73" width="26.42578125" bestFit="1" customWidth="1"/>
    <col min="74" max="74" width="31.7109375" bestFit="1" customWidth="1"/>
    <col min="75" max="75" width="31" bestFit="1" customWidth="1"/>
    <col min="76" max="76" width="19.5703125" bestFit="1" customWidth="1"/>
    <col min="77" max="77" width="16" bestFit="1" customWidth="1"/>
    <col min="78" max="78" width="17.85546875" bestFit="1" customWidth="1"/>
    <col min="79" max="79" width="14.140625" bestFit="1" customWidth="1"/>
    <col min="80" max="80" width="16.140625" bestFit="1" customWidth="1"/>
    <col min="81" max="81" width="14.85546875" bestFit="1" customWidth="1"/>
    <col min="82" max="82" width="16.85546875" bestFit="1" customWidth="1"/>
  </cols>
  <sheetData>
    <row r="1" spans="1:82" x14ac:dyDescent="0.25">
      <c r="BD1" s="3" t="s">
        <v>626</v>
      </c>
      <c r="BE1" s="3"/>
      <c r="BF1" s="3"/>
      <c r="BG1" s="3"/>
      <c r="BH1" s="3"/>
      <c r="BI1" s="3"/>
      <c r="BJ1" s="3"/>
      <c r="BK1" s="3"/>
      <c r="BL1" s="3"/>
      <c r="BM1" s="3"/>
      <c r="BN1" s="3"/>
      <c r="BO1" s="3"/>
      <c r="BP1" s="29" t="s">
        <v>1255</v>
      </c>
      <c r="BQ1" s="11"/>
      <c r="BR1" s="11"/>
      <c r="BS1" s="11"/>
      <c r="BT1" s="11"/>
      <c r="BU1" s="11"/>
      <c r="BV1" s="11"/>
      <c r="BW1" s="11"/>
      <c r="BX1" s="11"/>
      <c r="BY1" s="11"/>
      <c r="BZ1" s="11"/>
      <c r="CA1" s="11"/>
      <c r="CB1" s="11"/>
      <c r="CC1" s="11"/>
      <c r="CD1" s="11"/>
    </row>
    <row r="2" spans="1:82" x14ac:dyDescent="0.25">
      <c r="A2" t="s">
        <v>0</v>
      </c>
      <c r="B2" t="s">
        <v>1</v>
      </c>
      <c r="C2" t="s">
        <v>69</v>
      </c>
      <c r="D2" t="s">
        <v>70</v>
      </c>
      <c r="E2" t="s">
        <v>71</v>
      </c>
      <c r="F2" t="s">
        <v>72</v>
      </c>
      <c r="G2" t="s">
        <v>73</v>
      </c>
      <c r="H2" t="s">
        <v>74</v>
      </c>
      <c r="I2" t="s">
        <v>75</v>
      </c>
      <c r="J2" t="s">
        <v>76</v>
      </c>
      <c r="K2" t="s">
        <v>77</v>
      </c>
      <c r="L2" t="s">
        <v>78</v>
      </c>
      <c r="M2" t="s">
        <v>79</v>
      </c>
      <c r="N2" t="s">
        <v>80</v>
      </c>
      <c r="O2" t="s">
        <v>81</v>
      </c>
      <c r="P2" t="s">
        <v>2</v>
      </c>
      <c r="Q2" t="s">
        <v>3</v>
      </c>
      <c r="R2" t="s">
        <v>4</v>
      </c>
      <c r="S2" t="s">
        <v>5</v>
      </c>
      <c r="T2" t="s">
        <v>6</v>
      </c>
      <c r="U2" t="s">
        <v>7</v>
      </c>
      <c r="V2" t="s">
        <v>8</v>
      </c>
      <c r="W2" t="s">
        <v>9</v>
      </c>
      <c r="X2" t="s">
        <v>10</v>
      </c>
      <c r="Y2" t="s">
        <v>11</v>
      </c>
      <c r="Z2" t="s">
        <v>12</v>
      </c>
      <c r="AA2" t="s">
        <v>13</v>
      </c>
      <c r="AB2" t="s">
        <v>14</v>
      </c>
      <c r="AC2" t="s">
        <v>15</v>
      </c>
      <c r="AD2" t="s">
        <v>16</v>
      </c>
      <c r="AE2" t="s">
        <v>17</v>
      </c>
      <c r="AF2" t="s">
        <v>18</v>
      </c>
      <c r="AG2" t="s">
        <v>19</v>
      </c>
      <c r="AH2" t="s">
        <v>20</v>
      </c>
      <c r="AI2" t="s">
        <v>21</v>
      </c>
      <c r="AJ2" t="s">
        <v>22</v>
      </c>
      <c r="AK2" t="s">
        <v>23</v>
      </c>
      <c r="AL2" t="s">
        <v>24</v>
      </c>
      <c r="AM2" t="s">
        <v>25</v>
      </c>
      <c r="AN2" t="s">
        <v>26</v>
      </c>
      <c r="AO2" t="s">
        <v>27</v>
      </c>
      <c r="AP2" t="s">
        <v>28</v>
      </c>
      <c r="AQ2" t="s">
        <v>29</v>
      </c>
      <c r="AR2" t="s">
        <v>30</v>
      </c>
      <c r="AS2" t="s">
        <v>31</v>
      </c>
      <c r="AT2" t="s">
        <v>32</v>
      </c>
      <c r="AU2" t="s">
        <v>594</v>
      </c>
      <c r="AV2" t="s">
        <v>34</v>
      </c>
      <c r="AW2" t="s">
        <v>35</v>
      </c>
      <c r="AX2" t="s">
        <v>36</v>
      </c>
      <c r="AY2" t="s">
        <v>37</v>
      </c>
      <c r="AZ2" t="s">
        <v>38</v>
      </c>
      <c r="BA2" t="s">
        <v>1066</v>
      </c>
      <c r="BB2" t="s">
        <v>39</v>
      </c>
      <c r="BC2" t="s">
        <v>1127</v>
      </c>
      <c r="BD2" t="s">
        <v>1136</v>
      </c>
      <c r="BE2" t="s">
        <v>1137</v>
      </c>
      <c r="BF2" t="s">
        <v>1138</v>
      </c>
      <c r="BG2" t="s">
        <v>1139</v>
      </c>
      <c r="BH2" t="s">
        <v>1129</v>
      </c>
      <c r="BI2" t="s">
        <v>1128</v>
      </c>
      <c r="BJ2" t="s">
        <v>1130</v>
      </c>
      <c r="BK2" t="s">
        <v>1131</v>
      </c>
      <c r="BL2" t="s">
        <v>1132</v>
      </c>
      <c r="BM2" t="s">
        <v>1133</v>
      </c>
      <c r="BN2" t="s">
        <v>1134</v>
      </c>
      <c r="BO2" t="s">
        <v>1135</v>
      </c>
      <c r="BP2" s="28" t="s">
        <v>1178</v>
      </c>
      <c r="BQ2" s="28" t="s">
        <v>1247</v>
      </c>
      <c r="BR2" s="28" t="s">
        <v>1248</v>
      </c>
      <c r="BS2" s="28" t="s">
        <v>1249</v>
      </c>
      <c r="BT2" s="28" t="s">
        <v>1250</v>
      </c>
      <c r="BU2" s="28" t="s">
        <v>1251</v>
      </c>
      <c r="BV2" s="28" t="s">
        <v>1252</v>
      </c>
      <c r="BW2" s="28" t="s">
        <v>1253</v>
      </c>
      <c r="BX2" s="28" t="s">
        <v>1254</v>
      </c>
      <c r="BY2" s="28" t="s">
        <v>1256</v>
      </c>
      <c r="BZ2" s="28" t="s">
        <v>1259</v>
      </c>
      <c r="CA2" s="28" t="s">
        <v>1257</v>
      </c>
      <c r="CB2" s="28" t="s">
        <v>1260</v>
      </c>
      <c r="CC2" s="28" t="s">
        <v>1258</v>
      </c>
      <c r="CD2" s="28" t="s">
        <v>1261</v>
      </c>
    </row>
    <row r="3" spans="1:82" x14ac:dyDescent="0.25">
      <c r="A3">
        <v>108</v>
      </c>
      <c r="B3" t="s">
        <v>659</v>
      </c>
      <c r="C3">
        <v>7004</v>
      </c>
      <c r="D3">
        <v>2.4325916295814799E-2</v>
      </c>
      <c r="E3">
        <v>0</v>
      </c>
      <c r="F3">
        <v>0</v>
      </c>
      <c r="G3">
        <v>2.4325916295814799E-2</v>
      </c>
      <c r="H3" t="s">
        <v>1069</v>
      </c>
      <c r="I3" t="s">
        <v>83</v>
      </c>
      <c r="J3" t="s">
        <v>83</v>
      </c>
      <c r="K3" t="s">
        <v>1069</v>
      </c>
      <c r="L3" s="1">
        <v>26490</v>
      </c>
      <c r="M3" t="s">
        <v>1070</v>
      </c>
      <c r="N3">
        <v>0.98872114717960402</v>
      </c>
      <c r="O3" t="s">
        <v>85</v>
      </c>
      <c r="P3" t="s">
        <v>41</v>
      </c>
      <c r="Q3">
        <v>500</v>
      </c>
      <c r="R3">
        <v>2.5000000000000001E-2</v>
      </c>
      <c r="S3" t="s">
        <v>654</v>
      </c>
      <c r="T3" t="s">
        <v>42</v>
      </c>
      <c r="U3" t="s">
        <v>64</v>
      </c>
      <c r="V3" t="s">
        <v>44</v>
      </c>
      <c r="W3">
        <v>5</v>
      </c>
      <c r="X3">
        <v>2</v>
      </c>
      <c r="Y3" t="s">
        <v>650</v>
      </c>
      <c r="Z3" t="s">
        <v>652</v>
      </c>
      <c r="AA3" t="s">
        <v>651</v>
      </c>
      <c r="AB3" t="s">
        <v>653</v>
      </c>
      <c r="AC3" t="s">
        <v>122</v>
      </c>
      <c r="AD3" t="s">
        <v>663</v>
      </c>
      <c r="AE3" t="s">
        <v>124</v>
      </c>
      <c r="AF3" t="s">
        <v>125</v>
      </c>
      <c r="AG3" t="s">
        <v>51</v>
      </c>
      <c r="AH3" t="s">
        <v>126</v>
      </c>
      <c r="AI3" t="s">
        <v>53</v>
      </c>
      <c r="AJ3" t="b">
        <v>0</v>
      </c>
      <c r="AK3" t="b">
        <v>1</v>
      </c>
      <c r="AL3">
        <v>1</v>
      </c>
      <c r="AM3">
        <v>1</v>
      </c>
      <c r="AN3" t="s">
        <v>56</v>
      </c>
      <c r="AO3" t="s">
        <v>57</v>
      </c>
      <c r="AP3">
        <v>0.75</v>
      </c>
      <c r="AQ3" t="b">
        <v>1</v>
      </c>
      <c r="AR3" t="s">
        <v>23</v>
      </c>
      <c r="AS3">
        <v>20000</v>
      </c>
      <c r="AT3">
        <v>500</v>
      </c>
      <c r="AU3" t="s">
        <v>121</v>
      </c>
      <c r="AV3" t="b">
        <v>0</v>
      </c>
      <c r="AW3" t="b">
        <v>0</v>
      </c>
      <c r="AX3" t="b">
        <v>1</v>
      </c>
      <c r="AY3" t="b">
        <v>0</v>
      </c>
      <c r="BA3" t="s">
        <v>1067</v>
      </c>
      <c r="BC3" t="s">
        <v>42</v>
      </c>
      <c r="BD3" s="21">
        <f>INDEX(Table1[Global.Power],MATCH(Table2[[#This Row],[ModelID]],Table1[ModelID],0))</f>
        <v>2.18748937446872E-2</v>
      </c>
      <c r="BE3" s="24">
        <f>Table2[[#This Row],[FWER]]</f>
        <v>2.4325916295814799E-2</v>
      </c>
      <c r="BF3" s="22">
        <v>2.53E-2</v>
      </c>
      <c r="BG3" t="s">
        <v>900</v>
      </c>
      <c r="BH3" t="s">
        <v>42</v>
      </c>
      <c r="BI3" t="s">
        <v>42</v>
      </c>
      <c r="BJ3" t="s">
        <v>42</v>
      </c>
      <c r="BK3" t="s">
        <v>42</v>
      </c>
      <c r="BL3" t="s">
        <v>42</v>
      </c>
      <c r="BM3" t="s">
        <v>42</v>
      </c>
      <c r="BN3" t="s">
        <v>42</v>
      </c>
      <c r="BO3" t="s">
        <v>42</v>
      </c>
      <c r="BP3" s="28">
        <v>1.86436690416601</v>
      </c>
      <c r="BQ3" s="28">
        <v>2.4836945108353301E-2</v>
      </c>
      <c r="BR3" s="28">
        <v>0</v>
      </c>
      <c r="BS3" s="28">
        <v>0</v>
      </c>
      <c r="BT3" s="28">
        <v>2.4836945108353301E-2</v>
      </c>
      <c r="BU3" s="28" t="s">
        <v>1179</v>
      </c>
      <c r="BV3" s="28" t="s">
        <v>83</v>
      </c>
      <c r="BW3" s="28" t="s">
        <v>83</v>
      </c>
      <c r="BX3" s="28" t="s">
        <v>1179</v>
      </c>
      <c r="BY3" s="30">
        <v>2.53E-2</v>
      </c>
      <c r="BZ3" s="33">
        <f>Table2[[#This Row],[FWER5]]</f>
        <v>2.4836945108353301E-2</v>
      </c>
      <c r="CA3" s="28" t="s">
        <v>42</v>
      </c>
      <c r="CB3" s="28">
        <f>Table2[[#This Row],[Disjunctive.Power4]]</f>
        <v>0</v>
      </c>
      <c r="CC3" s="28" t="s">
        <v>42</v>
      </c>
      <c r="CD3" s="28">
        <f>Table2[[#This Row],[Conjunctive.Power3]]</f>
        <v>0</v>
      </c>
    </row>
    <row r="4" spans="1:82" x14ac:dyDescent="0.25">
      <c r="A4">
        <v>109</v>
      </c>
      <c r="B4" t="s">
        <v>660</v>
      </c>
      <c r="C4">
        <v>46401</v>
      </c>
      <c r="D4">
        <v>2.4755037751887601E-2</v>
      </c>
      <c r="E4">
        <v>0</v>
      </c>
      <c r="F4">
        <v>0</v>
      </c>
      <c r="G4">
        <v>2.4755037751887601E-2</v>
      </c>
      <c r="H4" t="s">
        <v>1071</v>
      </c>
      <c r="I4" t="s">
        <v>83</v>
      </c>
      <c r="J4" t="s">
        <v>83</v>
      </c>
      <c r="K4" t="s">
        <v>1071</v>
      </c>
      <c r="L4" s="1">
        <v>28488</v>
      </c>
      <c r="M4" t="s">
        <v>1072</v>
      </c>
      <c r="N4">
        <v>0.81094737920496196</v>
      </c>
      <c r="O4" t="s">
        <v>85</v>
      </c>
      <c r="P4" t="s">
        <v>41</v>
      </c>
      <c r="Q4">
        <v>500</v>
      </c>
      <c r="R4">
        <v>2.5000000000000001E-2</v>
      </c>
      <c r="S4" t="s">
        <v>654</v>
      </c>
      <c r="T4" t="s">
        <v>42</v>
      </c>
      <c r="U4" t="s">
        <v>64</v>
      </c>
      <c r="V4" t="s">
        <v>44</v>
      </c>
      <c r="W4">
        <v>5</v>
      </c>
      <c r="X4">
        <v>2</v>
      </c>
      <c r="Y4" t="s">
        <v>650</v>
      </c>
      <c r="Z4" t="s">
        <v>652</v>
      </c>
      <c r="AA4" t="s">
        <v>651</v>
      </c>
      <c r="AB4" t="s">
        <v>653</v>
      </c>
      <c r="AC4" t="s">
        <v>122</v>
      </c>
      <c r="AD4" t="s">
        <v>663</v>
      </c>
      <c r="AE4" t="s">
        <v>124</v>
      </c>
      <c r="AF4" t="s">
        <v>125</v>
      </c>
      <c r="AG4" t="s">
        <v>51</v>
      </c>
      <c r="AH4" t="s">
        <v>126</v>
      </c>
      <c r="AI4" t="s">
        <v>53</v>
      </c>
      <c r="AJ4" t="b">
        <v>0</v>
      </c>
      <c r="AK4" t="b">
        <v>1</v>
      </c>
      <c r="AL4">
        <v>1</v>
      </c>
      <c r="AM4">
        <v>1</v>
      </c>
      <c r="AN4" t="s">
        <v>56</v>
      </c>
      <c r="AO4" t="s">
        <v>57</v>
      </c>
      <c r="AP4">
        <v>0.5</v>
      </c>
      <c r="AQ4" t="b">
        <v>1</v>
      </c>
      <c r="AR4" t="s">
        <v>23</v>
      </c>
      <c r="AS4">
        <v>20000</v>
      </c>
      <c r="AT4">
        <v>500</v>
      </c>
      <c r="AU4" t="s">
        <v>121</v>
      </c>
      <c r="AV4" t="b">
        <v>0</v>
      </c>
      <c r="AW4" t="b">
        <v>0</v>
      </c>
      <c r="AX4" t="b">
        <v>1</v>
      </c>
      <c r="AY4" t="b">
        <v>0</v>
      </c>
      <c r="BA4" t="s">
        <v>1067</v>
      </c>
      <c r="BC4" t="s">
        <v>42</v>
      </c>
      <c r="BD4" s="21">
        <f>INDEX(Table1[Global.Power],MATCH(Table2[[#This Row],[ModelID]],Table1[ModelID],0))</f>
        <v>2.1733599999999999E-2</v>
      </c>
      <c r="BE4" s="24">
        <f>Table2[[#This Row],[FWER]]</f>
        <v>2.4755037751887601E-2</v>
      </c>
      <c r="BF4" s="22">
        <v>2.4799999999999999E-2</v>
      </c>
      <c r="BG4" t="s">
        <v>901</v>
      </c>
      <c r="BH4" t="s">
        <v>42</v>
      </c>
      <c r="BI4" t="s">
        <v>42</v>
      </c>
      <c r="BJ4" t="s">
        <v>42</v>
      </c>
      <c r="BK4" t="s">
        <v>42</v>
      </c>
      <c r="BL4" t="s">
        <v>42</v>
      </c>
      <c r="BM4" t="s">
        <v>42</v>
      </c>
      <c r="BN4" t="s">
        <v>42</v>
      </c>
      <c r="BO4" t="s">
        <v>42</v>
      </c>
      <c r="BP4" s="28">
        <v>1.32373602834013</v>
      </c>
      <c r="BQ4" s="28">
        <v>2.49190967638706E-2</v>
      </c>
      <c r="BR4" s="28">
        <v>0</v>
      </c>
      <c r="BS4" s="28">
        <v>0</v>
      </c>
      <c r="BT4" s="28">
        <v>2.49190967638706E-2</v>
      </c>
      <c r="BU4" s="28" t="s">
        <v>1180</v>
      </c>
      <c r="BV4" s="28" t="s">
        <v>83</v>
      </c>
      <c r="BW4" s="28" t="s">
        <v>83</v>
      </c>
      <c r="BX4" s="28" t="s">
        <v>1180</v>
      </c>
      <c r="BY4" s="30">
        <v>2.4799999999999999E-2</v>
      </c>
      <c r="BZ4" s="33">
        <f>Table2[[#This Row],[FWER5]]</f>
        <v>2.49190967638706E-2</v>
      </c>
      <c r="CA4" s="28" t="s">
        <v>42</v>
      </c>
      <c r="CB4" s="28">
        <f>Table2[[#This Row],[Disjunctive.Power4]]</f>
        <v>0</v>
      </c>
      <c r="CC4" s="28" t="s">
        <v>42</v>
      </c>
      <c r="CD4" s="28">
        <f>Table2[[#This Row],[Conjunctive.Power3]]</f>
        <v>0</v>
      </c>
    </row>
    <row r="5" spans="1:82" x14ac:dyDescent="0.25">
      <c r="A5">
        <v>110</v>
      </c>
      <c r="B5" t="s">
        <v>661</v>
      </c>
      <c r="C5">
        <v>85736</v>
      </c>
      <c r="D5">
        <v>2.4657965796579698E-2</v>
      </c>
      <c r="E5">
        <v>0</v>
      </c>
      <c r="F5">
        <v>0</v>
      </c>
      <c r="G5">
        <v>2.4657965796579698E-2</v>
      </c>
      <c r="H5" t="s">
        <v>1073</v>
      </c>
      <c r="I5" t="s">
        <v>83</v>
      </c>
      <c r="J5" t="s">
        <v>83</v>
      </c>
      <c r="K5" t="s">
        <v>1073</v>
      </c>
      <c r="L5" s="1">
        <v>37448</v>
      </c>
      <c r="M5" t="s">
        <v>1074</v>
      </c>
      <c r="N5">
        <v>0.59678435689873199</v>
      </c>
      <c r="O5" t="s">
        <v>85</v>
      </c>
      <c r="P5" t="s">
        <v>41</v>
      </c>
      <c r="Q5">
        <v>500</v>
      </c>
      <c r="R5">
        <v>2.5000000000000001E-2</v>
      </c>
      <c r="S5" t="s">
        <v>654</v>
      </c>
      <c r="T5" t="s">
        <v>42</v>
      </c>
      <c r="U5" t="s">
        <v>64</v>
      </c>
      <c r="V5" t="s">
        <v>44</v>
      </c>
      <c r="W5">
        <v>5</v>
      </c>
      <c r="X5">
        <v>2</v>
      </c>
      <c r="Y5" t="s">
        <v>650</v>
      </c>
      <c r="Z5" t="s">
        <v>652</v>
      </c>
      <c r="AA5" t="s">
        <v>651</v>
      </c>
      <c r="AB5" t="s">
        <v>653</v>
      </c>
      <c r="AC5" t="s">
        <v>122</v>
      </c>
      <c r="AD5" t="s">
        <v>663</v>
      </c>
      <c r="AE5" t="s">
        <v>124</v>
      </c>
      <c r="AF5" t="s">
        <v>125</v>
      </c>
      <c r="AG5" t="s">
        <v>51</v>
      </c>
      <c r="AH5" t="s">
        <v>126</v>
      </c>
      <c r="AI5" t="s">
        <v>53</v>
      </c>
      <c r="AJ5" t="b">
        <v>0</v>
      </c>
      <c r="AK5" t="b">
        <v>1</v>
      </c>
      <c r="AL5">
        <v>1</v>
      </c>
      <c r="AM5">
        <v>1</v>
      </c>
      <c r="AN5" t="s">
        <v>56</v>
      </c>
      <c r="AO5" t="s">
        <v>57</v>
      </c>
      <c r="AP5">
        <v>0.25</v>
      </c>
      <c r="AQ5" t="b">
        <v>1</v>
      </c>
      <c r="AR5" t="s">
        <v>23</v>
      </c>
      <c r="AS5">
        <v>20000</v>
      </c>
      <c r="AT5">
        <v>500</v>
      </c>
      <c r="AU5" t="s">
        <v>121</v>
      </c>
      <c r="AV5" t="b">
        <v>0</v>
      </c>
      <c r="AW5" t="b">
        <v>0</v>
      </c>
      <c r="AX5" t="b">
        <v>1</v>
      </c>
      <c r="AY5" t="b">
        <v>0</v>
      </c>
      <c r="BA5" t="s">
        <v>1067</v>
      </c>
      <c r="BC5" t="s">
        <v>42</v>
      </c>
      <c r="BD5" s="21">
        <f>INDEX(Table1[Global.Power],MATCH(Table2[[#This Row],[ModelID]],Table1[ModelID],0))</f>
        <v>2.1485299999999999E-2</v>
      </c>
      <c r="BE5" s="24">
        <f>Table2[[#This Row],[FWER]]</f>
        <v>2.4657965796579698E-2</v>
      </c>
      <c r="BF5" s="22">
        <v>2.3400000000000001E-2</v>
      </c>
      <c r="BG5" t="s">
        <v>902</v>
      </c>
      <c r="BH5" t="s">
        <v>42</v>
      </c>
      <c r="BI5" t="s">
        <v>42</v>
      </c>
      <c r="BJ5" t="s">
        <v>42</v>
      </c>
      <c r="BK5" t="s">
        <v>42</v>
      </c>
      <c r="BL5" t="s">
        <v>42</v>
      </c>
      <c r="BM5" t="s">
        <v>42</v>
      </c>
      <c r="BN5" t="s">
        <v>42</v>
      </c>
      <c r="BO5" t="s">
        <v>42</v>
      </c>
      <c r="BP5" s="28">
        <v>0.84014721916781498</v>
      </c>
      <c r="BQ5" s="28">
        <v>2.4125623768713099E-2</v>
      </c>
      <c r="BR5" s="28">
        <v>0</v>
      </c>
      <c r="BS5" s="28">
        <v>0</v>
      </c>
      <c r="BT5" s="28">
        <v>2.4125623768713099E-2</v>
      </c>
      <c r="BU5" s="28" t="s">
        <v>1181</v>
      </c>
      <c r="BV5" s="28" t="s">
        <v>83</v>
      </c>
      <c r="BW5" s="28" t="s">
        <v>83</v>
      </c>
      <c r="BX5" s="28" t="s">
        <v>1181</v>
      </c>
      <c r="BY5" s="30">
        <v>2.3400000000000001E-2</v>
      </c>
      <c r="BZ5" s="33">
        <f>Table2[[#This Row],[FWER5]]</f>
        <v>2.4125623768713099E-2</v>
      </c>
      <c r="CA5" s="28" t="s">
        <v>42</v>
      </c>
      <c r="CB5" s="28">
        <f>Table2[[#This Row],[Disjunctive.Power4]]</f>
        <v>0</v>
      </c>
      <c r="CC5" s="28" t="s">
        <v>42</v>
      </c>
      <c r="CD5" s="28">
        <f>Table2[[#This Row],[Conjunctive.Power3]]</f>
        <v>0</v>
      </c>
    </row>
    <row r="6" spans="1:82" x14ac:dyDescent="0.25">
      <c r="A6">
        <v>111</v>
      </c>
      <c r="B6" t="s">
        <v>662</v>
      </c>
      <c r="C6">
        <v>81601</v>
      </c>
      <c r="D6">
        <v>2.22305230523052E-2</v>
      </c>
      <c r="E6">
        <v>0</v>
      </c>
      <c r="F6">
        <v>0</v>
      </c>
      <c r="G6">
        <v>2.22305230523052E-2</v>
      </c>
      <c r="H6" t="s">
        <v>1075</v>
      </c>
      <c r="I6" t="s">
        <v>83</v>
      </c>
      <c r="J6" t="s">
        <v>83</v>
      </c>
      <c r="K6" t="s">
        <v>1075</v>
      </c>
      <c r="L6" s="1">
        <v>32405</v>
      </c>
      <c r="M6" t="s">
        <v>1076</v>
      </c>
      <c r="N6">
        <v>0.61970669806003598</v>
      </c>
      <c r="O6" t="s">
        <v>85</v>
      </c>
      <c r="P6" t="s">
        <v>41</v>
      </c>
      <c r="Q6">
        <v>500</v>
      </c>
      <c r="R6">
        <v>2.5000000000000001E-2</v>
      </c>
      <c r="S6" t="s">
        <v>654</v>
      </c>
      <c r="T6" t="s">
        <v>42</v>
      </c>
      <c r="U6" t="s">
        <v>64</v>
      </c>
      <c r="V6" t="s">
        <v>44</v>
      </c>
      <c r="W6">
        <v>5</v>
      </c>
      <c r="X6">
        <v>2</v>
      </c>
      <c r="Y6" t="s">
        <v>650</v>
      </c>
      <c r="Z6" t="s">
        <v>652</v>
      </c>
      <c r="AA6" t="s">
        <v>651</v>
      </c>
      <c r="AB6" t="s">
        <v>653</v>
      </c>
      <c r="AC6" t="s">
        <v>122</v>
      </c>
      <c r="AD6" t="s">
        <v>663</v>
      </c>
      <c r="AE6" t="s">
        <v>124</v>
      </c>
      <c r="AF6" t="s">
        <v>125</v>
      </c>
      <c r="AG6" t="s">
        <v>51</v>
      </c>
      <c r="AH6" t="s">
        <v>126</v>
      </c>
      <c r="AI6" t="s">
        <v>53</v>
      </c>
      <c r="AJ6" t="b">
        <v>0</v>
      </c>
      <c r="AK6" t="b">
        <v>1</v>
      </c>
      <c r="AL6">
        <v>1</v>
      </c>
      <c r="AM6">
        <v>1</v>
      </c>
      <c r="AN6" t="s">
        <v>56</v>
      </c>
      <c r="AO6" t="s">
        <v>60</v>
      </c>
      <c r="AP6">
        <v>1</v>
      </c>
      <c r="AQ6" t="b">
        <v>1</v>
      </c>
      <c r="AR6" t="s">
        <v>23</v>
      </c>
      <c r="AS6">
        <v>20000</v>
      </c>
      <c r="AT6">
        <v>500</v>
      </c>
      <c r="AU6" t="s">
        <v>121</v>
      </c>
      <c r="AV6" t="b">
        <v>0</v>
      </c>
      <c r="AW6" t="b">
        <v>0</v>
      </c>
      <c r="AX6" t="b">
        <v>1</v>
      </c>
      <c r="AY6" t="b">
        <v>0</v>
      </c>
      <c r="BA6" t="s">
        <v>1067</v>
      </c>
      <c r="BC6" t="s">
        <v>42</v>
      </c>
      <c r="BD6" s="21">
        <f>INDEX(Table1[Global.Power],MATCH(Table2[[#This Row],[ModelID]],Table1[ModelID],0))</f>
        <v>2.02413E-2</v>
      </c>
      <c r="BE6" s="24">
        <f>Table2[[#This Row],[FWER]]</f>
        <v>2.22305230523052E-2</v>
      </c>
      <c r="BF6" s="22">
        <v>2.1899999999999999E-2</v>
      </c>
      <c r="BG6" t="s">
        <v>903</v>
      </c>
      <c r="BH6" t="s">
        <v>42</v>
      </c>
      <c r="BI6" t="s">
        <v>42</v>
      </c>
      <c r="BJ6" t="s">
        <v>42</v>
      </c>
      <c r="BK6" t="s">
        <v>42</v>
      </c>
      <c r="BL6" t="s">
        <v>42</v>
      </c>
      <c r="BM6" t="s">
        <v>42</v>
      </c>
      <c r="BN6" t="s">
        <v>42</v>
      </c>
      <c r="BO6" t="s">
        <v>42</v>
      </c>
      <c r="BP6" s="28">
        <v>0.966689798037211</v>
      </c>
      <c r="BQ6" s="28">
        <v>2.2007560604848399E-2</v>
      </c>
      <c r="BR6" s="28">
        <v>0</v>
      </c>
      <c r="BS6" s="28">
        <v>0</v>
      </c>
      <c r="BT6" s="28">
        <v>2.2007560604848399E-2</v>
      </c>
      <c r="BU6" s="28" t="s">
        <v>1182</v>
      </c>
      <c r="BV6" s="28" t="s">
        <v>83</v>
      </c>
      <c r="BW6" s="28" t="s">
        <v>83</v>
      </c>
      <c r="BX6" s="28" t="s">
        <v>1182</v>
      </c>
      <c r="BY6" s="30">
        <v>2.1899999999999999E-2</v>
      </c>
      <c r="BZ6" s="33">
        <f>Table2[[#This Row],[FWER5]]</f>
        <v>2.2007560604848399E-2</v>
      </c>
      <c r="CA6" s="28" t="s">
        <v>42</v>
      </c>
      <c r="CB6" s="28">
        <f>Table2[[#This Row],[Disjunctive.Power4]]</f>
        <v>0</v>
      </c>
      <c r="CC6" s="28" t="s">
        <v>42</v>
      </c>
      <c r="CD6" s="28">
        <f>Table2[[#This Row],[Conjunctive.Power3]]</f>
        <v>0</v>
      </c>
    </row>
    <row r="7" spans="1:82" x14ac:dyDescent="0.25">
      <c r="A7">
        <v>116</v>
      </c>
      <c r="B7" t="s">
        <v>655</v>
      </c>
      <c r="C7">
        <v>30352</v>
      </c>
      <c r="D7">
        <v>2.3815599999999999E-2</v>
      </c>
      <c r="E7">
        <v>0</v>
      </c>
      <c r="F7">
        <v>0</v>
      </c>
      <c r="G7">
        <v>2.3815599999999999E-2</v>
      </c>
      <c r="H7" t="s">
        <v>1077</v>
      </c>
      <c r="I7" t="s">
        <v>83</v>
      </c>
      <c r="J7" t="s">
        <v>83</v>
      </c>
      <c r="K7" t="s">
        <v>1077</v>
      </c>
      <c r="L7" s="1">
        <v>17460</v>
      </c>
      <c r="M7" t="s">
        <v>1078</v>
      </c>
      <c r="N7">
        <v>1.00701050387488</v>
      </c>
      <c r="O7" t="s">
        <v>85</v>
      </c>
      <c r="P7" t="s">
        <v>41</v>
      </c>
      <c r="Q7">
        <v>500</v>
      </c>
      <c r="R7">
        <v>2.5000000000000001E-2</v>
      </c>
      <c r="S7" t="s">
        <v>654</v>
      </c>
      <c r="T7" t="s">
        <v>42</v>
      </c>
      <c r="U7" t="s">
        <v>64</v>
      </c>
      <c r="V7" t="s">
        <v>44</v>
      </c>
      <c r="W7">
        <v>5</v>
      </c>
      <c r="X7">
        <v>2</v>
      </c>
      <c r="Y7" t="s">
        <v>650</v>
      </c>
      <c r="Z7" t="s">
        <v>652</v>
      </c>
      <c r="AA7" t="s">
        <v>651</v>
      </c>
      <c r="AB7" t="s">
        <v>653</v>
      </c>
      <c r="AC7" t="s">
        <v>122</v>
      </c>
      <c r="AD7" t="s">
        <v>123</v>
      </c>
      <c r="AE7" t="s">
        <v>124</v>
      </c>
      <c r="AF7" t="s">
        <v>125</v>
      </c>
      <c r="AG7" t="s">
        <v>51</v>
      </c>
      <c r="AH7" t="s">
        <v>126</v>
      </c>
      <c r="AI7" t="s">
        <v>53</v>
      </c>
      <c r="AJ7" t="b">
        <v>0</v>
      </c>
      <c r="AK7" t="b">
        <v>1</v>
      </c>
      <c r="AL7">
        <v>1</v>
      </c>
      <c r="AM7">
        <v>1</v>
      </c>
      <c r="AN7" t="s">
        <v>56</v>
      </c>
      <c r="AO7" t="s">
        <v>57</v>
      </c>
      <c r="AP7">
        <v>0.75</v>
      </c>
      <c r="AQ7" t="b">
        <v>1</v>
      </c>
      <c r="AR7" t="s">
        <v>23</v>
      </c>
      <c r="AS7">
        <v>20000</v>
      </c>
      <c r="AT7">
        <v>500</v>
      </c>
      <c r="AU7" t="s">
        <v>121</v>
      </c>
      <c r="AV7" t="b">
        <v>0</v>
      </c>
      <c r="AW7" t="b">
        <v>0</v>
      </c>
      <c r="AX7" t="b">
        <v>1</v>
      </c>
      <c r="AY7" t="b">
        <v>0</v>
      </c>
      <c r="BA7" t="s">
        <v>1067</v>
      </c>
      <c r="BC7" t="s">
        <v>42</v>
      </c>
      <c r="BD7" s="21">
        <f>INDEX(Table1[Global.Power],MATCH(Table2[[#This Row],[ModelID]],Table1[ModelID],0))</f>
        <v>2.2385499999999999E-2</v>
      </c>
      <c r="BE7" s="24">
        <f>Table2[[#This Row],[FWER]]</f>
        <v>2.3815599999999999E-2</v>
      </c>
      <c r="BF7" s="22">
        <v>2.5000000000000001E-2</v>
      </c>
      <c r="BG7" t="s">
        <v>904</v>
      </c>
      <c r="BH7" t="s">
        <v>42</v>
      </c>
      <c r="BI7" t="s">
        <v>42</v>
      </c>
      <c r="BJ7" t="s">
        <v>42</v>
      </c>
      <c r="BK7" t="s">
        <v>42</v>
      </c>
      <c r="BL7" t="s">
        <v>42</v>
      </c>
      <c r="BM7" t="s">
        <v>42</v>
      </c>
      <c r="BN7" t="s">
        <v>42</v>
      </c>
      <c r="BO7" t="s">
        <v>42</v>
      </c>
      <c r="BP7" s="28">
        <v>1.9287760516670001</v>
      </c>
      <c r="BQ7" s="28">
        <v>2.50009E-2</v>
      </c>
      <c r="BR7" s="28">
        <v>0</v>
      </c>
      <c r="BS7" s="28">
        <v>0</v>
      </c>
      <c r="BT7" s="28">
        <v>2.50009E-2</v>
      </c>
      <c r="BU7" s="28" t="s">
        <v>1183</v>
      </c>
      <c r="BV7" s="28" t="s">
        <v>83</v>
      </c>
      <c r="BW7" s="28" t="s">
        <v>83</v>
      </c>
      <c r="BX7" s="28" t="s">
        <v>1183</v>
      </c>
      <c r="BY7" s="30">
        <v>2.5000000000000001E-2</v>
      </c>
      <c r="BZ7" s="33">
        <f>Table2[[#This Row],[FWER5]]</f>
        <v>2.50009E-2</v>
      </c>
      <c r="CA7" s="28" t="s">
        <v>42</v>
      </c>
      <c r="CB7" s="28">
        <f>Table2[[#This Row],[Disjunctive.Power4]]</f>
        <v>0</v>
      </c>
      <c r="CC7" s="28" t="s">
        <v>42</v>
      </c>
      <c r="CD7" s="28">
        <f>Table2[[#This Row],[Conjunctive.Power3]]</f>
        <v>0</v>
      </c>
    </row>
    <row r="8" spans="1:82" x14ac:dyDescent="0.25">
      <c r="A8">
        <v>117</v>
      </c>
      <c r="B8" t="s">
        <v>656</v>
      </c>
      <c r="C8">
        <v>67272</v>
      </c>
      <c r="D8">
        <v>2.47201720172017E-2</v>
      </c>
      <c r="E8">
        <v>0</v>
      </c>
      <c r="F8">
        <v>0</v>
      </c>
      <c r="G8">
        <v>2.47201720172017E-2</v>
      </c>
      <c r="H8" t="s">
        <v>1079</v>
      </c>
      <c r="I8" t="s">
        <v>83</v>
      </c>
      <c r="J8" t="s">
        <v>83</v>
      </c>
      <c r="K8" t="s">
        <v>1079</v>
      </c>
      <c r="L8" s="1">
        <v>27463</v>
      </c>
      <c r="M8" t="s">
        <v>1080</v>
      </c>
      <c r="N8">
        <v>0.81550726638899895</v>
      </c>
      <c r="O8" t="s">
        <v>85</v>
      </c>
      <c r="P8" t="s">
        <v>41</v>
      </c>
      <c r="Q8">
        <v>500</v>
      </c>
      <c r="R8">
        <v>2.5000000000000001E-2</v>
      </c>
      <c r="S8" t="s">
        <v>654</v>
      </c>
      <c r="T8" t="s">
        <v>42</v>
      </c>
      <c r="U8" t="s">
        <v>64</v>
      </c>
      <c r="V8" t="s">
        <v>44</v>
      </c>
      <c r="W8">
        <v>5</v>
      </c>
      <c r="X8">
        <v>2</v>
      </c>
      <c r="Y8" t="s">
        <v>650</v>
      </c>
      <c r="Z8" t="s">
        <v>652</v>
      </c>
      <c r="AA8" t="s">
        <v>651</v>
      </c>
      <c r="AB8" t="s">
        <v>653</v>
      </c>
      <c r="AC8" t="s">
        <v>122</v>
      </c>
      <c r="AD8" t="s">
        <v>123</v>
      </c>
      <c r="AE8" t="s">
        <v>124</v>
      </c>
      <c r="AF8" t="s">
        <v>125</v>
      </c>
      <c r="AG8" t="s">
        <v>51</v>
      </c>
      <c r="AH8" t="s">
        <v>126</v>
      </c>
      <c r="AI8" t="s">
        <v>53</v>
      </c>
      <c r="AJ8" t="b">
        <v>0</v>
      </c>
      <c r="AK8" t="b">
        <v>1</v>
      </c>
      <c r="AL8">
        <v>1</v>
      </c>
      <c r="AM8">
        <v>1</v>
      </c>
      <c r="AN8" t="s">
        <v>56</v>
      </c>
      <c r="AO8" t="s">
        <v>57</v>
      </c>
      <c r="AP8">
        <v>0.5</v>
      </c>
      <c r="AQ8" t="b">
        <v>1</v>
      </c>
      <c r="AR8" t="s">
        <v>23</v>
      </c>
      <c r="AS8">
        <v>20000</v>
      </c>
      <c r="AT8">
        <v>500</v>
      </c>
      <c r="AU8" t="s">
        <v>121</v>
      </c>
      <c r="AV8" t="b">
        <v>0</v>
      </c>
      <c r="AW8" t="b">
        <v>0</v>
      </c>
      <c r="AX8" t="b">
        <v>1</v>
      </c>
      <c r="AY8" t="b">
        <v>0</v>
      </c>
      <c r="BA8" t="s">
        <v>1067</v>
      </c>
      <c r="BC8" t="s">
        <v>42</v>
      </c>
      <c r="BD8" s="21">
        <f>INDEX(Table1[Global.Power],MATCH(Table2[[#This Row],[ModelID]],Table1[ModelID],0))</f>
        <v>2.2250599999999999E-2</v>
      </c>
      <c r="BE8" s="24">
        <f>Table2[[#This Row],[FWER]]</f>
        <v>2.47201720172017E-2</v>
      </c>
      <c r="BF8" s="22">
        <v>2.5000000000000001E-2</v>
      </c>
      <c r="BG8" t="s">
        <v>904</v>
      </c>
      <c r="BH8" t="s">
        <v>42</v>
      </c>
      <c r="BI8" t="s">
        <v>42</v>
      </c>
      <c r="BJ8" t="s">
        <v>42</v>
      </c>
      <c r="BK8" t="s">
        <v>42</v>
      </c>
      <c r="BL8" t="s">
        <v>42</v>
      </c>
      <c r="BM8" t="s">
        <v>42</v>
      </c>
      <c r="BN8" t="s">
        <v>42</v>
      </c>
      <c r="BO8" t="s">
        <v>42</v>
      </c>
      <c r="BP8" s="28">
        <v>1.3423477405309701</v>
      </c>
      <c r="BQ8" s="28">
        <v>2.4857894315772601E-2</v>
      </c>
      <c r="BR8" s="28">
        <v>0</v>
      </c>
      <c r="BS8" s="28">
        <v>0</v>
      </c>
      <c r="BT8" s="28">
        <v>2.4857894315772601E-2</v>
      </c>
      <c r="BU8" s="28" t="s">
        <v>1184</v>
      </c>
      <c r="BV8" s="28" t="s">
        <v>83</v>
      </c>
      <c r="BW8" s="28" t="s">
        <v>83</v>
      </c>
      <c r="BX8" s="28" t="s">
        <v>1184</v>
      </c>
      <c r="BY8" s="30">
        <v>2.5000000000000001E-2</v>
      </c>
      <c r="BZ8" s="33">
        <f>Table2[[#This Row],[FWER5]]</f>
        <v>2.4857894315772601E-2</v>
      </c>
      <c r="CA8" s="28" t="s">
        <v>42</v>
      </c>
      <c r="CB8" s="28">
        <f>Table2[[#This Row],[Disjunctive.Power4]]</f>
        <v>0</v>
      </c>
      <c r="CC8" s="28" t="s">
        <v>42</v>
      </c>
      <c r="CD8" s="28">
        <f>Table2[[#This Row],[Conjunctive.Power3]]</f>
        <v>0</v>
      </c>
    </row>
    <row r="9" spans="1:82" x14ac:dyDescent="0.25">
      <c r="A9">
        <v>118</v>
      </c>
      <c r="B9" t="s">
        <v>657</v>
      </c>
      <c r="C9">
        <v>94231</v>
      </c>
      <c r="D9">
        <v>2.4464099999999999E-2</v>
      </c>
      <c r="E9">
        <v>0</v>
      </c>
      <c r="F9">
        <v>0</v>
      </c>
      <c r="G9">
        <v>2.4464099999999999E-2</v>
      </c>
      <c r="H9" t="s">
        <v>1081</v>
      </c>
      <c r="I9" t="s">
        <v>83</v>
      </c>
      <c r="J9" t="s">
        <v>83</v>
      </c>
      <c r="K9" t="s">
        <v>1081</v>
      </c>
      <c r="L9" s="1">
        <v>29473</v>
      </c>
      <c r="M9" t="s">
        <v>1082</v>
      </c>
      <c r="N9">
        <v>0.59547665192021304</v>
      </c>
      <c r="O9" t="s">
        <v>85</v>
      </c>
      <c r="P9" t="s">
        <v>41</v>
      </c>
      <c r="Q9">
        <v>500</v>
      </c>
      <c r="R9">
        <v>2.5000000000000001E-2</v>
      </c>
      <c r="S9" t="s">
        <v>654</v>
      </c>
      <c r="T9" t="s">
        <v>42</v>
      </c>
      <c r="U9" t="s">
        <v>64</v>
      </c>
      <c r="V9" t="s">
        <v>44</v>
      </c>
      <c r="W9">
        <v>5</v>
      </c>
      <c r="X9">
        <v>2</v>
      </c>
      <c r="Y9" t="s">
        <v>650</v>
      </c>
      <c r="Z9" t="s">
        <v>652</v>
      </c>
      <c r="AA9" t="s">
        <v>651</v>
      </c>
      <c r="AB9" t="s">
        <v>653</v>
      </c>
      <c r="AC9" t="s">
        <v>122</v>
      </c>
      <c r="AD9" t="s">
        <v>123</v>
      </c>
      <c r="AE9" t="s">
        <v>124</v>
      </c>
      <c r="AF9" t="s">
        <v>125</v>
      </c>
      <c r="AG9" t="s">
        <v>51</v>
      </c>
      <c r="AH9" t="s">
        <v>126</v>
      </c>
      <c r="AI9" t="s">
        <v>53</v>
      </c>
      <c r="AJ9" t="b">
        <v>0</v>
      </c>
      <c r="AK9" t="b">
        <v>1</v>
      </c>
      <c r="AL9">
        <v>1</v>
      </c>
      <c r="AM9">
        <v>1</v>
      </c>
      <c r="AN9" t="s">
        <v>56</v>
      </c>
      <c r="AO9" t="s">
        <v>57</v>
      </c>
      <c r="AP9">
        <v>0.25</v>
      </c>
      <c r="AQ9" t="b">
        <v>1</v>
      </c>
      <c r="AR9" t="s">
        <v>23</v>
      </c>
      <c r="AS9">
        <v>20000</v>
      </c>
      <c r="AT9">
        <v>500</v>
      </c>
      <c r="AU9" t="s">
        <v>121</v>
      </c>
      <c r="AV9" t="b">
        <v>0</v>
      </c>
      <c r="AW9" t="b">
        <v>0</v>
      </c>
      <c r="AX9" t="b">
        <v>1</v>
      </c>
      <c r="AY9" t="b">
        <v>0</v>
      </c>
      <c r="BA9" t="s">
        <v>1067</v>
      </c>
      <c r="BC9" t="s">
        <v>42</v>
      </c>
      <c r="BD9" s="21">
        <f>INDEX(Table1[Global.Power],MATCH(Table2[[#This Row],[ModelID]],Table1[ModelID],0))</f>
        <v>2.1458600000000001E-2</v>
      </c>
      <c r="BE9" s="24">
        <f>Table2[[#This Row],[FWER]]</f>
        <v>2.4464099999999999E-2</v>
      </c>
      <c r="BF9" s="22">
        <v>2.4E-2</v>
      </c>
      <c r="BG9" t="s">
        <v>905</v>
      </c>
      <c r="BH9" t="s">
        <v>42</v>
      </c>
      <c r="BI9" t="s">
        <v>42</v>
      </c>
      <c r="BJ9" t="s">
        <v>42</v>
      </c>
      <c r="BK9" t="s">
        <v>42</v>
      </c>
      <c r="BL9" t="s">
        <v>42</v>
      </c>
      <c r="BM9" t="s">
        <v>42</v>
      </c>
      <c r="BN9" t="s">
        <v>42</v>
      </c>
      <c r="BO9" t="s">
        <v>42</v>
      </c>
      <c r="BP9" s="28">
        <v>0.87193031026257395</v>
      </c>
      <c r="BQ9" s="28">
        <v>2.4093640936409401E-2</v>
      </c>
      <c r="BR9" s="28">
        <v>0</v>
      </c>
      <c r="BS9" s="28">
        <v>0</v>
      </c>
      <c r="BT9" s="28">
        <v>2.4093640936409401E-2</v>
      </c>
      <c r="BU9" s="28" t="s">
        <v>1185</v>
      </c>
      <c r="BV9" s="28" t="s">
        <v>83</v>
      </c>
      <c r="BW9" s="28" t="s">
        <v>83</v>
      </c>
      <c r="BX9" s="28" t="s">
        <v>1185</v>
      </c>
      <c r="BY9" s="30">
        <v>2.4E-2</v>
      </c>
      <c r="BZ9" s="33">
        <f>Table2[[#This Row],[FWER5]]</f>
        <v>2.4093640936409401E-2</v>
      </c>
      <c r="CA9" s="28" t="s">
        <v>42</v>
      </c>
      <c r="CB9" s="28">
        <f>Table2[[#This Row],[Disjunctive.Power4]]</f>
        <v>0</v>
      </c>
      <c r="CC9" s="28" t="s">
        <v>42</v>
      </c>
      <c r="CD9" s="28">
        <f>Table2[[#This Row],[Conjunctive.Power3]]</f>
        <v>0</v>
      </c>
    </row>
    <row r="10" spans="1:82" x14ac:dyDescent="0.25">
      <c r="A10">
        <v>119</v>
      </c>
      <c r="B10" t="s">
        <v>658</v>
      </c>
      <c r="C10">
        <v>77913</v>
      </c>
      <c r="D10">
        <v>2.2505525276263798E-2</v>
      </c>
      <c r="E10">
        <v>0</v>
      </c>
      <c r="F10">
        <v>0</v>
      </c>
      <c r="G10">
        <v>2.2505525276263798E-2</v>
      </c>
      <c r="H10" t="s">
        <v>1083</v>
      </c>
      <c r="I10" t="s">
        <v>83</v>
      </c>
      <c r="J10" t="s">
        <v>83</v>
      </c>
      <c r="K10" t="s">
        <v>1083</v>
      </c>
      <c r="L10" s="1">
        <v>31418</v>
      </c>
      <c r="M10" t="s">
        <v>1084</v>
      </c>
      <c r="N10">
        <v>0.60886492358313704</v>
      </c>
      <c r="O10" t="s">
        <v>85</v>
      </c>
      <c r="P10" t="s">
        <v>41</v>
      </c>
      <c r="Q10">
        <v>500</v>
      </c>
      <c r="R10">
        <v>2.5000000000000001E-2</v>
      </c>
      <c r="S10" t="s">
        <v>654</v>
      </c>
      <c r="T10" t="s">
        <v>42</v>
      </c>
      <c r="U10" t="s">
        <v>64</v>
      </c>
      <c r="V10" t="s">
        <v>44</v>
      </c>
      <c r="W10">
        <v>5</v>
      </c>
      <c r="X10">
        <v>2</v>
      </c>
      <c r="Y10" t="s">
        <v>650</v>
      </c>
      <c r="Z10" t="s">
        <v>652</v>
      </c>
      <c r="AA10" t="s">
        <v>651</v>
      </c>
      <c r="AB10" t="s">
        <v>653</v>
      </c>
      <c r="AC10" t="s">
        <v>122</v>
      </c>
      <c r="AD10" t="s">
        <v>123</v>
      </c>
      <c r="AE10" t="s">
        <v>124</v>
      </c>
      <c r="AF10" t="s">
        <v>125</v>
      </c>
      <c r="AG10" t="s">
        <v>51</v>
      </c>
      <c r="AH10" t="s">
        <v>126</v>
      </c>
      <c r="AI10" t="s">
        <v>53</v>
      </c>
      <c r="AJ10" t="b">
        <v>0</v>
      </c>
      <c r="AK10" t="b">
        <v>1</v>
      </c>
      <c r="AL10">
        <v>1</v>
      </c>
      <c r="AM10">
        <v>1</v>
      </c>
      <c r="AN10" t="s">
        <v>56</v>
      </c>
      <c r="AO10" t="s">
        <v>60</v>
      </c>
      <c r="AP10">
        <v>1</v>
      </c>
      <c r="AQ10" t="b">
        <v>1</v>
      </c>
      <c r="AR10" t="s">
        <v>23</v>
      </c>
      <c r="AS10">
        <v>20000</v>
      </c>
      <c r="AT10">
        <v>500</v>
      </c>
      <c r="AU10" t="s">
        <v>121</v>
      </c>
      <c r="AV10" t="b">
        <v>0</v>
      </c>
      <c r="AW10" t="b">
        <v>0</v>
      </c>
      <c r="AX10" t="b">
        <v>1</v>
      </c>
      <c r="AY10" t="b">
        <v>0</v>
      </c>
      <c r="BA10" t="s">
        <v>1067</v>
      </c>
      <c r="BC10" t="s">
        <v>42</v>
      </c>
      <c r="BD10" s="21">
        <f>INDEX(Table1[Global.Power],MATCH(Table2[[#This Row],[ModelID]],Table1[ModelID],0))</f>
        <v>2.1028100000000001E-2</v>
      </c>
      <c r="BE10" s="24">
        <f>Table2[[#This Row],[FWER]]</f>
        <v>2.2505525276263798E-2</v>
      </c>
      <c r="BF10" s="22">
        <v>2.2200000000000001E-2</v>
      </c>
      <c r="BG10" t="s">
        <v>906</v>
      </c>
      <c r="BH10" t="s">
        <v>42</v>
      </c>
      <c r="BI10" t="s">
        <v>42</v>
      </c>
      <c r="BJ10" t="s">
        <v>42</v>
      </c>
      <c r="BK10" t="s">
        <v>42</v>
      </c>
      <c r="BL10" t="s">
        <v>42</v>
      </c>
      <c r="BM10" t="s">
        <v>42</v>
      </c>
      <c r="BN10" t="s">
        <v>42</v>
      </c>
      <c r="BO10" t="s">
        <v>42</v>
      </c>
      <c r="BP10" s="28">
        <v>0.95736010392506898</v>
      </c>
      <c r="BQ10" s="28">
        <v>2.2398515866428E-2</v>
      </c>
      <c r="BR10" s="28">
        <v>0</v>
      </c>
      <c r="BS10" s="28">
        <v>0</v>
      </c>
      <c r="BT10" s="28">
        <v>2.2398515866428E-2</v>
      </c>
      <c r="BU10" s="28" t="s">
        <v>1186</v>
      </c>
      <c r="BV10" s="28" t="s">
        <v>83</v>
      </c>
      <c r="BW10" s="28" t="s">
        <v>83</v>
      </c>
      <c r="BX10" s="28" t="s">
        <v>1186</v>
      </c>
      <c r="BY10" s="30">
        <v>2.2200000000000001E-2</v>
      </c>
      <c r="BZ10" s="33">
        <f>Table2[[#This Row],[FWER5]]</f>
        <v>2.2398515866428E-2</v>
      </c>
      <c r="CA10" s="28" t="s">
        <v>42</v>
      </c>
      <c r="CB10" s="28">
        <f>Table2[[#This Row],[Disjunctive.Power4]]</f>
        <v>0</v>
      </c>
      <c r="CC10" s="28" t="s">
        <v>42</v>
      </c>
      <c r="CD10" s="28">
        <f>Table2[[#This Row],[Conjunctive.Power3]]</f>
        <v>0</v>
      </c>
    </row>
    <row r="11" spans="1:82" x14ac:dyDescent="0.25">
      <c r="A11">
        <v>120</v>
      </c>
      <c r="B11" t="s">
        <v>669</v>
      </c>
      <c r="C11">
        <v>46169</v>
      </c>
      <c r="D11">
        <v>2.49763E-2</v>
      </c>
      <c r="E11">
        <v>0</v>
      </c>
      <c r="F11">
        <v>0</v>
      </c>
      <c r="G11">
        <v>2.49763E-2</v>
      </c>
      <c r="H11" t="s">
        <v>1085</v>
      </c>
      <c r="I11" t="s">
        <v>83</v>
      </c>
      <c r="J11" t="s">
        <v>83</v>
      </c>
      <c r="K11" t="s">
        <v>1085</v>
      </c>
      <c r="L11" s="1">
        <v>26472</v>
      </c>
      <c r="M11" t="s">
        <v>1086</v>
      </c>
      <c r="N11">
        <v>1.00227628337012</v>
      </c>
      <c r="O11" t="s">
        <v>85</v>
      </c>
      <c r="P11" t="s">
        <v>41</v>
      </c>
      <c r="Q11">
        <v>500</v>
      </c>
      <c r="R11">
        <v>2.5000000000000001E-2</v>
      </c>
      <c r="S11" t="s">
        <v>654</v>
      </c>
      <c r="T11" t="s">
        <v>42</v>
      </c>
      <c r="U11" t="s">
        <v>64</v>
      </c>
      <c r="V11" t="s">
        <v>44</v>
      </c>
      <c r="W11">
        <v>5</v>
      </c>
      <c r="X11">
        <v>2</v>
      </c>
      <c r="Y11" t="s">
        <v>650</v>
      </c>
      <c r="Z11" t="s">
        <v>652</v>
      </c>
      <c r="AA11" t="s">
        <v>651</v>
      </c>
      <c r="AB11" t="s">
        <v>653</v>
      </c>
      <c r="AC11" t="s">
        <v>122</v>
      </c>
      <c r="AD11" t="s">
        <v>673</v>
      </c>
      <c r="AE11" t="s">
        <v>124</v>
      </c>
      <c r="AF11" t="s">
        <v>125</v>
      </c>
      <c r="AG11" t="s">
        <v>51</v>
      </c>
      <c r="AH11" t="s">
        <v>126</v>
      </c>
      <c r="AI11" t="s">
        <v>53</v>
      </c>
      <c r="AJ11" t="b">
        <v>0</v>
      </c>
      <c r="AK11" t="b">
        <v>1</v>
      </c>
      <c r="AL11">
        <v>1</v>
      </c>
      <c r="AM11">
        <v>1</v>
      </c>
      <c r="AN11" t="s">
        <v>56</v>
      </c>
      <c r="AO11" t="s">
        <v>57</v>
      </c>
      <c r="AP11">
        <v>0.75</v>
      </c>
      <c r="AQ11" t="b">
        <v>1</v>
      </c>
      <c r="AR11" t="s">
        <v>23</v>
      </c>
      <c r="AS11">
        <v>20000</v>
      </c>
      <c r="AT11">
        <v>500</v>
      </c>
      <c r="AU11" t="s">
        <v>121</v>
      </c>
      <c r="AV11" t="b">
        <v>0</v>
      </c>
      <c r="AW11" t="b">
        <v>0</v>
      </c>
      <c r="AX11" t="b">
        <v>1</v>
      </c>
      <c r="AY11" t="b">
        <v>0</v>
      </c>
      <c r="BA11" t="s">
        <v>1067</v>
      </c>
      <c r="BC11" t="s">
        <v>42</v>
      </c>
      <c r="BD11" s="21">
        <f>INDEX(Table1[Global.Power],MATCH(Table2[[#This Row],[ModelID]],Table1[ModelID],0))</f>
        <v>2.2590499999999999E-2</v>
      </c>
      <c r="BE11" s="24">
        <f>Table2[[#This Row],[FWER]]</f>
        <v>2.49763E-2</v>
      </c>
      <c r="BF11" s="22">
        <v>2.5100000000000001E-2</v>
      </c>
      <c r="BG11" t="s">
        <v>907</v>
      </c>
      <c r="BH11" t="s">
        <v>42</v>
      </c>
      <c r="BI11" t="s">
        <v>42</v>
      </c>
      <c r="BJ11" t="s">
        <v>42</v>
      </c>
      <c r="BK11" t="s">
        <v>42</v>
      </c>
      <c r="BL11" t="s">
        <v>42</v>
      </c>
      <c r="BM11" t="s">
        <v>42</v>
      </c>
      <c r="BN11" t="s">
        <v>42</v>
      </c>
      <c r="BO11" t="s">
        <v>42</v>
      </c>
      <c r="BP11" s="28">
        <v>1.9173191552691999</v>
      </c>
      <c r="BQ11" s="28">
        <v>2.5177355320659602E-2</v>
      </c>
      <c r="BR11" s="28">
        <v>0</v>
      </c>
      <c r="BS11" s="28">
        <v>0</v>
      </c>
      <c r="BT11" s="28">
        <v>2.5177355320659602E-2</v>
      </c>
      <c r="BU11" s="28" t="s">
        <v>1187</v>
      </c>
      <c r="BV11" s="28" t="s">
        <v>83</v>
      </c>
      <c r="BW11" s="28" t="s">
        <v>83</v>
      </c>
      <c r="BX11" s="28" t="s">
        <v>1187</v>
      </c>
      <c r="BY11" s="30">
        <v>2.5100000000000001E-2</v>
      </c>
      <c r="BZ11" s="33">
        <f>Table2[[#This Row],[FWER5]]</f>
        <v>2.5177355320659602E-2</v>
      </c>
      <c r="CA11" s="28" t="s">
        <v>42</v>
      </c>
      <c r="CB11" s="28">
        <f>Table2[[#This Row],[Disjunctive.Power4]]</f>
        <v>0</v>
      </c>
      <c r="CC11" s="28" t="s">
        <v>42</v>
      </c>
      <c r="CD11" s="28">
        <f>Table2[[#This Row],[Conjunctive.Power3]]</f>
        <v>0</v>
      </c>
    </row>
    <row r="12" spans="1:82" x14ac:dyDescent="0.25">
      <c r="A12">
        <v>121</v>
      </c>
      <c r="B12" t="s">
        <v>670</v>
      </c>
      <c r="C12">
        <v>18397</v>
      </c>
      <c r="D12">
        <v>2.39527E-2</v>
      </c>
      <c r="E12">
        <v>0</v>
      </c>
      <c r="F12">
        <v>0</v>
      </c>
      <c r="G12">
        <v>2.39527E-2</v>
      </c>
      <c r="H12" t="s">
        <v>1087</v>
      </c>
      <c r="I12" t="s">
        <v>83</v>
      </c>
      <c r="J12" t="s">
        <v>83</v>
      </c>
      <c r="K12" t="s">
        <v>1087</v>
      </c>
      <c r="L12" s="1">
        <v>20475</v>
      </c>
      <c r="M12" t="s">
        <v>1088</v>
      </c>
      <c r="N12">
        <v>0.81421863747967604</v>
      </c>
      <c r="O12" t="s">
        <v>85</v>
      </c>
      <c r="P12" t="s">
        <v>41</v>
      </c>
      <c r="Q12">
        <v>500</v>
      </c>
      <c r="R12">
        <v>2.5000000000000001E-2</v>
      </c>
      <c r="S12" t="s">
        <v>654</v>
      </c>
      <c r="T12" t="s">
        <v>42</v>
      </c>
      <c r="U12" t="s">
        <v>64</v>
      </c>
      <c r="V12" t="s">
        <v>44</v>
      </c>
      <c r="W12">
        <v>5</v>
      </c>
      <c r="X12">
        <v>2</v>
      </c>
      <c r="Y12" t="s">
        <v>650</v>
      </c>
      <c r="Z12" t="s">
        <v>652</v>
      </c>
      <c r="AA12" t="s">
        <v>651</v>
      </c>
      <c r="AB12" t="s">
        <v>653</v>
      </c>
      <c r="AC12" t="s">
        <v>122</v>
      </c>
      <c r="AD12" t="s">
        <v>673</v>
      </c>
      <c r="AE12" t="s">
        <v>124</v>
      </c>
      <c r="AF12" t="s">
        <v>125</v>
      </c>
      <c r="AG12" t="s">
        <v>51</v>
      </c>
      <c r="AH12" t="s">
        <v>126</v>
      </c>
      <c r="AI12" t="s">
        <v>53</v>
      </c>
      <c r="AJ12" t="b">
        <v>0</v>
      </c>
      <c r="AK12" t="b">
        <v>1</v>
      </c>
      <c r="AL12">
        <v>1</v>
      </c>
      <c r="AM12">
        <v>1</v>
      </c>
      <c r="AN12" t="s">
        <v>56</v>
      </c>
      <c r="AO12" t="s">
        <v>57</v>
      </c>
      <c r="AP12">
        <v>0.5</v>
      </c>
      <c r="AQ12" t="b">
        <v>1</v>
      </c>
      <c r="AR12" t="s">
        <v>23</v>
      </c>
      <c r="AS12">
        <v>20000</v>
      </c>
      <c r="AT12">
        <v>500</v>
      </c>
      <c r="AU12" t="s">
        <v>121</v>
      </c>
      <c r="AV12" t="b">
        <v>0</v>
      </c>
      <c r="AW12" t="b">
        <v>0</v>
      </c>
      <c r="AX12" t="b">
        <v>1</v>
      </c>
      <c r="AY12" t="b">
        <v>0</v>
      </c>
      <c r="BA12" t="s">
        <v>1067</v>
      </c>
      <c r="BC12" t="s">
        <v>42</v>
      </c>
      <c r="BD12" s="21">
        <f>INDEX(Table1[Global.Power],MATCH(Table2[[#This Row],[ModelID]],Table1[ModelID],0))</f>
        <v>2.2190600000000001E-2</v>
      </c>
      <c r="BE12" s="24">
        <f>Table2[[#This Row],[FWER]]</f>
        <v>2.39527E-2</v>
      </c>
      <c r="BF12" s="22">
        <v>2.47E-2</v>
      </c>
      <c r="BG12" t="s">
        <v>908</v>
      </c>
      <c r="BH12" t="s">
        <v>42</v>
      </c>
      <c r="BI12" t="s">
        <v>42</v>
      </c>
      <c r="BJ12" t="s">
        <v>42</v>
      </c>
      <c r="BK12" t="s">
        <v>42</v>
      </c>
      <c r="BL12" t="s">
        <v>42</v>
      </c>
      <c r="BM12" t="s">
        <v>42</v>
      </c>
      <c r="BN12" t="s">
        <v>42</v>
      </c>
      <c r="BO12" t="s">
        <v>42</v>
      </c>
      <c r="BP12" s="28">
        <v>1.3349317977825801</v>
      </c>
      <c r="BQ12" s="28">
        <v>2.4782499999999999E-2</v>
      </c>
      <c r="BR12" s="28">
        <v>0</v>
      </c>
      <c r="BS12" s="28">
        <v>0</v>
      </c>
      <c r="BT12" s="28">
        <v>2.4782499999999999E-2</v>
      </c>
      <c r="BU12" s="28" t="s">
        <v>1188</v>
      </c>
      <c r="BV12" s="28" t="s">
        <v>83</v>
      </c>
      <c r="BW12" s="28" t="s">
        <v>83</v>
      </c>
      <c r="BX12" s="28" t="s">
        <v>1188</v>
      </c>
      <c r="BY12" s="30">
        <v>2.47E-2</v>
      </c>
      <c r="BZ12" s="33">
        <f>Table2[[#This Row],[FWER5]]</f>
        <v>2.4782499999999999E-2</v>
      </c>
      <c r="CA12" s="28" t="s">
        <v>42</v>
      </c>
      <c r="CB12" s="28">
        <f>Table2[[#This Row],[Disjunctive.Power4]]</f>
        <v>0</v>
      </c>
      <c r="CC12" s="28" t="s">
        <v>42</v>
      </c>
      <c r="CD12" s="28">
        <f>Table2[[#This Row],[Conjunctive.Power3]]</f>
        <v>0</v>
      </c>
    </row>
    <row r="13" spans="1:82" x14ac:dyDescent="0.25">
      <c r="A13">
        <v>122</v>
      </c>
      <c r="B13" t="s">
        <v>671</v>
      </c>
      <c r="C13">
        <v>30076</v>
      </c>
      <c r="D13">
        <v>2.2895200000000001E-2</v>
      </c>
      <c r="E13">
        <v>0</v>
      </c>
      <c r="F13">
        <v>0</v>
      </c>
      <c r="G13">
        <v>2.2895200000000001E-2</v>
      </c>
      <c r="H13" t="s">
        <v>1089</v>
      </c>
      <c r="I13" t="s">
        <v>83</v>
      </c>
      <c r="J13" t="s">
        <v>83</v>
      </c>
      <c r="K13" t="s">
        <v>1089</v>
      </c>
      <c r="L13" s="1">
        <v>17413</v>
      </c>
      <c r="M13" t="s">
        <v>1090</v>
      </c>
      <c r="N13">
        <v>0.59401844753159405</v>
      </c>
      <c r="O13" t="s">
        <v>85</v>
      </c>
      <c r="P13" t="s">
        <v>41</v>
      </c>
      <c r="Q13">
        <v>500</v>
      </c>
      <c r="R13">
        <v>2.5000000000000001E-2</v>
      </c>
      <c r="S13" t="s">
        <v>654</v>
      </c>
      <c r="T13" t="s">
        <v>42</v>
      </c>
      <c r="U13" t="s">
        <v>64</v>
      </c>
      <c r="V13" t="s">
        <v>44</v>
      </c>
      <c r="W13">
        <v>5</v>
      </c>
      <c r="X13">
        <v>2</v>
      </c>
      <c r="Y13" t="s">
        <v>650</v>
      </c>
      <c r="Z13" t="s">
        <v>652</v>
      </c>
      <c r="AA13" t="s">
        <v>651</v>
      </c>
      <c r="AB13" t="s">
        <v>653</v>
      </c>
      <c r="AC13" t="s">
        <v>122</v>
      </c>
      <c r="AD13" t="s">
        <v>673</v>
      </c>
      <c r="AE13" t="s">
        <v>124</v>
      </c>
      <c r="AF13" t="s">
        <v>125</v>
      </c>
      <c r="AG13" t="s">
        <v>51</v>
      </c>
      <c r="AH13" t="s">
        <v>126</v>
      </c>
      <c r="AI13" t="s">
        <v>53</v>
      </c>
      <c r="AJ13" t="b">
        <v>0</v>
      </c>
      <c r="AK13" t="b">
        <v>1</v>
      </c>
      <c r="AL13">
        <v>1</v>
      </c>
      <c r="AM13">
        <v>1</v>
      </c>
      <c r="AN13" t="s">
        <v>56</v>
      </c>
      <c r="AO13" t="s">
        <v>57</v>
      </c>
      <c r="AP13">
        <v>0.25</v>
      </c>
      <c r="AQ13" t="b">
        <v>1</v>
      </c>
      <c r="AR13" t="s">
        <v>23</v>
      </c>
      <c r="AS13">
        <v>20000</v>
      </c>
      <c r="AT13">
        <v>500</v>
      </c>
      <c r="AU13" t="s">
        <v>121</v>
      </c>
      <c r="AV13" t="b">
        <v>0</v>
      </c>
      <c r="AW13" t="b">
        <v>0</v>
      </c>
      <c r="AX13" t="b">
        <v>1</v>
      </c>
      <c r="AY13" t="b">
        <v>0</v>
      </c>
      <c r="BA13" t="s">
        <v>1067</v>
      </c>
      <c r="BC13" t="s">
        <v>42</v>
      </c>
      <c r="BD13" s="21">
        <f>INDEX(Table1[Global.Power],MATCH(Table2[[#This Row],[ModelID]],Table1[ModelID],0))</f>
        <v>2.1846299999999999E-2</v>
      </c>
      <c r="BE13" s="24">
        <f>Table2[[#This Row],[FWER]]</f>
        <v>2.2895200000000001E-2</v>
      </c>
      <c r="BF13" s="22">
        <v>2.3900000000000001E-2</v>
      </c>
      <c r="BG13" t="s">
        <v>909</v>
      </c>
      <c r="BH13" t="s">
        <v>42</v>
      </c>
      <c r="BI13" t="s">
        <v>42</v>
      </c>
      <c r="BJ13" t="s">
        <v>42</v>
      </c>
      <c r="BK13" t="s">
        <v>42</v>
      </c>
      <c r="BL13" t="s">
        <v>42</v>
      </c>
      <c r="BM13" t="s">
        <v>42</v>
      </c>
      <c r="BN13" t="s">
        <v>42</v>
      </c>
      <c r="BO13" t="s">
        <v>42</v>
      </c>
      <c r="BP13" s="28">
        <v>0.84274460024303899</v>
      </c>
      <c r="BQ13" s="28">
        <v>2.39484394843948E-2</v>
      </c>
      <c r="BR13" s="28">
        <v>0</v>
      </c>
      <c r="BS13" s="28">
        <v>0</v>
      </c>
      <c r="BT13" s="28">
        <v>2.39484394843948E-2</v>
      </c>
      <c r="BU13" s="28" t="s">
        <v>1189</v>
      </c>
      <c r="BV13" s="28" t="s">
        <v>83</v>
      </c>
      <c r="BW13" s="28" t="s">
        <v>83</v>
      </c>
      <c r="BX13" s="28" t="s">
        <v>1189</v>
      </c>
      <c r="BY13" s="30">
        <v>2.3900000000000001E-2</v>
      </c>
      <c r="BZ13" s="33">
        <f>Table2[[#This Row],[FWER5]]</f>
        <v>2.39484394843948E-2</v>
      </c>
      <c r="CA13" s="28" t="s">
        <v>42</v>
      </c>
      <c r="CB13" s="28">
        <f>Table2[[#This Row],[Disjunctive.Power4]]</f>
        <v>0</v>
      </c>
      <c r="CC13" s="28" t="s">
        <v>42</v>
      </c>
      <c r="CD13" s="28">
        <f>Table2[[#This Row],[Conjunctive.Power3]]</f>
        <v>0</v>
      </c>
    </row>
    <row r="14" spans="1:82" x14ac:dyDescent="0.25">
      <c r="A14">
        <v>123</v>
      </c>
      <c r="B14" t="s">
        <v>672</v>
      </c>
      <c r="C14">
        <v>25818</v>
      </c>
      <c r="D14">
        <v>2.1629900000000001E-2</v>
      </c>
      <c r="E14">
        <v>0</v>
      </c>
      <c r="F14">
        <v>0</v>
      </c>
      <c r="G14">
        <v>2.1629900000000001E-2</v>
      </c>
      <c r="H14" t="s">
        <v>1091</v>
      </c>
      <c r="I14" t="s">
        <v>83</v>
      </c>
      <c r="J14" t="s">
        <v>83</v>
      </c>
      <c r="K14" t="s">
        <v>1091</v>
      </c>
      <c r="L14" s="1">
        <v>17376</v>
      </c>
      <c r="M14" t="s">
        <v>1092</v>
      </c>
      <c r="N14">
        <v>0.61044319470723496</v>
      </c>
      <c r="O14" t="s">
        <v>85</v>
      </c>
      <c r="P14" t="s">
        <v>41</v>
      </c>
      <c r="Q14">
        <v>500</v>
      </c>
      <c r="R14">
        <v>2.5000000000000001E-2</v>
      </c>
      <c r="S14" t="s">
        <v>654</v>
      </c>
      <c r="T14" t="s">
        <v>42</v>
      </c>
      <c r="U14" t="s">
        <v>64</v>
      </c>
      <c r="V14" t="s">
        <v>44</v>
      </c>
      <c r="W14">
        <v>5</v>
      </c>
      <c r="X14">
        <v>2</v>
      </c>
      <c r="Y14" t="s">
        <v>650</v>
      </c>
      <c r="Z14" t="s">
        <v>652</v>
      </c>
      <c r="AA14" t="s">
        <v>651</v>
      </c>
      <c r="AB14" t="s">
        <v>653</v>
      </c>
      <c r="AC14" t="s">
        <v>122</v>
      </c>
      <c r="AD14" t="s">
        <v>673</v>
      </c>
      <c r="AE14" t="s">
        <v>124</v>
      </c>
      <c r="AF14" t="s">
        <v>125</v>
      </c>
      <c r="AG14" t="s">
        <v>51</v>
      </c>
      <c r="AH14" t="s">
        <v>126</v>
      </c>
      <c r="AI14" t="s">
        <v>53</v>
      </c>
      <c r="AJ14" t="b">
        <v>0</v>
      </c>
      <c r="AK14" t="b">
        <v>1</v>
      </c>
      <c r="AL14">
        <v>1</v>
      </c>
      <c r="AM14">
        <v>1</v>
      </c>
      <c r="AN14" t="s">
        <v>56</v>
      </c>
      <c r="AO14" t="s">
        <v>60</v>
      </c>
      <c r="AP14">
        <v>1</v>
      </c>
      <c r="AQ14" t="b">
        <v>1</v>
      </c>
      <c r="AR14" t="s">
        <v>23</v>
      </c>
      <c r="AS14">
        <v>20000</v>
      </c>
      <c r="AT14">
        <v>500</v>
      </c>
      <c r="AU14" t="s">
        <v>121</v>
      </c>
      <c r="AV14" t="b">
        <v>0</v>
      </c>
      <c r="AW14" t="b">
        <v>0</v>
      </c>
      <c r="AX14" t="b">
        <v>1</v>
      </c>
      <c r="AY14" t="b">
        <v>0</v>
      </c>
      <c r="BA14" t="s">
        <v>1067</v>
      </c>
      <c r="BC14" t="s">
        <v>42</v>
      </c>
      <c r="BD14" s="21">
        <f>INDEX(Table1[Global.Power],MATCH(Table2[[#This Row],[ModelID]],Table1[ModelID],0))</f>
        <v>2.1291600000000001E-2</v>
      </c>
      <c r="BE14" s="24">
        <f>Table2[[#This Row],[FWER]]</f>
        <v>2.1629900000000001E-2</v>
      </c>
      <c r="BF14" s="22">
        <v>2.2499999999999999E-2</v>
      </c>
      <c r="BG14" t="s">
        <v>910</v>
      </c>
      <c r="BH14" t="s">
        <v>42</v>
      </c>
      <c r="BI14" t="s">
        <v>42</v>
      </c>
      <c r="BJ14" t="s">
        <v>42</v>
      </c>
      <c r="BK14" t="s">
        <v>42</v>
      </c>
      <c r="BL14" t="s">
        <v>42</v>
      </c>
      <c r="BM14" t="s">
        <v>42</v>
      </c>
      <c r="BN14" t="s">
        <v>42</v>
      </c>
      <c r="BO14" t="s">
        <v>42</v>
      </c>
      <c r="BP14" s="28">
        <v>0.95914827220969701</v>
      </c>
      <c r="BQ14" s="28">
        <v>2.23171390283417E-2</v>
      </c>
      <c r="BR14" s="28">
        <v>0</v>
      </c>
      <c r="BS14" s="28">
        <v>0</v>
      </c>
      <c r="BT14" s="28">
        <v>2.23171390283417E-2</v>
      </c>
      <c r="BU14" s="28" t="s">
        <v>1190</v>
      </c>
      <c r="BV14" s="28" t="s">
        <v>83</v>
      </c>
      <c r="BW14" s="28" t="s">
        <v>83</v>
      </c>
      <c r="BX14" s="28" t="s">
        <v>1190</v>
      </c>
      <c r="BY14" s="30">
        <v>2.2499999999999999E-2</v>
      </c>
      <c r="BZ14" s="33">
        <f>Table2[[#This Row],[FWER5]]</f>
        <v>2.23171390283417E-2</v>
      </c>
      <c r="CA14" s="28" t="s">
        <v>42</v>
      </c>
      <c r="CB14" s="28">
        <f>Table2[[#This Row],[Disjunctive.Power4]]</f>
        <v>0</v>
      </c>
      <c r="CC14" s="28" t="s">
        <v>42</v>
      </c>
      <c r="CD14" s="28">
        <f>Table2[[#This Row],[Conjunctive.Power3]]</f>
        <v>0</v>
      </c>
    </row>
    <row r="15" spans="1:82" x14ac:dyDescent="0.25">
      <c r="A15">
        <v>124</v>
      </c>
      <c r="B15" t="s">
        <v>706</v>
      </c>
      <c r="C15">
        <v>15270</v>
      </c>
      <c r="D15">
        <v>0.7100187</v>
      </c>
      <c r="E15">
        <v>0.45802359999999998</v>
      </c>
      <c r="F15">
        <v>0.70954799999999996</v>
      </c>
      <c r="G15">
        <v>1.6179599999999999E-2</v>
      </c>
      <c r="H15" t="s">
        <v>1093</v>
      </c>
      <c r="I15" t="s">
        <v>1140</v>
      </c>
      <c r="J15" t="s">
        <v>1141</v>
      </c>
      <c r="K15" t="s">
        <v>1142</v>
      </c>
      <c r="L15" s="1">
        <v>161812548</v>
      </c>
      <c r="M15" t="s">
        <v>1094</v>
      </c>
      <c r="N15">
        <v>0.94263727247715001</v>
      </c>
      <c r="O15" t="s">
        <v>85</v>
      </c>
      <c r="P15" t="s">
        <v>41</v>
      </c>
      <c r="Q15">
        <v>500</v>
      </c>
      <c r="R15">
        <v>2.5000000000000001E-2</v>
      </c>
      <c r="S15" t="s">
        <v>654</v>
      </c>
      <c r="T15" t="s">
        <v>42</v>
      </c>
      <c r="U15" t="s">
        <v>64</v>
      </c>
      <c r="V15" t="s">
        <v>44</v>
      </c>
      <c r="W15">
        <v>5</v>
      </c>
      <c r="X15">
        <v>2</v>
      </c>
      <c r="Y15" t="s">
        <v>650</v>
      </c>
      <c r="Z15" t="s">
        <v>710</v>
      </c>
      <c r="AA15" t="s">
        <v>651</v>
      </c>
      <c r="AB15" t="s">
        <v>711</v>
      </c>
      <c r="AC15" t="s">
        <v>122</v>
      </c>
      <c r="AD15" t="s">
        <v>123</v>
      </c>
      <c r="AE15" t="s">
        <v>124</v>
      </c>
      <c r="AF15" t="s">
        <v>125</v>
      </c>
      <c r="AG15" t="s">
        <v>51</v>
      </c>
      <c r="AH15" t="s">
        <v>126</v>
      </c>
      <c r="AI15" t="s">
        <v>53</v>
      </c>
      <c r="AJ15" t="b">
        <v>0</v>
      </c>
      <c r="AK15" t="b">
        <v>1</v>
      </c>
      <c r="AL15">
        <v>1</v>
      </c>
      <c r="AM15">
        <v>1</v>
      </c>
      <c r="AN15" t="s">
        <v>56</v>
      </c>
      <c r="AO15" t="s">
        <v>57</v>
      </c>
      <c r="AP15">
        <v>0.75</v>
      </c>
      <c r="AQ15" t="b">
        <v>1</v>
      </c>
      <c r="AR15" t="s">
        <v>23</v>
      </c>
      <c r="AS15">
        <v>20000</v>
      </c>
      <c r="AT15">
        <v>500</v>
      </c>
      <c r="AU15" t="s">
        <v>121</v>
      </c>
      <c r="AV15" t="b">
        <v>0</v>
      </c>
      <c r="AW15" t="b">
        <v>0</v>
      </c>
      <c r="AX15" t="b">
        <v>1</v>
      </c>
      <c r="AY15" t="b">
        <v>0</v>
      </c>
      <c r="BA15" t="s">
        <v>1068</v>
      </c>
      <c r="BC15" t="s">
        <v>42</v>
      </c>
      <c r="BD15" s="19" t="s">
        <v>42</v>
      </c>
      <c r="BE15" t="s">
        <v>42</v>
      </c>
      <c r="BF15" s="19" t="s">
        <v>42</v>
      </c>
      <c r="BG15" t="s">
        <v>42</v>
      </c>
      <c r="BH15" s="21">
        <f>INDEX(Table1[Disjunctive.Power],MATCH(Table2[[#This Row],[ModelID]],Table1[ModelID],0))</f>
        <v>0.69408360000000002</v>
      </c>
      <c r="BI15" s="23">
        <f>Table2[[#This Row],[Disjunctive.Power]]</f>
        <v>0.70954799999999996</v>
      </c>
      <c r="BJ15" s="12">
        <v>0.70400000000000007</v>
      </c>
      <c r="BK15" t="s">
        <v>865</v>
      </c>
      <c r="BL15" s="21">
        <f>INDEX(Table1[Conjunctive.Power],MATCH(Table2[[#This Row],[ModelID]],Table1[ModelID],0))</f>
        <v>0.49122100000000002</v>
      </c>
      <c r="BM15" s="23">
        <f>Table2[[#This Row],[Conjunctive.Power]]</f>
        <v>0.45802359999999998</v>
      </c>
      <c r="BN15" s="12">
        <v>0.503</v>
      </c>
      <c r="BO15" t="s">
        <v>866</v>
      </c>
      <c r="BP15" s="28">
        <v>1.6854194486141201</v>
      </c>
      <c r="BQ15" s="28">
        <v>0.71011420000000003</v>
      </c>
      <c r="BR15" s="28">
        <v>0.45492929999999998</v>
      </c>
      <c r="BS15" s="28">
        <v>0.70938670000000004</v>
      </c>
      <c r="BT15" s="28">
        <v>1.67028E-2</v>
      </c>
      <c r="BU15" s="28" t="s">
        <v>1191</v>
      </c>
      <c r="BV15" s="28" t="s">
        <v>1192</v>
      </c>
      <c r="BW15" s="28" t="s">
        <v>1193</v>
      </c>
      <c r="BX15" s="28" t="s">
        <v>1194</v>
      </c>
      <c r="BY15" s="31" t="s">
        <v>42</v>
      </c>
      <c r="BZ15" s="35">
        <f>Table2[[#This Row],[FWER5]]</f>
        <v>1.67028E-2</v>
      </c>
      <c r="CA15" s="32">
        <v>0.70400000000000007</v>
      </c>
      <c r="CB15" s="34">
        <f>Table2[[#This Row],[Disjunctive.Power4]]</f>
        <v>0.70938670000000004</v>
      </c>
      <c r="CC15" s="32">
        <v>0.503</v>
      </c>
      <c r="CD15" s="34">
        <f>Table2[[#This Row],[Conjunctive.Power3]]</f>
        <v>0.45492929999999998</v>
      </c>
    </row>
    <row r="16" spans="1:82" x14ac:dyDescent="0.25">
      <c r="A16">
        <v>125</v>
      </c>
      <c r="B16" t="s">
        <v>707</v>
      </c>
      <c r="C16">
        <v>17714</v>
      </c>
      <c r="D16">
        <v>0.77468729999999997</v>
      </c>
      <c r="E16">
        <v>0.54215930000000001</v>
      </c>
      <c r="F16">
        <v>0.77426090000000003</v>
      </c>
      <c r="G16">
        <v>1.61309E-2</v>
      </c>
      <c r="H16" t="s">
        <v>1095</v>
      </c>
      <c r="I16" t="s">
        <v>1143</v>
      </c>
      <c r="J16" t="s">
        <v>1144</v>
      </c>
      <c r="K16" t="s">
        <v>1145</v>
      </c>
      <c r="L16" s="1">
        <v>163413741</v>
      </c>
      <c r="M16" t="s">
        <v>1096</v>
      </c>
      <c r="N16">
        <v>0.84598153584533298</v>
      </c>
      <c r="O16" t="s">
        <v>85</v>
      </c>
      <c r="P16" t="s">
        <v>41</v>
      </c>
      <c r="Q16">
        <v>500</v>
      </c>
      <c r="R16">
        <v>2.5000000000000001E-2</v>
      </c>
      <c r="S16" t="s">
        <v>654</v>
      </c>
      <c r="T16" t="s">
        <v>42</v>
      </c>
      <c r="U16" t="s">
        <v>64</v>
      </c>
      <c r="V16" t="s">
        <v>44</v>
      </c>
      <c r="W16">
        <v>5</v>
      </c>
      <c r="X16">
        <v>2</v>
      </c>
      <c r="Y16" t="s">
        <v>650</v>
      </c>
      <c r="Z16" t="s">
        <v>710</v>
      </c>
      <c r="AA16" t="s">
        <v>651</v>
      </c>
      <c r="AB16" t="s">
        <v>711</v>
      </c>
      <c r="AC16" t="s">
        <v>122</v>
      </c>
      <c r="AD16" t="s">
        <v>123</v>
      </c>
      <c r="AE16" t="s">
        <v>124</v>
      </c>
      <c r="AF16" t="s">
        <v>125</v>
      </c>
      <c r="AG16" t="s">
        <v>51</v>
      </c>
      <c r="AH16" t="s">
        <v>126</v>
      </c>
      <c r="AI16" t="s">
        <v>53</v>
      </c>
      <c r="AJ16" t="b">
        <v>0</v>
      </c>
      <c r="AK16" t="b">
        <v>1</v>
      </c>
      <c r="AL16">
        <v>1</v>
      </c>
      <c r="AM16">
        <v>1</v>
      </c>
      <c r="AN16" t="s">
        <v>56</v>
      </c>
      <c r="AO16" t="s">
        <v>57</v>
      </c>
      <c r="AP16">
        <v>0.5</v>
      </c>
      <c r="AQ16" t="b">
        <v>1</v>
      </c>
      <c r="AR16" t="s">
        <v>23</v>
      </c>
      <c r="AS16">
        <v>20000</v>
      </c>
      <c r="AT16">
        <v>500</v>
      </c>
      <c r="AU16" t="s">
        <v>121</v>
      </c>
      <c r="AV16" t="b">
        <v>0</v>
      </c>
      <c r="AW16" t="b">
        <v>0</v>
      </c>
      <c r="AX16" t="b">
        <v>1</v>
      </c>
      <c r="AY16" t="b">
        <v>0</v>
      </c>
      <c r="BA16" t="s">
        <v>1068</v>
      </c>
      <c r="BC16" t="s">
        <v>42</v>
      </c>
      <c r="BD16" t="s">
        <v>42</v>
      </c>
      <c r="BE16" t="s">
        <v>42</v>
      </c>
      <c r="BF16" t="s">
        <v>42</v>
      </c>
      <c r="BG16" t="s">
        <v>42</v>
      </c>
      <c r="BH16" s="21">
        <f>INDEX(Table1[Disjunctive.Power],MATCH(Table2[[#This Row],[ModelID]],Table1[ModelID],0))</f>
        <v>0.76021890000000003</v>
      </c>
      <c r="BI16" s="23">
        <f>Table2[[#This Row],[Disjunctive.Power]]</f>
        <v>0.77426090000000003</v>
      </c>
      <c r="BJ16" s="12">
        <v>0.77</v>
      </c>
      <c r="BK16" t="s">
        <v>867</v>
      </c>
      <c r="BL16" s="21">
        <f>INDEX(Table1[Conjunctive.Power],MATCH(Table2[[#This Row],[ModelID]],Table1[ModelID],0))</f>
        <v>0.57732919999999999</v>
      </c>
      <c r="BM16" s="23">
        <f>Table2[[#This Row],[Conjunctive.Power]]</f>
        <v>0.54215930000000001</v>
      </c>
      <c r="BN16" s="12">
        <v>0.59</v>
      </c>
      <c r="BO16" t="s">
        <v>868</v>
      </c>
      <c r="BP16" s="28">
        <v>1.4010882794857</v>
      </c>
      <c r="BQ16" s="28">
        <v>0.77343820314609402</v>
      </c>
      <c r="BR16" s="28">
        <v>0.53864085922577698</v>
      </c>
      <c r="BS16" s="28">
        <v>0.77275678270348103</v>
      </c>
      <c r="BT16" s="28">
        <v>1.6728001840055198E-2</v>
      </c>
      <c r="BU16" s="28" t="s">
        <v>1195</v>
      </c>
      <c r="BV16" s="28" t="s">
        <v>1196</v>
      </c>
      <c r="BW16" s="28" t="s">
        <v>1197</v>
      </c>
      <c r="BX16" s="28" t="s">
        <v>1198</v>
      </c>
      <c r="BY16" s="28" t="s">
        <v>42</v>
      </c>
      <c r="BZ16" s="35">
        <f>Table2[[#This Row],[FWER5]]</f>
        <v>1.6728001840055198E-2</v>
      </c>
      <c r="CA16" s="32">
        <v>0.77</v>
      </c>
      <c r="CB16" s="34">
        <f>Table2[[#This Row],[Disjunctive.Power4]]</f>
        <v>0.77275678270348103</v>
      </c>
      <c r="CC16" s="32">
        <v>0.59</v>
      </c>
      <c r="CD16" s="34">
        <f>Table2[[#This Row],[Conjunctive.Power3]]</f>
        <v>0.53864085922577698</v>
      </c>
    </row>
    <row r="17" spans="1:82" x14ac:dyDescent="0.25">
      <c r="A17">
        <v>126</v>
      </c>
      <c r="B17" t="s">
        <v>708</v>
      </c>
      <c r="C17">
        <v>7024</v>
      </c>
      <c r="D17">
        <v>0.79979460000000002</v>
      </c>
      <c r="E17">
        <v>0.60505149999999996</v>
      </c>
      <c r="F17">
        <v>0.79933030000000005</v>
      </c>
      <c r="G17">
        <v>1.5910899999999999E-2</v>
      </c>
      <c r="H17" t="s">
        <v>1097</v>
      </c>
      <c r="I17" t="s">
        <v>1146</v>
      </c>
      <c r="J17" t="s">
        <v>1147</v>
      </c>
      <c r="K17" t="s">
        <v>1148</v>
      </c>
      <c r="L17" s="1">
        <v>167714276</v>
      </c>
      <c r="M17" t="s">
        <v>1098</v>
      </c>
      <c r="N17">
        <v>0.70996402780214896</v>
      </c>
      <c r="O17" t="s">
        <v>85</v>
      </c>
      <c r="P17" t="s">
        <v>41</v>
      </c>
      <c r="Q17">
        <v>500</v>
      </c>
      <c r="R17">
        <v>2.5000000000000001E-2</v>
      </c>
      <c r="S17" t="s">
        <v>654</v>
      </c>
      <c r="T17" t="s">
        <v>42</v>
      </c>
      <c r="U17" t="s">
        <v>64</v>
      </c>
      <c r="V17" t="s">
        <v>44</v>
      </c>
      <c r="W17">
        <v>5</v>
      </c>
      <c r="X17">
        <v>2</v>
      </c>
      <c r="Y17" t="s">
        <v>650</v>
      </c>
      <c r="Z17" t="s">
        <v>710</v>
      </c>
      <c r="AA17" t="s">
        <v>651</v>
      </c>
      <c r="AB17" t="s">
        <v>711</v>
      </c>
      <c r="AC17" t="s">
        <v>122</v>
      </c>
      <c r="AD17" t="s">
        <v>123</v>
      </c>
      <c r="AE17" t="s">
        <v>124</v>
      </c>
      <c r="AF17" t="s">
        <v>125</v>
      </c>
      <c r="AG17" t="s">
        <v>51</v>
      </c>
      <c r="AH17" t="s">
        <v>126</v>
      </c>
      <c r="AI17" t="s">
        <v>53</v>
      </c>
      <c r="AJ17" t="b">
        <v>0</v>
      </c>
      <c r="AK17" t="b">
        <v>1</v>
      </c>
      <c r="AL17">
        <v>1</v>
      </c>
      <c r="AM17">
        <v>1</v>
      </c>
      <c r="AN17" t="s">
        <v>56</v>
      </c>
      <c r="AO17" t="s">
        <v>57</v>
      </c>
      <c r="AP17">
        <v>0.25</v>
      </c>
      <c r="AQ17" t="b">
        <v>1</v>
      </c>
      <c r="AR17" t="s">
        <v>23</v>
      </c>
      <c r="AS17">
        <v>20000</v>
      </c>
      <c r="AT17">
        <v>500</v>
      </c>
      <c r="AU17" t="s">
        <v>121</v>
      </c>
      <c r="AV17" t="b">
        <v>0</v>
      </c>
      <c r="AW17" t="b">
        <v>0</v>
      </c>
      <c r="AX17" t="b">
        <v>1</v>
      </c>
      <c r="AY17" t="b">
        <v>0</v>
      </c>
      <c r="BA17" t="s">
        <v>1068</v>
      </c>
      <c r="BC17" t="s">
        <v>42</v>
      </c>
      <c r="BD17" t="s">
        <v>42</v>
      </c>
      <c r="BE17" t="s">
        <v>42</v>
      </c>
      <c r="BF17" t="s">
        <v>42</v>
      </c>
      <c r="BG17" t="s">
        <v>42</v>
      </c>
      <c r="BH17" s="21">
        <f>INDEX(Table1[Disjunctive.Power],MATCH(Table2[[#This Row],[ModelID]],Table1[ModelID],0))</f>
        <v>0.79131839999999998</v>
      </c>
      <c r="BI17" s="23">
        <f>Table2[[#This Row],[Disjunctive.Power]]</f>
        <v>0.79933030000000005</v>
      </c>
      <c r="BJ17" s="12">
        <v>0.79799999999999993</v>
      </c>
      <c r="BK17" t="s">
        <v>869</v>
      </c>
      <c r="BL17" s="21">
        <f>INDEX(Table1[Conjunctive.Power],MATCH(Table2[[#This Row],[ModelID]],Table1[ModelID],0))</f>
        <v>0.64908189999999999</v>
      </c>
      <c r="BM17" s="23">
        <f>Table2[[#This Row],[Conjunctive.Power]]</f>
        <v>0.60505149999999996</v>
      </c>
      <c r="BN17" s="12">
        <v>0.65900000000000003</v>
      </c>
      <c r="BO17" t="s">
        <v>870</v>
      </c>
      <c r="BP17" s="28">
        <v>1.08970402750704</v>
      </c>
      <c r="BQ17" s="28">
        <v>0.79944218884377705</v>
      </c>
      <c r="BR17" s="28">
        <v>0.60305516110322199</v>
      </c>
      <c r="BS17" s="28">
        <v>0.79880107602151995</v>
      </c>
      <c r="BT17" s="28">
        <v>1.6087121742434901E-2</v>
      </c>
      <c r="BU17" s="28" t="s">
        <v>1199</v>
      </c>
      <c r="BV17" s="28" t="s">
        <v>1200</v>
      </c>
      <c r="BW17" s="28" t="s">
        <v>1201</v>
      </c>
      <c r="BX17" s="28" t="s">
        <v>1202</v>
      </c>
      <c r="BY17" s="28" t="s">
        <v>42</v>
      </c>
      <c r="BZ17" s="35">
        <f>Table2[[#This Row],[FWER5]]</f>
        <v>1.6087121742434901E-2</v>
      </c>
      <c r="CA17" s="32">
        <v>0.79799999999999993</v>
      </c>
      <c r="CB17" s="34">
        <f>Table2[[#This Row],[Disjunctive.Power4]]</f>
        <v>0.79880107602151995</v>
      </c>
      <c r="CC17" s="32">
        <v>0.65900000000000003</v>
      </c>
      <c r="CD17" s="34">
        <f>Table2[[#This Row],[Conjunctive.Power3]]</f>
        <v>0.60305516110322199</v>
      </c>
    </row>
    <row r="18" spans="1:82" x14ac:dyDescent="0.25">
      <c r="A18">
        <v>127</v>
      </c>
      <c r="B18" t="s">
        <v>709</v>
      </c>
      <c r="C18">
        <v>9404</v>
      </c>
      <c r="D18">
        <v>0.85028361418070897</v>
      </c>
      <c r="E18">
        <v>0.69439981999099998</v>
      </c>
      <c r="F18">
        <v>0.84729366468323397</v>
      </c>
      <c r="G18">
        <v>4.0400020001000103E-3</v>
      </c>
      <c r="H18" t="s">
        <v>1099</v>
      </c>
      <c r="I18" t="s">
        <v>1149</v>
      </c>
      <c r="J18" t="s">
        <v>1100</v>
      </c>
      <c r="K18" t="s">
        <v>1150</v>
      </c>
      <c r="L18" s="1">
        <v>166515302</v>
      </c>
      <c r="M18" t="s">
        <v>1101</v>
      </c>
      <c r="N18">
        <v>0.58973080025778901</v>
      </c>
      <c r="O18" t="s">
        <v>85</v>
      </c>
      <c r="P18" t="s">
        <v>41</v>
      </c>
      <c r="Q18">
        <v>500</v>
      </c>
      <c r="R18">
        <v>2.5000000000000001E-2</v>
      </c>
      <c r="S18" t="s">
        <v>654</v>
      </c>
      <c r="T18" t="s">
        <v>42</v>
      </c>
      <c r="U18" t="s">
        <v>64</v>
      </c>
      <c r="V18" t="s">
        <v>44</v>
      </c>
      <c r="W18">
        <v>5</v>
      </c>
      <c r="X18">
        <v>2</v>
      </c>
      <c r="Y18" t="s">
        <v>650</v>
      </c>
      <c r="Z18" t="s">
        <v>710</v>
      </c>
      <c r="AA18" t="s">
        <v>651</v>
      </c>
      <c r="AB18" t="s">
        <v>711</v>
      </c>
      <c r="AC18" t="s">
        <v>122</v>
      </c>
      <c r="AD18" t="s">
        <v>123</v>
      </c>
      <c r="AE18" t="s">
        <v>124</v>
      </c>
      <c r="AF18" t="s">
        <v>125</v>
      </c>
      <c r="AG18" t="s">
        <v>51</v>
      </c>
      <c r="AH18" t="s">
        <v>126</v>
      </c>
      <c r="AI18" t="s">
        <v>53</v>
      </c>
      <c r="AJ18" t="b">
        <v>0</v>
      </c>
      <c r="AK18" t="b">
        <v>1</v>
      </c>
      <c r="AL18">
        <v>1</v>
      </c>
      <c r="AM18">
        <v>1</v>
      </c>
      <c r="AN18" t="s">
        <v>56</v>
      </c>
      <c r="AO18" t="s">
        <v>60</v>
      </c>
      <c r="AP18">
        <v>1</v>
      </c>
      <c r="AQ18" t="b">
        <v>1</v>
      </c>
      <c r="AR18" t="s">
        <v>23</v>
      </c>
      <c r="AS18">
        <v>20000</v>
      </c>
      <c r="AT18">
        <v>500</v>
      </c>
      <c r="AU18" t="s">
        <v>121</v>
      </c>
      <c r="AV18" t="b">
        <v>0</v>
      </c>
      <c r="AW18" t="b">
        <v>0</v>
      </c>
      <c r="AX18" t="b">
        <v>1</v>
      </c>
      <c r="AY18" t="b">
        <v>0</v>
      </c>
      <c r="BA18" t="s">
        <v>1068</v>
      </c>
      <c r="BC18" t="s">
        <v>42</v>
      </c>
      <c r="BD18" t="s">
        <v>42</v>
      </c>
      <c r="BE18" t="s">
        <v>42</v>
      </c>
      <c r="BF18" t="s">
        <v>42</v>
      </c>
      <c r="BG18" t="s">
        <v>42</v>
      </c>
      <c r="BH18" s="21">
        <f>INDEX(Table1[Disjunctive.Power],MATCH(Table2[[#This Row],[ModelID]],Table1[ModelID],0))</f>
        <v>0.84037209999999996</v>
      </c>
      <c r="BI18" s="23">
        <f>Table2[[#This Row],[Disjunctive.Power]]</f>
        <v>0.84729366468323397</v>
      </c>
      <c r="BJ18" s="12">
        <v>0.84499999999999997</v>
      </c>
      <c r="BK18" t="s">
        <v>871</v>
      </c>
      <c r="BL18" s="21">
        <f>INDEX(Table1[Conjunctive.Power],MATCH(Table2[[#This Row],[ModelID]],Table1[ModelID],0))</f>
        <v>0.74873029999999996</v>
      </c>
      <c r="BM18" s="23">
        <f>Table2[[#This Row],[Conjunctive.Power]]</f>
        <v>0.69439981999099998</v>
      </c>
      <c r="BN18" s="12">
        <v>0.75700000000000001</v>
      </c>
      <c r="BO18" t="s">
        <v>872</v>
      </c>
      <c r="BP18" s="28">
        <v>0.91347213188807197</v>
      </c>
      <c r="BQ18" s="28">
        <v>0.84943979439794404</v>
      </c>
      <c r="BR18" s="28">
        <v>0.69058790587905905</v>
      </c>
      <c r="BS18" s="28">
        <v>0.84610236102361003</v>
      </c>
      <c r="BT18" s="28">
        <v>4.1874418744187398E-3</v>
      </c>
      <c r="BU18" s="28" t="s">
        <v>1203</v>
      </c>
      <c r="BV18" s="28" t="s">
        <v>1204</v>
      </c>
      <c r="BW18" s="28" t="s">
        <v>1205</v>
      </c>
      <c r="BX18" s="28" t="s">
        <v>1206</v>
      </c>
      <c r="BY18" s="28" t="s">
        <v>42</v>
      </c>
      <c r="BZ18" s="35">
        <f>Table2[[#This Row],[FWER5]]</f>
        <v>4.1874418744187398E-3</v>
      </c>
      <c r="CA18" s="32">
        <v>0.84499999999999997</v>
      </c>
      <c r="CB18" s="34">
        <f>Table2[[#This Row],[Disjunctive.Power4]]</f>
        <v>0.84610236102361003</v>
      </c>
      <c r="CC18" s="32">
        <v>0.75700000000000001</v>
      </c>
      <c r="CD18" s="34">
        <f>Table2[[#This Row],[Conjunctive.Power3]]</f>
        <v>0.69058790587905905</v>
      </c>
    </row>
    <row r="19" spans="1:82" x14ac:dyDescent="0.25">
      <c r="A19">
        <v>128</v>
      </c>
      <c r="B19" t="s">
        <v>712</v>
      </c>
      <c r="C19">
        <v>81609</v>
      </c>
      <c r="D19">
        <v>0.83708579999999999</v>
      </c>
      <c r="E19">
        <v>0.25996619999999998</v>
      </c>
      <c r="F19">
        <v>0.83690319999999996</v>
      </c>
      <c r="G19">
        <v>1.24107E-2</v>
      </c>
      <c r="H19" t="s">
        <v>1102</v>
      </c>
      <c r="I19" t="s">
        <v>1151</v>
      </c>
      <c r="J19" t="s">
        <v>1152</v>
      </c>
      <c r="K19" t="s">
        <v>1153</v>
      </c>
      <c r="L19" s="1">
        <v>290613874</v>
      </c>
      <c r="M19" t="s">
        <v>1103</v>
      </c>
      <c r="N19">
        <v>0.92165833029482103</v>
      </c>
      <c r="O19" t="s">
        <v>85</v>
      </c>
      <c r="P19" t="s">
        <v>41</v>
      </c>
      <c r="Q19">
        <v>500</v>
      </c>
      <c r="R19">
        <v>2.5000000000000001E-2</v>
      </c>
      <c r="S19" t="s">
        <v>654</v>
      </c>
      <c r="T19" t="s">
        <v>42</v>
      </c>
      <c r="U19" t="s">
        <v>64</v>
      </c>
      <c r="V19" t="s">
        <v>44</v>
      </c>
      <c r="W19">
        <v>5</v>
      </c>
      <c r="X19">
        <v>2</v>
      </c>
      <c r="Y19" t="s">
        <v>650</v>
      </c>
      <c r="Z19" t="s">
        <v>724</v>
      </c>
      <c r="AA19" t="s">
        <v>651</v>
      </c>
      <c r="AB19" t="s">
        <v>727</v>
      </c>
      <c r="AC19" t="s">
        <v>122</v>
      </c>
      <c r="AD19" t="s">
        <v>123</v>
      </c>
      <c r="AE19" t="s">
        <v>124</v>
      </c>
      <c r="AF19" t="s">
        <v>125</v>
      </c>
      <c r="AG19" t="s">
        <v>51</v>
      </c>
      <c r="AH19" t="s">
        <v>126</v>
      </c>
      <c r="AI19" t="s">
        <v>53</v>
      </c>
      <c r="AJ19" t="b">
        <v>0</v>
      </c>
      <c r="AK19" t="b">
        <v>1</v>
      </c>
      <c r="AL19">
        <v>1</v>
      </c>
      <c r="AM19">
        <v>1</v>
      </c>
      <c r="AN19" t="s">
        <v>56</v>
      </c>
      <c r="AO19" t="s">
        <v>57</v>
      </c>
      <c r="AP19">
        <v>0.75</v>
      </c>
      <c r="AQ19" t="b">
        <v>1</v>
      </c>
      <c r="AR19" t="s">
        <v>23</v>
      </c>
      <c r="AS19">
        <v>20000</v>
      </c>
      <c r="AT19">
        <v>500</v>
      </c>
      <c r="AU19" t="s">
        <v>121</v>
      </c>
      <c r="AV19" t="b">
        <v>0</v>
      </c>
      <c r="AW19" t="b">
        <v>0</v>
      </c>
      <c r="AX19" t="b">
        <v>1</v>
      </c>
      <c r="AY19" t="b">
        <v>0</v>
      </c>
      <c r="BA19" t="s">
        <v>1068</v>
      </c>
      <c r="BC19" t="s">
        <v>42</v>
      </c>
      <c r="BD19" t="s">
        <v>42</v>
      </c>
      <c r="BE19" t="s">
        <v>42</v>
      </c>
      <c r="BF19" t="s">
        <v>42</v>
      </c>
      <c r="BG19" t="s">
        <v>42</v>
      </c>
      <c r="BH19" s="21">
        <f>INDEX(Table1[Disjunctive.Power],MATCH(Table2[[#This Row],[ModelID]],Table1[ModelID],0))</f>
        <v>0.82548650000000001</v>
      </c>
      <c r="BI19" s="23">
        <f>Table2[[#This Row],[Disjunctive.Power]]</f>
        <v>0.83690319999999996</v>
      </c>
      <c r="BJ19" s="12">
        <v>0.83400000000000007</v>
      </c>
      <c r="BK19" t="s">
        <v>873</v>
      </c>
      <c r="BL19" s="21">
        <f>INDEX(Table1[Conjunctive.Power],MATCH(Table2[[#This Row],[ModelID]],Table1[ModelID],0))</f>
        <v>0.32766430000000002</v>
      </c>
      <c r="BM19" s="23">
        <f>Table2[[#This Row],[Conjunctive.Power]]</f>
        <v>0.25996619999999998</v>
      </c>
      <c r="BN19" s="12">
        <v>0.33500000000000002</v>
      </c>
      <c r="BO19" t="s">
        <v>874</v>
      </c>
      <c r="BP19" s="28">
        <v>1.6818945782714401</v>
      </c>
      <c r="BQ19" s="28">
        <v>0.83763699999999996</v>
      </c>
      <c r="BR19" s="28">
        <v>0.26010810000000001</v>
      </c>
      <c r="BS19" s="28">
        <v>0.83744050000000003</v>
      </c>
      <c r="BT19" s="28">
        <v>1.22176E-2</v>
      </c>
      <c r="BU19" s="28" t="s">
        <v>1207</v>
      </c>
      <c r="BV19" s="28" t="s">
        <v>1208</v>
      </c>
      <c r="BW19" s="28" t="s">
        <v>1209</v>
      </c>
      <c r="BX19" s="28" t="s">
        <v>1210</v>
      </c>
      <c r="BY19" s="28" t="s">
        <v>42</v>
      </c>
      <c r="BZ19" s="35">
        <f>Table2[[#This Row],[FWER5]]</f>
        <v>1.22176E-2</v>
      </c>
      <c r="CA19" s="32">
        <v>0.83400000000000007</v>
      </c>
      <c r="CB19" s="34">
        <f>Table2[[#This Row],[Disjunctive.Power4]]</f>
        <v>0.83744050000000003</v>
      </c>
      <c r="CC19" s="32">
        <v>0.33500000000000002</v>
      </c>
      <c r="CD19" s="34">
        <f>Table2[[#This Row],[Conjunctive.Power3]]</f>
        <v>0.26010810000000001</v>
      </c>
    </row>
    <row r="20" spans="1:82" x14ac:dyDescent="0.25">
      <c r="A20">
        <v>129</v>
      </c>
      <c r="B20" t="s">
        <v>713</v>
      </c>
      <c r="C20">
        <v>10101</v>
      </c>
      <c r="D20">
        <v>0.87096549999999995</v>
      </c>
      <c r="E20">
        <v>0.30724620000000002</v>
      </c>
      <c r="F20">
        <v>0.87093980000000004</v>
      </c>
      <c r="G20">
        <v>1.1964499999999999E-2</v>
      </c>
      <c r="H20" t="s">
        <v>1104</v>
      </c>
      <c r="I20" t="s">
        <v>1154</v>
      </c>
      <c r="J20" t="s">
        <v>1105</v>
      </c>
      <c r="K20" t="s">
        <v>1155</v>
      </c>
      <c r="L20" s="1">
        <v>283914540</v>
      </c>
      <c r="M20" t="s">
        <v>1106</v>
      </c>
      <c r="N20">
        <v>0.86539822055233895</v>
      </c>
      <c r="O20" t="s">
        <v>85</v>
      </c>
      <c r="P20" t="s">
        <v>41</v>
      </c>
      <c r="Q20">
        <v>500</v>
      </c>
      <c r="R20">
        <v>2.5000000000000001E-2</v>
      </c>
      <c r="S20" t="s">
        <v>654</v>
      </c>
      <c r="T20" t="s">
        <v>42</v>
      </c>
      <c r="U20" t="s">
        <v>64</v>
      </c>
      <c r="V20" t="s">
        <v>44</v>
      </c>
      <c r="W20">
        <v>5</v>
      </c>
      <c r="X20">
        <v>2</v>
      </c>
      <c r="Y20" t="s">
        <v>650</v>
      </c>
      <c r="Z20" t="s">
        <v>724</v>
      </c>
      <c r="AA20" t="s">
        <v>651</v>
      </c>
      <c r="AB20" t="s">
        <v>727</v>
      </c>
      <c r="AC20" t="s">
        <v>122</v>
      </c>
      <c r="AD20" t="s">
        <v>123</v>
      </c>
      <c r="AE20" t="s">
        <v>124</v>
      </c>
      <c r="AF20" t="s">
        <v>125</v>
      </c>
      <c r="AG20" t="s">
        <v>51</v>
      </c>
      <c r="AH20" t="s">
        <v>126</v>
      </c>
      <c r="AI20" t="s">
        <v>53</v>
      </c>
      <c r="AJ20" t="b">
        <v>0</v>
      </c>
      <c r="AK20" t="b">
        <v>1</v>
      </c>
      <c r="AL20">
        <v>1</v>
      </c>
      <c r="AM20">
        <v>1</v>
      </c>
      <c r="AN20" t="s">
        <v>56</v>
      </c>
      <c r="AO20" t="s">
        <v>57</v>
      </c>
      <c r="AP20">
        <v>0.5</v>
      </c>
      <c r="AQ20" t="b">
        <v>1</v>
      </c>
      <c r="AR20" t="s">
        <v>23</v>
      </c>
      <c r="AS20">
        <v>20000</v>
      </c>
      <c r="AT20">
        <v>500</v>
      </c>
      <c r="AU20" t="s">
        <v>121</v>
      </c>
      <c r="AV20" t="b">
        <v>0</v>
      </c>
      <c r="AW20" t="b">
        <v>0</v>
      </c>
      <c r="AX20" t="b">
        <v>1</v>
      </c>
      <c r="AY20" t="b">
        <v>0</v>
      </c>
      <c r="BA20" t="s">
        <v>1068</v>
      </c>
      <c r="BC20" t="s">
        <v>42</v>
      </c>
      <c r="BD20" t="s">
        <v>42</v>
      </c>
      <c r="BE20" t="s">
        <v>42</v>
      </c>
      <c r="BF20" t="s">
        <v>42</v>
      </c>
      <c r="BG20" t="s">
        <v>42</v>
      </c>
      <c r="BH20" s="21">
        <f>INDEX(Table1[Disjunctive.Power],MATCH(Table2[[#This Row],[ModelID]],Table1[ModelID],0))</f>
        <v>0.86058590000000001</v>
      </c>
      <c r="BI20" s="23">
        <f>Table2[[#This Row],[Disjunctive.Power]]</f>
        <v>0.87093980000000004</v>
      </c>
      <c r="BJ20" s="12">
        <v>0.86900000000000011</v>
      </c>
      <c r="BK20" t="s">
        <v>875</v>
      </c>
      <c r="BL20" s="21">
        <f>INDEX(Table1[Conjunctive.Power],MATCH(Table2[[#This Row],[ModelID]],Table1[ModelID],0))</f>
        <v>0.37432749999999998</v>
      </c>
      <c r="BM20" s="23">
        <f>Table2[[#This Row],[Conjunctive.Power]]</f>
        <v>0.30724620000000002</v>
      </c>
      <c r="BN20" s="12">
        <v>0.38500000000000001</v>
      </c>
      <c r="BO20" t="s">
        <v>876</v>
      </c>
      <c r="BP20" s="28">
        <v>1.5078300764163299</v>
      </c>
      <c r="BQ20" s="28">
        <v>0.871173411734117</v>
      </c>
      <c r="BR20" s="28">
        <v>0.30572025720257201</v>
      </c>
      <c r="BS20" s="28">
        <v>0.871039910399104</v>
      </c>
      <c r="BT20" s="28">
        <v>1.2109621096211E-2</v>
      </c>
      <c r="BU20" s="28" t="s">
        <v>1211</v>
      </c>
      <c r="BV20" s="28" t="s">
        <v>1212</v>
      </c>
      <c r="BW20" s="28" t="s">
        <v>1213</v>
      </c>
      <c r="BX20" s="28" t="s">
        <v>1214</v>
      </c>
      <c r="BY20" s="28" t="s">
        <v>42</v>
      </c>
      <c r="BZ20" s="35">
        <f>Table2[[#This Row],[FWER5]]</f>
        <v>1.2109621096211E-2</v>
      </c>
      <c r="CA20" s="32">
        <v>0.86900000000000011</v>
      </c>
      <c r="CB20" s="34">
        <f>Table2[[#This Row],[Disjunctive.Power4]]</f>
        <v>0.871039910399104</v>
      </c>
      <c r="CC20" s="32">
        <v>0.38500000000000001</v>
      </c>
      <c r="CD20" s="34">
        <f>Table2[[#This Row],[Conjunctive.Power3]]</f>
        <v>0.30572025720257201</v>
      </c>
    </row>
    <row r="21" spans="1:82" x14ac:dyDescent="0.25">
      <c r="A21">
        <v>130</v>
      </c>
      <c r="B21" t="s">
        <v>714</v>
      </c>
      <c r="C21">
        <v>76320</v>
      </c>
      <c r="D21">
        <v>0.8918412</v>
      </c>
      <c r="E21">
        <v>0.3345938</v>
      </c>
      <c r="F21">
        <v>0.89161460000000003</v>
      </c>
      <c r="G21">
        <v>1.19731E-2</v>
      </c>
      <c r="H21" t="s">
        <v>1156</v>
      </c>
      <c r="I21" t="s">
        <v>1157</v>
      </c>
      <c r="J21" t="s">
        <v>1158</v>
      </c>
      <c r="K21" t="s">
        <v>1159</v>
      </c>
      <c r="L21" s="1">
        <v>290014917</v>
      </c>
      <c r="M21" t="s">
        <v>1160</v>
      </c>
      <c r="N21">
        <v>0.75798887809117599</v>
      </c>
      <c r="O21" t="s">
        <v>85</v>
      </c>
      <c r="P21" t="s">
        <v>41</v>
      </c>
      <c r="Q21">
        <v>500</v>
      </c>
      <c r="R21">
        <v>2.5000000000000001E-2</v>
      </c>
      <c r="S21" t="s">
        <v>654</v>
      </c>
      <c r="T21" t="s">
        <v>42</v>
      </c>
      <c r="U21" t="s">
        <v>64</v>
      </c>
      <c r="V21" t="s">
        <v>44</v>
      </c>
      <c r="W21">
        <v>5</v>
      </c>
      <c r="X21">
        <v>2</v>
      </c>
      <c r="Y21" t="s">
        <v>650</v>
      </c>
      <c r="Z21" t="s">
        <v>724</v>
      </c>
      <c r="AA21" t="s">
        <v>651</v>
      </c>
      <c r="AB21" t="s">
        <v>727</v>
      </c>
      <c r="AC21" t="s">
        <v>122</v>
      </c>
      <c r="AD21" t="s">
        <v>123</v>
      </c>
      <c r="AE21" t="s">
        <v>124</v>
      </c>
      <c r="AF21" t="s">
        <v>125</v>
      </c>
      <c r="AG21" t="s">
        <v>51</v>
      </c>
      <c r="AH21" t="s">
        <v>126</v>
      </c>
      <c r="AI21" t="s">
        <v>53</v>
      </c>
      <c r="AJ21" t="b">
        <v>0</v>
      </c>
      <c r="AK21" t="b">
        <v>1</v>
      </c>
      <c r="AL21">
        <v>1</v>
      </c>
      <c r="AM21">
        <v>1</v>
      </c>
      <c r="AN21" t="s">
        <v>56</v>
      </c>
      <c r="AO21" t="s">
        <v>57</v>
      </c>
      <c r="AP21">
        <v>0.25</v>
      </c>
      <c r="AQ21" t="b">
        <v>1</v>
      </c>
      <c r="AR21" t="s">
        <v>23</v>
      </c>
      <c r="AS21">
        <v>20000</v>
      </c>
      <c r="AT21">
        <v>500</v>
      </c>
      <c r="AU21" t="s">
        <v>121</v>
      </c>
      <c r="AV21" t="b">
        <v>0</v>
      </c>
      <c r="AW21" t="b">
        <v>0</v>
      </c>
      <c r="AX21" t="b">
        <v>1</v>
      </c>
      <c r="AY21" t="b">
        <v>0</v>
      </c>
      <c r="BA21" t="s">
        <v>1068</v>
      </c>
      <c r="BC21" t="s">
        <v>42</v>
      </c>
      <c r="BD21" t="s">
        <v>42</v>
      </c>
      <c r="BE21" t="s">
        <v>42</v>
      </c>
      <c r="BF21" t="s">
        <v>42</v>
      </c>
      <c r="BG21" t="s">
        <v>42</v>
      </c>
      <c r="BH21" s="21">
        <f>INDEX(Table1[Disjunctive.Power],MATCH(Table2[[#This Row],[ModelID]],Table1[ModelID],0))</f>
        <v>0.88578849999999998</v>
      </c>
      <c r="BI21" s="23">
        <f>Table2[[#This Row],[Disjunctive.Power]]</f>
        <v>0.89161460000000003</v>
      </c>
      <c r="BJ21" s="12">
        <v>0.8909999999999999</v>
      </c>
      <c r="BK21" t="s">
        <v>877</v>
      </c>
      <c r="BL21" s="21">
        <f>INDEX(Table1[Conjunctive.Power],MATCH(Table2[[#This Row],[ModelID]],Table1[ModelID],0))</f>
        <v>0.41455579999999997</v>
      </c>
      <c r="BM21" s="23">
        <f>Table2[[#This Row],[Conjunctive.Power]]</f>
        <v>0.3345938</v>
      </c>
      <c r="BN21" s="12">
        <v>0.42100000000000004</v>
      </c>
      <c r="BO21" t="s">
        <v>878</v>
      </c>
      <c r="BP21" s="28">
        <v>1.3308543689383401</v>
      </c>
      <c r="BQ21" s="28">
        <v>0.89228700000000005</v>
      </c>
      <c r="BR21" s="28">
        <v>0.33492329999999998</v>
      </c>
      <c r="BS21" s="28">
        <v>0.89211589999999996</v>
      </c>
      <c r="BT21" s="28">
        <v>1.1572000000000001E-2</v>
      </c>
      <c r="BU21" s="28" t="s">
        <v>1215</v>
      </c>
      <c r="BV21" s="28" t="s">
        <v>1216</v>
      </c>
      <c r="BW21" s="28" t="s">
        <v>1217</v>
      </c>
      <c r="BX21" s="28" t="s">
        <v>1218</v>
      </c>
      <c r="BY21" s="28" t="s">
        <v>42</v>
      </c>
      <c r="BZ21" s="35">
        <f>Table2[[#This Row],[FWER5]]</f>
        <v>1.1572000000000001E-2</v>
      </c>
      <c r="CA21" s="32">
        <v>0.8909999999999999</v>
      </c>
      <c r="CB21" s="34">
        <f>Table2[[#This Row],[Disjunctive.Power4]]</f>
        <v>0.89211589999999996</v>
      </c>
      <c r="CC21" s="32">
        <v>0.42100000000000004</v>
      </c>
      <c r="CD21" s="34">
        <f>Table2[[#This Row],[Conjunctive.Power3]]</f>
        <v>0.33492329999999998</v>
      </c>
    </row>
    <row r="22" spans="1:82" x14ac:dyDescent="0.25">
      <c r="A22">
        <v>131</v>
      </c>
      <c r="B22" t="s">
        <v>715</v>
      </c>
      <c r="C22">
        <v>56135</v>
      </c>
      <c r="D22">
        <v>0.93844369999999999</v>
      </c>
      <c r="E22">
        <v>2.3999999999999998E-3</v>
      </c>
      <c r="F22">
        <v>0.93767710000000004</v>
      </c>
      <c r="G22">
        <v>1.5666E-3</v>
      </c>
      <c r="H22" t="s">
        <v>1107</v>
      </c>
      <c r="I22" t="s">
        <v>1161</v>
      </c>
      <c r="J22" t="s">
        <v>1108</v>
      </c>
      <c r="K22" t="s">
        <v>1162</v>
      </c>
      <c r="L22" s="1">
        <v>285915834</v>
      </c>
      <c r="M22" t="s">
        <v>1109</v>
      </c>
      <c r="N22">
        <v>0.56725678947236802</v>
      </c>
      <c r="O22" t="s">
        <v>85</v>
      </c>
      <c r="P22" t="s">
        <v>41</v>
      </c>
      <c r="Q22">
        <v>500</v>
      </c>
      <c r="R22">
        <v>2.5000000000000001E-2</v>
      </c>
      <c r="S22" t="s">
        <v>654</v>
      </c>
      <c r="T22" t="s">
        <v>42</v>
      </c>
      <c r="U22" t="s">
        <v>64</v>
      </c>
      <c r="V22" t="s">
        <v>44</v>
      </c>
      <c r="W22">
        <v>5</v>
      </c>
      <c r="X22">
        <v>2</v>
      </c>
      <c r="Y22" t="s">
        <v>650</v>
      </c>
      <c r="Z22" t="s">
        <v>724</v>
      </c>
      <c r="AA22" t="s">
        <v>651</v>
      </c>
      <c r="AB22" t="s">
        <v>727</v>
      </c>
      <c r="AC22" t="s">
        <v>122</v>
      </c>
      <c r="AD22" t="s">
        <v>123</v>
      </c>
      <c r="AE22" t="s">
        <v>124</v>
      </c>
      <c r="AF22" t="s">
        <v>125</v>
      </c>
      <c r="AG22" t="s">
        <v>51</v>
      </c>
      <c r="AH22" t="s">
        <v>126</v>
      </c>
      <c r="AI22" t="s">
        <v>53</v>
      </c>
      <c r="AJ22" t="b">
        <v>0</v>
      </c>
      <c r="AK22" t="b">
        <v>1</v>
      </c>
      <c r="AL22">
        <v>1</v>
      </c>
      <c r="AM22">
        <v>1</v>
      </c>
      <c r="AN22" t="s">
        <v>56</v>
      </c>
      <c r="AO22" t="s">
        <v>60</v>
      </c>
      <c r="AP22">
        <v>1</v>
      </c>
      <c r="AQ22" t="b">
        <v>1</v>
      </c>
      <c r="AR22" t="s">
        <v>23</v>
      </c>
      <c r="AS22">
        <v>20000</v>
      </c>
      <c r="AT22">
        <v>500</v>
      </c>
      <c r="AU22" t="s">
        <v>121</v>
      </c>
      <c r="AV22" t="b">
        <v>0</v>
      </c>
      <c r="AW22" t="b">
        <v>0</v>
      </c>
      <c r="AX22" t="b">
        <v>1</v>
      </c>
      <c r="AY22" t="b">
        <v>0</v>
      </c>
      <c r="BA22" t="s">
        <v>1068</v>
      </c>
      <c r="BC22" t="s">
        <v>42</v>
      </c>
      <c r="BD22" t="s">
        <v>42</v>
      </c>
      <c r="BE22" t="s">
        <v>42</v>
      </c>
      <c r="BF22" t="s">
        <v>42</v>
      </c>
      <c r="BG22" t="s">
        <v>42</v>
      </c>
      <c r="BH22" s="21">
        <f>INDEX(Table1[Disjunctive.Power],MATCH(Table2[[#This Row],[ModelID]],Table1[ModelID],0))</f>
        <v>0.93425170000000002</v>
      </c>
      <c r="BI22" s="23">
        <f>Table2[[#This Row],[Disjunctive.Power]]</f>
        <v>0.93767710000000004</v>
      </c>
      <c r="BJ22" s="12">
        <v>0.93599999999999994</v>
      </c>
      <c r="BK22" t="s">
        <v>880</v>
      </c>
      <c r="BL22" s="21">
        <f>INDEX(Table1[Conjunctive.Power],MATCH(Table2[[#This Row],[ModelID]],Table1[ModelID],0))</f>
        <v>2.31437E-2</v>
      </c>
      <c r="BM22" s="23">
        <f>Table2[[#This Row],[Conjunctive.Power]]</f>
        <v>2.3999999999999998E-3</v>
      </c>
      <c r="BN22" s="12">
        <v>4.0000000000000001E-3</v>
      </c>
      <c r="BO22" t="s">
        <v>881</v>
      </c>
      <c r="BP22" s="28">
        <v>0.93438046170605504</v>
      </c>
      <c r="BQ22" s="28">
        <v>0.93826100000000001</v>
      </c>
      <c r="BR22" s="28">
        <v>2.0999999999999999E-3</v>
      </c>
      <c r="BS22" s="28">
        <v>0.93747689999999995</v>
      </c>
      <c r="BT22" s="28">
        <v>1.6440999999999999E-3</v>
      </c>
      <c r="BU22" s="28" t="s">
        <v>1219</v>
      </c>
      <c r="BV22" s="28" t="s">
        <v>1220</v>
      </c>
      <c r="BW22" s="28" t="s">
        <v>1221</v>
      </c>
      <c r="BX22" s="28" t="s">
        <v>1222</v>
      </c>
      <c r="BY22" s="28" t="s">
        <v>42</v>
      </c>
      <c r="BZ22" s="35">
        <f>Table2[[#This Row],[FWER5]]</f>
        <v>1.6440999999999999E-3</v>
      </c>
      <c r="CA22" s="32">
        <v>0.93599999999999994</v>
      </c>
      <c r="CB22" s="34">
        <f>Table2[[#This Row],[Disjunctive.Power4]]</f>
        <v>0.93747689999999995</v>
      </c>
      <c r="CC22" s="32">
        <v>4.0000000000000001E-3</v>
      </c>
      <c r="CD22" s="34">
        <f>Table2[[#This Row],[Conjunctive.Power3]]</f>
        <v>2.0999999999999999E-3</v>
      </c>
    </row>
    <row r="23" spans="1:82" x14ac:dyDescent="0.25">
      <c r="A23">
        <v>132</v>
      </c>
      <c r="B23" t="s">
        <v>716</v>
      </c>
      <c r="C23">
        <v>51459</v>
      </c>
      <c r="D23">
        <v>0.88010200000000005</v>
      </c>
      <c r="E23">
        <v>0.1957023</v>
      </c>
      <c r="F23">
        <v>0.87994879999999998</v>
      </c>
      <c r="G23">
        <v>8.9584999999999994E-3</v>
      </c>
      <c r="H23" t="s">
        <v>1110</v>
      </c>
      <c r="I23" t="s">
        <v>1163</v>
      </c>
      <c r="J23" t="s">
        <v>1164</v>
      </c>
      <c r="K23" t="s">
        <v>1165</v>
      </c>
      <c r="L23" s="1">
        <v>379613800</v>
      </c>
      <c r="M23" t="s">
        <v>1111</v>
      </c>
      <c r="N23">
        <v>0.92648117529021401</v>
      </c>
      <c r="O23" t="s">
        <v>85</v>
      </c>
      <c r="P23" t="s">
        <v>41</v>
      </c>
      <c r="Q23">
        <v>500</v>
      </c>
      <c r="R23">
        <v>2.5000000000000001E-2</v>
      </c>
      <c r="S23" t="s">
        <v>654</v>
      </c>
      <c r="T23" t="s">
        <v>42</v>
      </c>
      <c r="U23" t="s">
        <v>64</v>
      </c>
      <c r="V23" t="s">
        <v>44</v>
      </c>
      <c r="W23">
        <v>5</v>
      </c>
      <c r="X23">
        <v>2</v>
      </c>
      <c r="Y23" t="s">
        <v>650</v>
      </c>
      <c r="Z23" t="s">
        <v>725</v>
      </c>
      <c r="AA23" t="s">
        <v>651</v>
      </c>
      <c r="AB23" t="s">
        <v>728</v>
      </c>
      <c r="AC23" t="s">
        <v>122</v>
      </c>
      <c r="AD23" t="s">
        <v>123</v>
      </c>
      <c r="AE23" t="s">
        <v>124</v>
      </c>
      <c r="AF23" t="s">
        <v>125</v>
      </c>
      <c r="AG23" t="s">
        <v>51</v>
      </c>
      <c r="AH23" t="s">
        <v>126</v>
      </c>
      <c r="AI23" t="s">
        <v>53</v>
      </c>
      <c r="AJ23" t="b">
        <v>0</v>
      </c>
      <c r="AK23" t="b">
        <v>1</v>
      </c>
      <c r="AL23">
        <v>1</v>
      </c>
      <c r="AM23">
        <v>1</v>
      </c>
      <c r="AN23" t="s">
        <v>56</v>
      </c>
      <c r="AO23" t="s">
        <v>57</v>
      </c>
      <c r="AP23">
        <v>0.75</v>
      </c>
      <c r="AQ23" t="b">
        <v>1</v>
      </c>
      <c r="AR23" t="s">
        <v>23</v>
      </c>
      <c r="AS23">
        <v>20000</v>
      </c>
      <c r="AT23">
        <v>500</v>
      </c>
      <c r="AU23" t="s">
        <v>121</v>
      </c>
      <c r="AV23" t="b">
        <v>0</v>
      </c>
      <c r="AW23" t="b">
        <v>0</v>
      </c>
      <c r="AX23" t="b">
        <v>1</v>
      </c>
      <c r="AY23" t="b">
        <v>0</v>
      </c>
      <c r="BA23" t="s">
        <v>1068</v>
      </c>
      <c r="BC23" t="s">
        <v>42</v>
      </c>
      <c r="BD23" t="s">
        <v>42</v>
      </c>
      <c r="BE23" t="s">
        <v>42</v>
      </c>
      <c r="BF23" t="s">
        <v>42</v>
      </c>
      <c r="BG23" t="s">
        <v>42</v>
      </c>
      <c r="BH23" s="21">
        <f>INDEX(Table1[Disjunctive.Power],MATCH(Table2[[#This Row],[ModelID]],Table1[ModelID],0))</f>
        <v>0.87087590000000004</v>
      </c>
      <c r="BI23" s="23">
        <f>Table2[[#This Row],[Disjunctive.Power]]</f>
        <v>0.87994879999999998</v>
      </c>
      <c r="BJ23" s="12">
        <v>0.879</v>
      </c>
      <c r="BK23" t="s">
        <v>882</v>
      </c>
      <c r="BL23" s="21">
        <f>INDEX(Table1[Conjunctive.Power],MATCH(Table2[[#This Row],[ModelID]],Table1[ModelID],0))</f>
        <v>0.27949829999999998</v>
      </c>
      <c r="BM23" s="23">
        <f>Table2[[#This Row],[Conjunctive.Power]]</f>
        <v>0.1957023</v>
      </c>
      <c r="BN23" s="12">
        <v>0.28699999999999998</v>
      </c>
      <c r="BO23" t="s">
        <v>883</v>
      </c>
      <c r="BP23" s="28">
        <v>1.6849487016598399</v>
      </c>
      <c r="BQ23" s="28">
        <v>0.88073610000000002</v>
      </c>
      <c r="BR23" s="28">
        <v>0.19627849999999999</v>
      </c>
      <c r="BS23" s="28">
        <v>0.88066330000000004</v>
      </c>
      <c r="BT23" s="28">
        <v>8.9856999999999992E-3</v>
      </c>
      <c r="BU23" s="28" t="s">
        <v>1223</v>
      </c>
      <c r="BV23" s="28" t="s">
        <v>1224</v>
      </c>
      <c r="BW23" s="28" t="s">
        <v>1225</v>
      </c>
      <c r="BX23" s="28" t="s">
        <v>1226</v>
      </c>
      <c r="BY23" s="28" t="s">
        <v>42</v>
      </c>
      <c r="BZ23" s="35">
        <f>Table2[[#This Row],[FWER5]]</f>
        <v>8.9856999999999992E-3</v>
      </c>
      <c r="CA23" s="32">
        <v>0.879</v>
      </c>
      <c r="CB23" s="34">
        <f>Table2[[#This Row],[Disjunctive.Power4]]</f>
        <v>0.88066330000000004</v>
      </c>
      <c r="CC23" s="32">
        <v>0.28699999999999998</v>
      </c>
      <c r="CD23" s="34">
        <f>Table2[[#This Row],[Conjunctive.Power3]]</f>
        <v>0.19627849999999999</v>
      </c>
    </row>
    <row r="24" spans="1:82" x14ac:dyDescent="0.25">
      <c r="A24">
        <v>133</v>
      </c>
      <c r="B24" t="s">
        <v>717</v>
      </c>
      <c r="C24">
        <v>49278</v>
      </c>
      <c r="D24">
        <v>0.89686220000000005</v>
      </c>
      <c r="E24">
        <v>0.21208959999999999</v>
      </c>
      <c r="F24">
        <v>0.89670910000000004</v>
      </c>
      <c r="G24">
        <v>8.6455999999999998E-3</v>
      </c>
      <c r="H24" t="s">
        <v>1112</v>
      </c>
      <c r="I24" t="s">
        <v>1166</v>
      </c>
      <c r="J24" t="s">
        <v>1167</v>
      </c>
      <c r="K24" t="s">
        <v>1168</v>
      </c>
      <c r="L24" s="1">
        <v>379514181</v>
      </c>
      <c r="M24" t="s">
        <v>1113</v>
      </c>
      <c r="N24">
        <v>0.89079030692577399</v>
      </c>
      <c r="O24" t="s">
        <v>85</v>
      </c>
      <c r="P24" t="s">
        <v>41</v>
      </c>
      <c r="Q24">
        <v>500</v>
      </c>
      <c r="R24">
        <v>2.5000000000000001E-2</v>
      </c>
      <c r="S24" t="s">
        <v>654</v>
      </c>
      <c r="T24" t="s">
        <v>42</v>
      </c>
      <c r="U24" t="s">
        <v>64</v>
      </c>
      <c r="V24" t="s">
        <v>44</v>
      </c>
      <c r="W24">
        <v>5</v>
      </c>
      <c r="X24">
        <v>2</v>
      </c>
      <c r="Y24" t="s">
        <v>650</v>
      </c>
      <c r="Z24" t="s">
        <v>725</v>
      </c>
      <c r="AA24" t="s">
        <v>651</v>
      </c>
      <c r="AB24" t="s">
        <v>728</v>
      </c>
      <c r="AC24" t="s">
        <v>122</v>
      </c>
      <c r="AD24" t="s">
        <v>123</v>
      </c>
      <c r="AE24" t="s">
        <v>124</v>
      </c>
      <c r="AF24" t="s">
        <v>125</v>
      </c>
      <c r="AG24" t="s">
        <v>51</v>
      </c>
      <c r="AH24" t="s">
        <v>126</v>
      </c>
      <c r="AI24" t="s">
        <v>53</v>
      </c>
      <c r="AJ24" t="b">
        <v>0</v>
      </c>
      <c r="AK24" t="b">
        <v>1</v>
      </c>
      <c r="AL24">
        <v>1</v>
      </c>
      <c r="AM24">
        <v>1</v>
      </c>
      <c r="AN24" t="s">
        <v>56</v>
      </c>
      <c r="AO24" t="s">
        <v>57</v>
      </c>
      <c r="AP24">
        <v>0.5</v>
      </c>
      <c r="AQ24" t="b">
        <v>1</v>
      </c>
      <c r="AR24" t="s">
        <v>23</v>
      </c>
      <c r="AS24">
        <v>20000</v>
      </c>
      <c r="AT24">
        <v>500</v>
      </c>
      <c r="AU24" t="s">
        <v>121</v>
      </c>
      <c r="AV24" t="b">
        <v>0</v>
      </c>
      <c r="AW24" t="b">
        <v>0</v>
      </c>
      <c r="AX24" t="b">
        <v>1</v>
      </c>
      <c r="AY24" t="b">
        <v>0</v>
      </c>
      <c r="BA24" t="s">
        <v>1068</v>
      </c>
      <c r="BC24" t="s">
        <v>42</v>
      </c>
      <c r="BD24" t="s">
        <v>42</v>
      </c>
      <c r="BE24" t="s">
        <v>42</v>
      </c>
      <c r="BF24" t="s">
        <v>42</v>
      </c>
      <c r="BG24" t="s">
        <v>42</v>
      </c>
      <c r="BH24" s="21">
        <f>INDEX(Table1[Disjunctive.Power],MATCH(Table2[[#This Row],[ModelID]],Table1[ModelID],0))</f>
        <v>0.88802910000000002</v>
      </c>
      <c r="BI24" s="23">
        <f>Table2[[#This Row],[Disjunctive.Power]]</f>
        <v>0.89670910000000004</v>
      </c>
      <c r="BJ24" s="12">
        <v>0.89599999999999991</v>
      </c>
      <c r="BK24" t="s">
        <v>884</v>
      </c>
      <c r="BL24" s="21">
        <f>INDEX(Table1[Conjunctive.Power],MATCH(Table2[[#This Row],[ModelID]],Table1[ModelID],0))</f>
        <v>0.30039640000000001</v>
      </c>
      <c r="BM24" s="23">
        <f>Table2[[#This Row],[Conjunctive.Power]]</f>
        <v>0.21208959999999999</v>
      </c>
      <c r="BN24" s="12">
        <v>0.30599999999999999</v>
      </c>
      <c r="BO24" t="s">
        <v>885</v>
      </c>
      <c r="BP24" s="28">
        <v>1.5898197169436299</v>
      </c>
      <c r="BQ24" s="28">
        <v>0.89734150000000001</v>
      </c>
      <c r="BR24" s="28">
        <v>0.21294109999999999</v>
      </c>
      <c r="BS24" s="28">
        <v>0.89726899999999998</v>
      </c>
      <c r="BT24" s="28">
        <v>8.7965999999999999E-3</v>
      </c>
      <c r="BU24" s="28" t="s">
        <v>1227</v>
      </c>
      <c r="BV24" s="28" t="s">
        <v>1228</v>
      </c>
      <c r="BW24" s="28" t="s">
        <v>1229</v>
      </c>
      <c r="BX24" s="28" t="s">
        <v>1230</v>
      </c>
      <c r="BY24" s="28" t="s">
        <v>42</v>
      </c>
      <c r="BZ24" s="35">
        <f>Table2[[#This Row],[FWER5]]</f>
        <v>8.7965999999999999E-3</v>
      </c>
      <c r="CA24" s="32">
        <v>0.89599999999999991</v>
      </c>
      <c r="CB24" s="34">
        <f>Table2[[#This Row],[Disjunctive.Power4]]</f>
        <v>0.89726899999999998</v>
      </c>
      <c r="CC24" s="32">
        <v>0.30599999999999999</v>
      </c>
      <c r="CD24" s="34">
        <f>Table2[[#This Row],[Conjunctive.Power3]]</f>
        <v>0.21294109999999999</v>
      </c>
    </row>
    <row r="25" spans="1:82" x14ac:dyDescent="0.25">
      <c r="A25">
        <v>134</v>
      </c>
      <c r="B25" t="s">
        <v>718</v>
      </c>
      <c r="C25">
        <v>36459</v>
      </c>
      <c r="D25">
        <v>0.91499949999999997</v>
      </c>
      <c r="E25">
        <v>0.21590319999999999</v>
      </c>
      <c r="F25">
        <v>0.91489620000000005</v>
      </c>
      <c r="G25">
        <v>7.3274000000000004E-3</v>
      </c>
      <c r="H25" t="s">
        <v>1114</v>
      </c>
      <c r="I25" t="s">
        <v>1169</v>
      </c>
      <c r="J25" t="s">
        <v>1170</v>
      </c>
      <c r="K25" t="s">
        <v>1171</v>
      </c>
      <c r="L25" s="1">
        <v>379614511</v>
      </c>
      <c r="M25" t="s">
        <v>1115</v>
      </c>
      <c r="N25">
        <v>0.83200516164302796</v>
      </c>
      <c r="O25" t="s">
        <v>85</v>
      </c>
      <c r="P25" t="s">
        <v>41</v>
      </c>
      <c r="Q25">
        <v>500</v>
      </c>
      <c r="R25">
        <v>2.5000000000000001E-2</v>
      </c>
      <c r="S25" t="s">
        <v>654</v>
      </c>
      <c r="T25" t="s">
        <v>42</v>
      </c>
      <c r="U25" t="s">
        <v>64</v>
      </c>
      <c r="V25" t="s">
        <v>44</v>
      </c>
      <c r="W25">
        <v>5</v>
      </c>
      <c r="X25">
        <v>2</v>
      </c>
      <c r="Y25" t="s">
        <v>650</v>
      </c>
      <c r="Z25" t="s">
        <v>725</v>
      </c>
      <c r="AA25" t="s">
        <v>651</v>
      </c>
      <c r="AB25" t="s">
        <v>728</v>
      </c>
      <c r="AC25" t="s">
        <v>122</v>
      </c>
      <c r="AD25" t="s">
        <v>123</v>
      </c>
      <c r="AE25" t="s">
        <v>124</v>
      </c>
      <c r="AF25" t="s">
        <v>125</v>
      </c>
      <c r="AG25" t="s">
        <v>51</v>
      </c>
      <c r="AH25" t="s">
        <v>126</v>
      </c>
      <c r="AI25" t="s">
        <v>53</v>
      </c>
      <c r="AJ25" t="b">
        <v>0</v>
      </c>
      <c r="AK25" t="b">
        <v>1</v>
      </c>
      <c r="AL25">
        <v>1</v>
      </c>
      <c r="AM25">
        <v>1</v>
      </c>
      <c r="AN25" t="s">
        <v>56</v>
      </c>
      <c r="AO25" t="s">
        <v>57</v>
      </c>
      <c r="AP25">
        <v>0.25</v>
      </c>
      <c r="AQ25" t="b">
        <v>1</v>
      </c>
      <c r="AR25" t="s">
        <v>23</v>
      </c>
      <c r="AS25">
        <v>20000</v>
      </c>
      <c r="AT25">
        <v>500</v>
      </c>
      <c r="AU25" t="s">
        <v>121</v>
      </c>
      <c r="AV25" t="b">
        <v>0</v>
      </c>
      <c r="AW25" t="b">
        <v>0</v>
      </c>
      <c r="AX25" t="b">
        <v>1</v>
      </c>
      <c r="AY25" t="b">
        <v>0</v>
      </c>
      <c r="BA25" t="s">
        <v>1068</v>
      </c>
      <c r="BC25" t="s">
        <v>42</v>
      </c>
      <c r="BD25" t="s">
        <v>42</v>
      </c>
      <c r="BE25" t="s">
        <v>42</v>
      </c>
      <c r="BF25" t="s">
        <v>42</v>
      </c>
      <c r="BG25" t="s">
        <v>42</v>
      </c>
      <c r="BH25" s="21">
        <f>INDEX(Table1[Disjunctive.Power],MATCH(Table2[[#This Row],[ModelID]],Table1[ModelID],0))</f>
        <v>0.90862659999999995</v>
      </c>
      <c r="BI25" s="23">
        <f>Table2[[#This Row],[Disjunctive.Power]]</f>
        <v>0.91489620000000005</v>
      </c>
      <c r="BJ25" s="12">
        <v>0.91500000000000004</v>
      </c>
      <c r="BK25" t="s">
        <v>886</v>
      </c>
      <c r="BL25" s="21">
        <f>INDEX(Table1[Conjunctive.Power],MATCH(Table2[[#This Row],[ModelID]],Table1[ModelID],0))</f>
        <v>0.30841429999999997</v>
      </c>
      <c r="BM25" s="23">
        <f>Table2[[#This Row],[Conjunctive.Power]]</f>
        <v>0.21590319999999999</v>
      </c>
      <c r="BN25" s="12">
        <v>0.314</v>
      </c>
      <c r="BO25" t="s">
        <v>887</v>
      </c>
      <c r="BP25" s="28">
        <v>1.48247516327434</v>
      </c>
      <c r="BQ25" s="28">
        <v>0.91552500000000003</v>
      </c>
      <c r="BR25" s="28">
        <v>0.2159751</v>
      </c>
      <c r="BS25" s="28">
        <v>0.91544170000000002</v>
      </c>
      <c r="BT25" s="28">
        <v>7.6714000000000001E-3</v>
      </c>
      <c r="BU25" s="28" t="s">
        <v>1231</v>
      </c>
      <c r="BV25" s="28" t="s">
        <v>1232</v>
      </c>
      <c r="BW25" s="28" t="s">
        <v>1233</v>
      </c>
      <c r="BX25" s="28" t="s">
        <v>1234</v>
      </c>
      <c r="BY25" s="28" t="s">
        <v>42</v>
      </c>
      <c r="BZ25" s="35">
        <f>Table2[[#This Row],[FWER5]]</f>
        <v>7.6714000000000001E-3</v>
      </c>
      <c r="CA25" s="32">
        <v>0.91500000000000004</v>
      </c>
      <c r="CB25" s="34">
        <f>Table2[[#This Row],[Disjunctive.Power4]]</f>
        <v>0.91544170000000002</v>
      </c>
      <c r="CC25" s="32">
        <v>0.314</v>
      </c>
      <c r="CD25" s="34">
        <f>Table2[[#This Row],[Conjunctive.Power3]]</f>
        <v>0.2159751</v>
      </c>
    </row>
    <row r="26" spans="1:82" x14ac:dyDescent="0.25">
      <c r="A26">
        <v>135</v>
      </c>
      <c r="B26" t="s">
        <v>719</v>
      </c>
      <c r="C26">
        <v>39979</v>
      </c>
      <c r="D26">
        <v>0.9627656</v>
      </c>
      <c r="E26">
        <v>1.1000000000000001E-3</v>
      </c>
      <c r="F26">
        <v>0.96247559999999999</v>
      </c>
      <c r="G26">
        <v>5.4000000000000001E-4</v>
      </c>
      <c r="H26" t="s">
        <v>1116</v>
      </c>
      <c r="I26" t="s">
        <v>1172</v>
      </c>
      <c r="J26" t="s">
        <v>1117</v>
      </c>
      <c r="K26" t="s">
        <v>1173</v>
      </c>
      <c r="L26" s="1">
        <v>383815415</v>
      </c>
      <c r="M26" t="s">
        <v>1118</v>
      </c>
      <c r="N26">
        <v>0.55602183249261605</v>
      </c>
      <c r="O26" t="s">
        <v>85</v>
      </c>
      <c r="P26" t="s">
        <v>41</v>
      </c>
      <c r="Q26">
        <v>500</v>
      </c>
      <c r="R26">
        <v>2.5000000000000001E-2</v>
      </c>
      <c r="S26" t="s">
        <v>654</v>
      </c>
      <c r="T26" t="s">
        <v>42</v>
      </c>
      <c r="U26" t="s">
        <v>64</v>
      </c>
      <c r="V26" t="s">
        <v>44</v>
      </c>
      <c r="W26">
        <v>5</v>
      </c>
      <c r="X26">
        <v>2</v>
      </c>
      <c r="Y26" t="s">
        <v>650</v>
      </c>
      <c r="Z26" t="s">
        <v>725</v>
      </c>
      <c r="AA26" t="s">
        <v>651</v>
      </c>
      <c r="AB26" t="s">
        <v>728</v>
      </c>
      <c r="AC26" t="s">
        <v>122</v>
      </c>
      <c r="AD26" t="s">
        <v>123</v>
      </c>
      <c r="AE26" t="s">
        <v>124</v>
      </c>
      <c r="AF26" t="s">
        <v>125</v>
      </c>
      <c r="AG26" t="s">
        <v>51</v>
      </c>
      <c r="AH26" t="s">
        <v>126</v>
      </c>
      <c r="AI26" t="s">
        <v>53</v>
      </c>
      <c r="AJ26" t="b">
        <v>0</v>
      </c>
      <c r="AK26" t="b">
        <v>1</v>
      </c>
      <c r="AL26">
        <v>1</v>
      </c>
      <c r="AM26">
        <v>1</v>
      </c>
      <c r="AN26" t="s">
        <v>56</v>
      </c>
      <c r="AO26" t="s">
        <v>60</v>
      </c>
      <c r="AP26">
        <v>1</v>
      </c>
      <c r="AQ26" t="b">
        <v>1</v>
      </c>
      <c r="AR26" t="s">
        <v>23</v>
      </c>
      <c r="AS26">
        <v>20000</v>
      </c>
      <c r="AT26">
        <v>500</v>
      </c>
      <c r="AU26" t="s">
        <v>121</v>
      </c>
      <c r="AV26" t="b">
        <v>0</v>
      </c>
      <c r="AW26" t="b">
        <v>0</v>
      </c>
      <c r="AX26" t="b">
        <v>1</v>
      </c>
      <c r="AY26" t="b">
        <v>0</v>
      </c>
      <c r="BA26" t="s">
        <v>1068</v>
      </c>
      <c r="BC26" t="s">
        <v>42</v>
      </c>
      <c r="BD26" t="s">
        <v>42</v>
      </c>
      <c r="BE26" t="s">
        <v>42</v>
      </c>
      <c r="BF26" t="s">
        <v>42</v>
      </c>
      <c r="BG26" t="s">
        <v>42</v>
      </c>
      <c r="BH26" s="21">
        <f>INDEX(Table1[Disjunctive.Power],MATCH(Table2[[#This Row],[ModelID]],Table1[ModelID],0))</f>
        <v>0.96100750000000001</v>
      </c>
      <c r="BI26" s="23">
        <f>Table2[[#This Row],[Disjunctive.Power]]</f>
        <v>0.96247559999999999</v>
      </c>
      <c r="BJ26" s="12">
        <v>0.96200000000000008</v>
      </c>
      <c r="BK26" t="s">
        <v>888</v>
      </c>
      <c r="BL26" s="21">
        <f>INDEX(Table1[Conjunctive.Power],MATCH(Table2[[#This Row],[ModelID]],Table1[ModelID],0))</f>
        <v>4.8173000000000001E-3</v>
      </c>
      <c r="BM26" s="23">
        <f>Table2[[#This Row],[Conjunctive.Power]]</f>
        <v>1.1000000000000001E-3</v>
      </c>
      <c r="BN26" s="12">
        <v>1E-3</v>
      </c>
      <c r="BO26" t="s">
        <v>889</v>
      </c>
      <c r="BP26" s="28">
        <v>0.90161820636855206</v>
      </c>
      <c r="BQ26" s="28">
        <v>0.9630917</v>
      </c>
      <c r="BR26" s="28">
        <v>9.6000000000000002E-4</v>
      </c>
      <c r="BS26" s="28">
        <v>0.96285469999999995</v>
      </c>
      <c r="BT26" s="28">
        <v>7.27E-4</v>
      </c>
      <c r="BU26" s="28" t="s">
        <v>1235</v>
      </c>
      <c r="BV26" s="28" t="s">
        <v>1236</v>
      </c>
      <c r="BW26" s="28" t="s">
        <v>1237</v>
      </c>
      <c r="BX26" s="28" t="s">
        <v>1238</v>
      </c>
      <c r="BY26" s="28" t="s">
        <v>42</v>
      </c>
      <c r="BZ26" s="35">
        <f>Table2[[#This Row],[FWER5]]</f>
        <v>7.27E-4</v>
      </c>
      <c r="CA26" s="32">
        <v>0.96200000000000008</v>
      </c>
      <c r="CB26" s="34">
        <f>Table2[[#This Row],[Disjunctive.Power4]]</f>
        <v>0.96285469999999995</v>
      </c>
      <c r="CC26" s="32">
        <v>1E-3</v>
      </c>
      <c r="CD26" s="34">
        <f>Table2[[#This Row],[Conjunctive.Power3]]</f>
        <v>9.6000000000000002E-4</v>
      </c>
    </row>
    <row r="27" spans="1:82" x14ac:dyDescent="0.25">
      <c r="A27">
        <v>136</v>
      </c>
      <c r="B27" t="s">
        <v>720</v>
      </c>
      <c r="C27">
        <v>23331</v>
      </c>
      <c r="D27">
        <v>0.9003428</v>
      </c>
      <c r="E27">
        <v>0.21015790000000001</v>
      </c>
      <c r="F27">
        <v>0.9003428</v>
      </c>
      <c r="G27">
        <v>0</v>
      </c>
      <c r="H27" t="s">
        <v>1119</v>
      </c>
      <c r="I27" t="s">
        <v>1174</v>
      </c>
      <c r="J27" t="s">
        <v>1119</v>
      </c>
      <c r="K27" t="s">
        <v>83</v>
      </c>
      <c r="L27" s="1">
        <v>444513596</v>
      </c>
      <c r="M27" t="s">
        <v>1120</v>
      </c>
      <c r="N27">
        <v>0.93288618670569501</v>
      </c>
      <c r="O27" t="s">
        <v>85</v>
      </c>
      <c r="P27" t="s">
        <v>41</v>
      </c>
      <c r="Q27">
        <v>500</v>
      </c>
      <c r="R27">
        <v>2.5000000000000001E-2</v>
      </c>
      <c r="S27" t="s">
        <v>654</v>
      </c>
      <c r="T27" t="s">
        <v>42</v>
      </c>
      <c r="U27" t="s">
        <v>64</v>
      </c>
      <c r="V27" t="s">
        <v>44</v>
      </c>
      <c r="W27">
        <v>5</v>
      </c>
      <c r="X27">
        <v>2</v>
      </c>
      <c r="Y27" t="s">
        <v>650</v>
      </c>
      <c r="Z27" t="s">
        <v>726</v>
      </c>
      <c r="AA27" t="s">
        <v>651</v>
      </c>
      <c r="AB27" t="s">
        <v>729</v>
      </c>
      <c r="AC27" t="s">
        <v>122</v>
      </c>
      <c r="AD27" t="s">
        <v>123</v>
      </c>
      <c r="AE27" t="s">
        <v>124</v>
      </c>
      <c r="AF27" t="s">
        <v>125</v>
      </c>
      <c r="AG27" t="s">
        <v>51</v>
      </c>
      <c r="AH27" t="s">
        <v>126</v>
      </c>
      <c r="AI27" t="s">
        <v>53</v>
      </c>
      <c r="AJ27" t="b">
        <v>0</v>
      </c>
      <c r="AK27" t="b">
        <v>1</v>
      </c>
      <c r="AL27">
        <v>1</v>
      </c>
      <c r="AM27">
        <v>1</v>
      </c>
      <c r="AN27" t="s">
        <v>56</v>
      </c>
      <c r="AO27" t="s">
        <v>57</v>
      </c>
      <c r="AP27">
        <v>0.75</v>
      </c>
      <c r="AQ27" t="b">
        <v>1</v>
      </c>
      <c r="AR27" t="s">
        <v>23</v>
      </c>
      <c r="AS27">
        <v>20000</v>
      </c>
      <c r="AT27">
        <v>500</v>
      </c>
      <c r="AU27" t="s">
        <v>121</v>
      </c>
      <c r="AV27" t="b">
        <v>0</v>
      </c>
      <c r="AW27" t="b">
        <v>0</v>
      </c>
      <c r="AX27" t="b">
        <v>1</v>
      </c>
      <c r="AY27" t="b">
        <v>0</v>
      </c>
      <c r="BA27" t="s">
        <v>1068</v>
      </c>
      <c r="BC27" t="s">
        <v>42</v>
      </c>
      <c r="BD27" t="s">
        <v>42</v>
      </c>
      <c r="BE27" t="s">
        <v>42</v>
      </c>
      <c r="BF27" t="s">
        <v>42</v>
      </c>
      <c r="BG27" t="s">
        <v>42</v>
      </c>
      <c r="BH27" s="21">
        <f>INDEX(Table1[Disjunctive.Power],MATCH(Table2[[#This Row],[ModelID]],Table1[ModelID],0))</f>
        <v>0.89116189999999995</v>
      </c>
      <c r="BI27" s="23">
        <f>Table2[[#This Row],[Disjunctive.Power]]</f>
        <v>0.9003428</v>
      </c>
      <c r="BJ27" s="12">
        <v>0.89800000000000002</v>
      </c>
      <c r="BK27" t="s">
        <v>890</v>
      </c>
      <c r="BL27" s="21">
        <f>INDEX(Table1[Conjunctive.Power],MATCH(Table2[[#This Row],[ModelID]],Table1[ModelID],0))</f>
        <v>0.32309510000000002</v>
      </c>
      <c r="BM27" s="23">
        <f>Table2[[#This Row],[Conjunctive.Power]]</f>
        <v>0.21015790000000001</v>
      </c>
      <c r="BN27" s="12">
        <v>0.33100000000000002</v>
      </c>
      <c r="BO27" t="s">
        <v>879</v>
      </c>
      <c r="BP27" s="28">
        <v>1.75940552804205</v>
      </c>
      <c r="BQ27" s="28">
        <v>0.90000959999999997</v>
      </c>
      <c r="BR27" s="28">
        <v>0.20861460000000001</v>
      </c>
      <c r="BS27" s="28">
        <v>0.90000959999999997</v>
      </c>
      <c r="BT27" s="28">
        <v>0</v>
      </c>
      <c r="BU27" s="28" t="s">
        <v>1239</v>
      </c>
      <c r="BV27" s="28" t="s">
        <v>1240</v>
      </c>
      <c r="BW27" s="28" t="s">
        <v>1239</v>
      </c>
      <c r="BX27" s="28" t="s">
        <v>83</v>
      </c>
      <c r="BY27" s="28" t="s">
        <v>42</v>
      </c>
      <c r="BZ27" s="35">
        <f>Table2[[#This Row],[FWER5]]</f>
        <v>0</v>
      </c>
      <c r="CA27" s="32">
        <v>0.89800000000000002</v>
      </c>
      <c r="CB27" s="34">
        <f>Table2[[#This Row],[Disjunctive.Power4]]</f>
        <v>0.90000959999999997</v>
      </c>
      <c r="CC27" s="32">
        <v>0.33100000000000002</v>
      </c>
      <c r="CD27" s="34">
        <f>Table2[[#This Row],[Conjunctive.Power3]]</f>
        <v>0.20861460000000001</v>
      </c>
    </row>
    <row r="28" spans="1:82" x14ac:dyDescent="0.25">
      <c r="A28">
        <v>137</v>
      </c>
      <c r="B28" t="s">
        <v>721</v>
      </c>
      <c r="C28">
        <v>58341</v>
      </c>
      <c r="D28">
        <v>0.9061418</v>
      </c>
      <c r="E28">
        <v>0.2060294</v>
      </c>
      <c r="F28">
        <v>0.9061418</v>
      </c>
      <c r="G28">
        <v>0</v>
      </c>
      <c r="H28" t="s">
        <v>1121</v>
      </c>
      <c r="I28" t="s">
        <v>1175</v>
      </c>
      <c r="J28" t="s">
        <v>1121</v>
      </c>
      <c r="K28" t="s">
        <v>83</v>
      </c>
      <c r="L28" s="1">
        <v>451613627</v>
      </c>
      <c r="M28" t="s">
        <v>1122</v>
      </c>
      <c r="N28">
        <v>0.90965254949198804</v>
      </c>
      <c r="O28" t="s">
        <v>85</v>
      </c>
      <c r="P28" t="s">
        <v>41</v>
      </c>
      <c r="Q28">
        <v>500</v>
      </c>
      <c r="R28">
        <v>2.5000000000000001E-2</v>
      </c>
      <c r="S28" t="s">
        <v>654</v>
      </c>
      <c r="T28" t="s">
        <v>42</v>
      </c>
      <c r="U28" t="s">
        <v>64</v>
      </c>
      <c r="V28" t="s">
        <v>44</v>
      </c>
      <c r="W28">
        <v>5</v>
      </c>
      <c r="X28">
        <v>2</v>
      </c>
      <c r="Y28" t="s">
        <v>650</v>
      </c>
      <c r="Z28" t="s">
        <v>726</v>
      </c>
      <c r="AA28" t="s">
        <v>651</v>
      </c>
      <c r="AB28" t="s">
        <v>729</v>
      </c>
      <c r="AC28" t="s">
        <v>122</v>
      </c>
      <c r="AD28" t="s">
        <v>123</v>
      </c>
      <c r="AE28" t="s">
        <v>124</v>
      </c>
      <c r="AF28" t="s">
        <v>125</v>
      </c>
      <c r="AG28" t="s">
        <v>51</v>
      </c>
      <c r="AH28" t="s">
        <v>126</v>
      </c>
      <c r="AI28" t="s">
        <v>53</v>
      </c>
      <c r="AJ28" t="b">
        <v>0</v>
      </c>
      <c r="AK28" t="b">
        <v>1</v>
      </c>
      <c r="AL28">
        <v>1</v>
      </c>
      <c r="AM28">
        <v>1</v>
      </c>
      <c r="AN28" t="s">
        <v>56</v>
      </c>
      <c r="AO28" t="s">
        <v>57</v>
      </c>
      <c r="AP28">
        <v>0.5</v>
      </c>
      <c r="AQ28" t="b">
        <v>1</v>
      </c>
      <c r="AR28" t="s">
        <v>23</v>
      </c>
      <c r="AS28">
        <v>20000</v>
      </c>
      <c r="AT28">
        <v>500</v>
      </c>
      <c r="AU28" t="s">
        <v>121</v>
      </c>
      <c r="AV28" t="b">
        <v>0</v>
      </c>
      <c r="AW28" t="b">
        <v>0</v>
      </c>
      <c r="AX28" t="b">
        <v>1</v>
      </c>
      <c r="AY28" t="b">
        <v>0</v>
      </c>
      <c r="BA28" t="s">
        <v>1068</v>
      </c>
      <c r="BC28" t="s">
        <v>42</v>
      </c>
      <c r="BD28" t="s">
        <v>42</v>
      </c>
      <c r="BE28" t="s">
        <v>42</v>
      </c>
      <c r="BF28" t="s">
        <v>42</v>
      </c>
      <c r="BG28" t="s">
        <v>42</v>
      </c>
      <c r="BH28" s="21">
        <f>INDEX(Table1[Disjunctive.Power],MATCH(Table2[[#This Row],[ModelID]],Table1[ModelID],0))</f>
        <v>0.89751320000000001</v>
      </c>
      <c r="BI28" s="23">
        <f>Table2[[#This Row],[Disjunctive.Power]]</f>
        <v>0.9061418</v>
      </c>
      <c r="BJ28" s="12">
        <v>0.90400000000000003</v>
      </c>
      <c r="BK28" t="s">
        <v>891</v>
      </c>
      <c r="BL28" s="21">
        <f>INDEX(Table1[Conjunctive.Power],MATCH(Table2[[#This Row],[ModelID]],Table1[ModelID],0))</f>
        <v>0.32141730000000002</v>
      </c>
      <c r="BM28" s="23">
        <f>Table2[[#This Row],[Conjunctive.Power]]</f>
        <v>0.2060294</v>
      </c>
      <c r="BN28" s="12">
        <v>0.32600000000000001</v>
      </c>
      <c r="BO28" t="s">
        <v>892</v>
      </c>
      <c r="BP28" s="28">
        <v>1.73983539111084</v>
      </c>
      <c r="BQ28" s="28">
        <v>0.90641539999999998</v>
      </c>
      <c r="BR28" s="28">
        <v>0.20557220000000001</v>
      </c>
      <c r="BS28" s="28">
        <v>0.90641539999999998</v>
      </c>
      <c r="BT28" s="28">
        <v>0</v>
      </c>
      <c r="BU28" s="28" t="s">
        <v>1241</v>
      </c>
      <c r="BV28" s="28" t="s">
        <v>1242</v>
      </c>
      <c r="BW28" s="28" t="s">
        <v>1241</v>
      </c>
      <c r="BX28" s="28" t="s">
        <v>83</v>
      </c>
      <c r="BY28" s="28" t="s">
        <v>42</v>
      </c>
      <c r="BZ28" s="35">
        <f>Table2[[#This Row],[FWER5]]</f>
        <v>0</v>
      </c>
      <c r="CA28" s="32">
        <v>0.90400000000000003</v>
      </c>
      <c r="CB28" s="34">
        <f>Table2[[#This Row],[Disjunctive.Power4]]</f>
        <v>0.90641539999999998</v>
      </c>
      <c r="CC28" s="32">
        <v>0.32600000000000001</v>
      </c>
      <c r="CD28" s="34">
        <f>Table2[[#This Row],[Conjunctive.Power3]]</f>
        <v>0.20557220000000001</v>
      </c>
    </row>
    <row r="29" spans="1:82" x14ac:dyDescent="0.25">
      <c r="A29">
        <v>138</v>
      </c>
      <c r="B29" t="s">
        <v>722</v>
      </c>
      <c r="C29">
        <v>21865</v>
      </c>
      <c r="D29">
        <v>0.92241470000000003</v>
      </c>
      <c r="E29">
        <v>0.18975069999999999</v>
      </c>
      <c r="F29">
        <v>0.92241470000000003</v>
      </c>
      <c r="G29">
        <v>0</v>
      </c>
      <c r="H29" t="s">
        <v>1123</v>
      </c>
      <c r="I29" t="s">
        <v>1176</v>
      </c>
      <c r="J29" t="s">
        <v>1123</v>
      </c>
      <c r="K29" t="s">
        <v>83</v>
      </c>
      <c r="L29" s="1">
        <v>441114022</v>
      </c>
      <c r="M29" t="s">
        <v>1124</v>
      </c>
      <c r="N29">
        <v>0.88872100810209897</v>
      </c>
      <c r="O29" t="s">
        <v>85</v>
      </c>
      <c r="P29" t="s">
        <v>41</v>
      </c>
      <c r="Q29">
        <v>500</v>
      </c>
      <c r="R29">
        <v>2.5000000000000001E-2</v>
      </c>
      <c r="S29" t="s">
        <v>654</v>
      </c>
      <c r="T29" t="s">
        <v>42</v>
      </c>
      <c r="U29" t="s">
        <v>64</v>
      </c>
      <c r="V29" t="s">
        <v>44</v>
      </c>
      <c r="W29">
        <v>5</v>
      </c>
      <c r="X29">
        <v>2</v>
      </c>
      <c r="Y29" t="s">
        <v>650</v>
      </c>
      <c r="Z29" t="s">
        <v>726</v>
      </c>
      <c r="AA29" t="s">
        <v>651</v>
      </c>
      <c r="AB29" t="s">
        <v>729</v>
      </c>
      <c r="AC29" t="s">
        <v>122</v>
      </c>
      <c r="AD29" t="s">
        <v>123</v>
      </c>
      <c r="AE29" t="s">
        <v>124</v>
      </c>
      <c r="AF29" t="s">
        <v>125</v>
      </c>
      <c r="AG29" t="s">
        <v>51</v>
      </c>
      <c r="AH29" t="s">
        <v>126</v>
      </c>
      <c r="AI29" t="s">
        <v>53</v>
      </c>
      <c r="AJ29" t="b">
        <v>0</v>
      </c>
      <c r="AK29" t="b">
        <v>1</v>
      </c>
      <c r="AL29">
        <v>1</v>
      </c>
      <c r="AM29">
        <v>1</v>
      </c>
      <c r="AN29" t="s">
        <v>56</v>
      </c>
      <c r="AO29" t="s">
        <v>57</v>
      </c>
      <c r="AP29">
        <v>0.25</v>
      </c>
      <c r="AQ29" t="b">
        <v>1</v>
      </c>
      <c r="AR29" t="s">
        <v>23</v>
      </c>
      <c r="AS29">
        <v>20000</v>
      </c>
      <c r="AT29">
        <v>500</v>
      </c>
      <c r="AU29" t="s">
        <v>121</v>
      </c>
      <c r="AV29" t="b">
        <v>0</v>
      </c>
      <c r="AW29" t="b">
        <v>0</v>
      </c>
      <c r="AX29" t="b">
        <v>1</v>
      </c>
      <c r="AY29" t="b">
        <v>0</v>
      </c>
      <c r="BA29" t="s">
        <v>1068</v>
      </c>
      <c r="BC29" t="s">
        <v>42</v>
      </c>
      <c r="BD29" t="s">
        <v>42</v>
      </c>
      <c r="BE29" t="s">
        <v>42</v>
      </c>
      <c r="BF29" t="s">
        <v>42</v>
      </c>
      <c r="BG29" t="s">
        <v>42</v>
      </c>
      <c r="BH29" s="21">
        <f>INDEX(Table1[Disjunctive.Power],MATCH(Table2[[#This Row],[ModelID]],Table1[ModelID],0))</f>
        <v>0.91482589999999997</v>
      </c>
      <c r="BI29" s="23">
        <f>Table2[[#This Row],[Disjunctive.Power]]</f>
        <v>0.92241470000000003</v>
      </c>
      <c r="BJ29" s="12">
        <v>0.92099999999999993</v>
      </c>
      <c r="BK29" t="s">
        <v>893</v>
      </c>
      <c r="BL29" s="21">
        <f>INDEX(Table1[Conjunctive.Power],MATCH(Table2[[#This Row],[ModelID]],Table1[ModelID],0))</f>
        <v>0.3024963</v>
      </c>
      <c r="BM29" s="23">
        <f>Table2[[#This Row],[Conjunctive.Power]]</f>
        <v>0.18975069999999999</v>
      </c>
      <c r="BN29" s="12">
        <v>0.308</v>
      </c>
      <c r="BO29" t="s">
        <v>894</v>
      </c>
      <c r="BP29" s="28">
        <v>1.66354040417406</v>
      </c>
      <c r="BQ29" s="28">
        <v>0.92257350000000005</v>
      </c>
      <c r="BR29" s="28">
        <v>0.1869169</v>
      </c>
      <c r="BS29" s="28">
        <v>0.92257350000000005</v>
      </c>
      <c r="BT29" s="28">
        <v>0</v>
      </c>
      <c r="BU29" s="28" t="s">
        <v>1243</v>
      </c>
      <c r="BV29" s="28" t="s">
        <v>1244</v>
      </c>
      <c r="BW29" s="28" t="s">
        <v>1243</v>
      </c>
      <c r="BX29" s="28" t="s">
        <v>83</v>
      </c>
      <c r="BY29" s="28" t="s">
        <v>42</v>
      </c>
      <c r="BZ29" s="35">
        <f>Table2[[#This Row],[FWER5]]</f>
        <v>0</v>
      </c>
      <c r="CA29" s="32">
        <v>0.92099999999999993</v>
      </c>
      <c r="CB29" s="34">
        <f>Table2[[#This Row],[Disjunctive.Power4]]</f>
        <v>0.92257350000000005</v>
      </c>
      <c r="CC29" s="32">
        <v>0.308</v>
      </c>
      <c r="CD29" s="34">
        <f>Table2[[#This Row],[Conjunctive.Power3]]</f>
        <v>0.1869169</v>
      </c>
    </row>
    <row r="30" spans="1:82" x14ac:dyDescent="0.25">
      <c r="A30">
        <v>139</v>
      </c>
      <c r="B30" t="s">
        <v>723</v>
      </c>
      <c r="C30">
        <v>5369</v>
      </c>
      <c r="D30">
        <v>0.97428230000000005</v>
      </c>
      <c r="E30">
        <v>1.3500000000000001E-3</v>
      </c>
      <c r="F30">
        <v>0.97428230000000005</v>
      </c>
      <c r="G30">
        <v>0</v>
      </c>
      <c r="H30" t="s">
        <v>1125</v>
      </c>
      <c r="I30" t="s">
        <v>1177</v>
      </c>
      <c r="J30" t="s">
        <v>1125</v>
      </c>
      <c r="K30" t="s">
        <v>83</v>
      </c>
      <c r="L30" s="1">
        <v>444315042</v>
      </c>
      <c r="M30" t="s">
        <v>1126</v>
      </c>
      <c r="N30">
        <v>0.540501932766702</v>
      </c>
      <c r="O30" t="s">
        <v>85</v>
      </c>
      <c r="P30" t="s">
        <v>41</v>
      </c>
      <c r="Q30">
        <v>500</v>
      </c>
      <c r="R30">
        <v>2.5000000000000001E-2</v>
      </c>
      <c r="S30" t="s">
        <v>654</v>
      </c>
      <c r="T30" t="s">
        <v>42</v>
      </c>
      <c r="U30" t="s">
        <v>64</v>
      </c>
      <c r="V30" t="s">
        <v>44</v>
      </c>
      <c r="W30">
        <v>5</v>
      </c>
      <c r="X30">
        <v>2</v>
      </c>
      <c r="Y30" t="s">
        <v>650</v>
      </c>
      <c r="Z30" t="s">
        <v>726</v>
      </c>
      <c r="AA30" t="s">
        <v>651</v>
      </c>
      <c r="AB30" t="s">
        <v>729</v>
      </c>
      <c r="AC30" t="s">
        <v>122</v>
      </c>
      <c r="AD30" t="s">
        <v>123</v>
      </c>
      <c r="AE30" t="s">
        <v>124</v>
      </c>
      <c r="AF30" t="s">
        <v>125</v>
      </c>
      <c r="AG30" t="s">
        <v>51</v>
      </c>
      <c r="AH30" t="s">
        <v>126</v>
      </c>
      <c r="AI30" t="s">
        <v>53</v>
      </c>
      <c r="AJ30" t="b">
        <v>0</v>
      </c>
      <c r="AK30" t="b">
        <v>1</v>
      </c>
      <c r="AL30">
        <v>1</v>
      </c>
      <c r="AM30">
        <v>1</v>
      </c>
      <c r="AN30" t="s">
        <v>56</v>
      </c>
      <c r="AO30" t="s">
        <v>60</v>
      </c>
      <c r="AP30">
        <v>1</v>
      </c>
      <c r="AQ30" t="b">
        <v>1</v>
      </c>
      <c r="AR30" t="s">
        <v>23</v>
      </c>
      <c r="AS30">
        <v>20000</v>
      </c>
      <c r="AT30">
        <v>500</v>
      </c>
      <c r="AU30" t="s">
        <v>121</v>
      </c>
      <c r="AV30" t="b">
        <v>0</v>
      </c>
      <c r="AW30" t="b">
        <v>0</v>
      </c>
      <c r="AX30" t="b">
        <v>1</v>
      </c>
      <c r="AY30" t="b">
        <v>0</v>
      </c>
      <c r="BA30" t="s">
        <v>1068</v>
      </c>
      <c r="BC30" t="s">
        <v>42</v>
      </c>
      <c r="BD30" t="s">
        <v>42</v>
      </c>
      <c r="BE30" t="s">
        <v>42</v>
      </c>
      <c r="BF30" t="s">
        <v>42</v>
      </c>
      <c r="BG30" t="s">
        <v>42</v>
      </c>
      <c r="BH30" s="21">
        <f>INDEX(Table1[Disjunctive.Power],MATCH(Table2[[#This Row],[ModelID]],Table1[ModelID],0))</f>
        <v>0.97312569999999998</v>
      </c>
      <c r="BI30" s="23">
        <f>Table2[[#This Row],[Disjunctive.Power]]</f>
        <v>0.97428230000000005</v>
      </c>
      <c r="BJ30" s="12">
        <v>0.97400000000000009</v>
      </c>
      <c r="BK30" t="s">
        <v>895</v>
      </c>
      <c r="BL30" s="21">
        <f>INDEX(Table1[Conjunctive.Power],MATCH(Table2[[#This Row],[ModelID]],Table1[ModelID],0))</f>
        <v>2.5642E-3</v>
      </c>
      <c r="BM30" s="23">
        <f>Table2[[#This Row],[Conjunctive.Power]]</f>
        <v>1.3500000000000001E-3</v>
      </c>
      <c r="BN30" s="12">
        <v>1E-3</v>
      </c>
      <c r="BO30" t="s">
        <v>889</v>
      </c>
      <c r="BP30" s="28">
        <v>0.88509139802720804</v>
      </c>
      <c r="BQ30" s="28">
        <v>0.97426210000000002</v>
      </c>
      <c r="BR30" s="28">
        <v>1.01E-3</v>
      </c>
      <c r="BS30" s="28">
        <v>0.97426210000000002</v>
      </c>
      <c r="BT30" s="28">
        <v>0</v>
      </c>
      <c r="BU30" s="28" t="s">
        <v>1245</v>
      </c>
      <c r="BV30" s="28" t="s">
        <v>1246</v>
      </c>
      <c r="BW30" s="28" t="s">
        <v>1245</v>
      </c>
      <c r="BX30" s="28" t="s">
        <v>83</v>
      </c>
      <c r="BY30" s="28" t="s">
        <v>42</v>
      </c>
      <c r="BZ30" s="35">
        <f>Table2[[#This Row],[FWER5]]</f>
        <v>0</v>
      </c>
      <c r="CA30" s="32">
        <v>0.97400000000000009</v>
      </c>
      <c r="CB30" s="34">
        <f>Table2[[#This Row],[Disjunctive.Power4]]</f>
        <v>0.97426210000000002</v>
      </c>
      <c r="CC30" s="32">
        <v>1E-3</v>
      </c>
      <c r="CD30" s="34">
        <f>Table2[[#This Row],[Conjunctive.Power3]]</f>
        <v>1.01E-3</v>
      </c>
    </row>
  </sheetData>
  <phoneticPr fontId="20" type="noConversion"/>
  <pageMargins left="0.7" right="0.7" top="0.75" bottom="0.75" header="0.3" footer="0.3"/>
  <pageSetup orientation="portrait" horizontalDpi="1200" verticalDpi="1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Inp_CER_Bin_2eps3arms</vt:lpstr>
      <vt:lpstr>OutCERBin2eps3arms</vt:lpstr>
      <vt:lpstr>Analysis</vt:lpstr>
      <vt:lpstr>Power</vt:lpstr>
      <vt:lpstr>FWER</vt:lpstr>
      <vt:lpstr>Out_TestsVsMartin_ag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 Deshmukh</dc:creator>
  <cp:lastModifiedBy>Ani Deshmukh</cp:lastModifiedBy>
  <dcterms:created xsi:type="dcterms:W3CDTF">2025-12-08T12:59:46Z</dcterms:created>
  <dcterms:modified xsi:type="dcterms:W3CDTF">2026-02-12T05:33:41Z</dcterms:modified>
</cp:coreProperties>
</file>